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2" yWindow="-108" windowWidth="29016" windowHeight="15816" tabRatio="600" firstSheet="0" activeTab="0" autoFilterDateGrouping="1"/>
  </bookViews>
  <sheets>
    <sheet name="2024 Хорошевский" sheetId="1" state="visible" r:id="rId1"/>
    <sheet name="Лист1" sheetId="2" state="visible" r:id="rId2"/>
    <sheet name="ЭКО_ПРИЦЕП" sheetId="3" state="visible" r:id="rId3"/>
    <sheet name="БОНУМ" sheetId="4" state="visible" r:id="rId4"/>
  </sheets>
  <definedNames>
    <definedName name="_xlnm._FilterDatabase" localSheetId="0" hidden="1">'2024 Хорошевский'!$G$1:$G$202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94">
    <numFmt numFmtId="164" formatCode="[$-419]mmmm\ yyyy;@"/>
    <numFmt numFmtId="165" formatCode="#,##0;#,##0;"/>
    <numFmt numFmtId="166" formatCode="_-* #,##0\ &quot;€&quot;_-;\-* #,##0\ &quot;€&quot;_-;_-* &quot;-&quot;\ &quot;€&quot;_-;_-@_-"/>
    <numFmt numFmtId="167" formatCode="_-* #,##0.00\ [$€]_-;\-* #,##0.00\ [$€]_-;_-* &quot;-&quot;??\ [$€]_-;_-@_-"/>
    <numFmt numFmtId="168" formatCode="&quot;$&quot;#,##0;[Red]\-&quot;$&quot;#,##0"/>
    <numFmt numFmtId="169" formatCode="_(&quot;$&quot;* #,##0.00_);_(&quot;$&quot;* \(#,##0.00\);_(&quot;$&quot;* &quot;-&quot;??_);_(@_)"/>
    <numFmt numFmtId="170" formatCode="_-* #,##0\ _€_-;\-* #,##0\ _€_-;_-* &quot;-&quot;\ _€_-;_-@_-"/>
    <numFmt numFmtId="171" formatCode="[$-409]d/mmm/yy;@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_ * #,##0_ ;_ * \-#,##0_ ;_ * &quot;-&quot;_ ;_ @_ "/>
    <numFmt numFmtId="175" formatCode="_ * #,##0.00_ ;_ * \-#,##0.00_ ;_ * &quot;-&quot;??_ ;_ @_ "/>
    <numFmt numFmtId="176" formatCode="0.0%;\(0.0%\)"/>
    <numFmt numFmtId="177" formatCode="0.0%"/>
    <numFmt numFmtId="178" formatCode="&quot;$&quot;#,##0;\-&quot;$&quot;#,##0"/>
    <numFmt numFmtId="179" formatCode="0%_);\(0%\)"/>
    <numFmt numFmtId="180" formatCode="#,##0.00&quot;£&quot;_);\(#,##0.00&quot;£&quot;\)"/>
    <numFmt numFmtId="181" formatCode="#,##0.00&quot;£&quot;_);[Red]\(#,##0.00&quot;£&quot;\)"/>
    <numFmt numFmtId="182" formatCode="_ * #,##0_)&quot;£&quot;_ ;_ * \(#,##0\)&quot;£&quot;_ ;_ * &quot;-&quot;_)&quot;£&quot;_ ;_ @_ "/>
    <numFmt numFmtId="183" formatCode="_ * #,##0_)_£_ ;_ * \(#,##0\)_£_ ;_ * &quot;-&quot;_)_£_ ;_ @_ "/>
    <numFmt numFmtId="184" formatCode="#,##0&quot;£&quot;_);[Red]\(#,##0&quot;£&quot;\)"/>
    <numFmt numFmtId="185" formatCode="_ * #,##0.00_)&quot;£&quot;_ ;_ * \(#,##0.00\)&quot;£&quot;_ ;_ * &quot;-&quot;??_)&quot;£&quot;_ ;_ @_ "/>
    <numFmt numFmtId="186" formatCode="_(* #,##0.0_);_(* \(#,##0.0\);_(* &quot;-&quot;??_);_(@_)"/>
    <numFmt numFmtId="187" formatCode="&quot;$&quot;#,##0"/>
    <numFmt numFmtId="188" formatCode="_-* #,##0.00\ _€_-;\-* #,##0.00\ _€_-;_-* &quot;-&quot;??\ _€_-;_-@_-"/>
    <numFmt numFmtId="189" formatCode="_-* #,##0.00\ _₽_-;\-* #,##0.00\ _₽_-;_-* &quot;-&quot;??\ _₽_-;_-@_-"/>
    <numFmt numFmtId="190" formatCode="_-* #,##0_-;\-* #,##0_-;_-* &quot;-&quot;??_-;_-@_-"/>
    <numFmt numFmtId="191" formatCode="_-* #,##0.00_р_._-;\-* #,##0.00_р_._-;_-* &quot;-&quot;??_р_._-;_-@_-"/>
    <numFmt numFmtId="192" formatCode="&quot;$&quot;#,##0_);[Red]\(&quot;$&quot;#,##0\)"/>
    <numFmt numFmtId="193" formatCode="&quot;$&quot;#,##0.00;[Red]\-&quot;$&quot;#,##0.00"/>
    <numFmt numFmtId="194" formatCode="&quot;$&quot;#,##0.00_);[Red]\(&quot;$&quot;#,##0.00\)"/>
    <numFmt numFmtId="195" formatCode="_-&quot;£&quot;* #,##0.00_-;\-&quot;£&quot;* #,##0.00_-;_-&quot;£&quot;* &quot;-&quot;??_-;_-@_-"/>
    <numFmt numFmtId="196" formatCode="&quot;$&quot;#,##0\ ;\(&quot;$&quot;#,##0\)"/>
    <numFmt numFmtId="197" formatCode="00##"/>
    <numFmt numFmtId="198" formatCode="#,##0\ &quot;€&quot;;\-#,##0\ &quot;€&quot;"/>
    <numFmt numFmtId="199" formatCode="_-* #,##0.00\ _z_³_-;\-* #,##0.00\ _z_³_-;_-* &quot;-&quot;??\ _z_³_-;_-@_-"/>
    <numFmt numFmtId="200" formatCode="#,##0.0_);\(#,##0.0\)"/>
    <numFmt numFmtId="201" formatCode="#,##0.000_);\(#,##0.000\)"/>
    <numFmt numFmtId="202" formatCode="0.0"/>
    <numFmt numFmtId="203" formatCode="_-* #,##0\ _к_._-;\-* #,##0\ _к_._-;_-* &quot;-&quot;\ _к_._-;_-@_-"/>
    <numFmt numFmtId="204" formatCode="_-&quot;Ј&quot;* #,##0_-;\-&quot;Ј&quot;* #,##0_-;_-&quot;Ј&quot;* &quot;-&quot;_-;_-@_-"/>
    <numFmt numFmtId="205" formatCode="#,##0.00&quot; &quot;;[Red]\-#,##0.00&quot; &quot;"/>
    <numFmt numFmtId="206" formatCode="0.000"/>
    <numFmt numFmtId="207" formatCode="[White]#,##0&quot; &quot;;[Red]\-#,##0&quot; &quot;"/>
    <numFmt numFmtId="208" formatCode="\(0.0\)"/>
    <numFmt numFmtId="209" formatCode="#,##0\ &quot;Än÷&quot;;[Red]\-#,##0\ &quot;Än÷&quot;"/>
    <numFmt numFmtId="210" formatCode="_-* #,##0.00\ _к_._-;\-* #,##0.00\ _к_._-;_-* &quot;-&quot;??\ _к_._-;_-@_-"/>
    <numFmt numFmtId="211" formatCode="_-&quot;Ј&quot;* #,##0.00_-;\-&quot;Ј&quot;* #,##0.00_-;_-&quot;Ј&quot;* &quot;-&quot;??_-;_-@_-"/>
    <numFmt numFmtId="212" formatCode="#,##0.0"/>
    <numFmt numFmtId="213" formatCode="#,##0\ &quot;zl&quot;;[Red]\-#,##0\ &quot;zl&quot;"/>
    <numFmt numFmtId="214" formatCode="#,##0.00\ &quot;Än÷&quot;;[Red]\-#,##0.00\ &quot;Än÷&quot;"/>
    <numFmt numFmtId="215" formatCode="_-* #,##0.00\ &quot;€&quot;_-;\-* #,##0.00\ &quot;€&quot;_-;_-* &quot;-&quot;??\ &quot;€&quot;_-;_-@_-"/>
    <numFmt numFmtId="216" formatCode="[Magenta]&quot;Err&quot;;[Magenta]&quot;Err&quot;;[Blue]&quot;OK&quot;"/>
    <numFmt numFmtId="217" formatCode="#,##0_);[Red]\(#,##0\);\-_)"/>
    <numFmt numFmtId="218" formatCode="0.0_)%;[Red]\(0.0%\);0.0_)%"/>
    <numFmt numFmtId="219" formatCode="[Red][&gt;1]&quot;&gt;100 %&quot;;[Red]\(0.0%\);0.0_)%"/>
    <numFmt numFmtId="220" formatCode="_-* #,##0\ _D_M_-;\-* #,##0\ _D_M_-;_-* &quot;-&quot;\ _D_M_-;_-@_-"/>
    <numFmt numFmtId="221" formatCode="_-* #,##0.00\ _D_M_-;\-* #,##0.00\ _D_M_-;_-* &quot;-&quot;??\ _D_M_-;_-@_-"/>
    <numFmt numFmtId="222" formatCode="0.00%;\(0.00%\)"/>
    <numFmt numFmtId="223" formatCode="0."/>
    <numFmt numFmtId="224" formatCode="&quot;Market Segment &quot;0"/>
    <numFmt numFmtId="225" formatCode="_ * #,##0.00_)\ _R_$_ ;_ * \(#,##0.00\)\ _R_$_ ;_ * &quot;-&quot;??_)\ _R_$_ ;_ @_ "/>
    <numFmt numFmtId="226" formatCode="#,##0\ &quot;R$&quot;;\-#,##0\ &quot;R$&quot;"/>
    <numFmt numFmtId="227" formatCode="#,##0\ &quot;DM&quot;;\-#,##0\ &quot;DM&quot;"/>
    <numFmt numFmtId="228" formatCode=".0%;\(.0%\)"/>
    <numFmt numFmtId="229" formatCode="#,##0.0_);[Red]\(#,##0.0\)"/>
    <numFmt numFmtId="230" formatCode="0.00%_);\(0.00%\)"/>
    <numFmt numFmtId="231" formatCode="_-* #,##0\ &quot;DM&quot;_-;\-* #,##0\ &quot;DM&quot;_-;_-* &quot;-&quot;\ &quot;DM&quot;_-;_-@_-"/>
    <numFmt numFmtId="232" formatCode="_-* #,##0.00\ &quot;DM&quot;_-;\-* #,##0.00\ &quot;DM&quot;_-;_-* &quot;-&quot;??\ &quot;DM&quot;_-;_-@_-"/>
    <numFmt numFmtId="233" formatCode="_-* #,##0\ &quot;z³&quot;_-;\-* #,##0\ &quot;z³&quot;_-;_-* &quot;-&quot;\ &quot;z³&quot;_-;_-@_-"/>
    <numFmt numFmtId="234" formatCode="0%;\(0%\)"/>
    <numFmt numFmtId="235" formatCode="#,##0.00\ &quot;DM&quot;;\-#,##0.00\ &quot;DM&quot;"/>
    <numFmt numFmtId="236" formatCode="#,##0\ &quot;€&quot;;[Red]\-#,##0\ &quot;€&quot;"/>
    <numFmt numFmtId="237" formatCode="_ * #,##0_)\ _R_$_ ;_ * \(#,##0\)\ _R_$_ ;_ * &quot;-&quot;_)\ _R_$_ ;_ @_ "/>
    <numFmt numFmtId="238" formatCode="_ * #,##0.00_)_£_ ;_ * \(#,##0.00\)_£_ ;_ * &quot;-&quot;??_)_£_ ;_ @_ "/>
    <numFmt numFmtId="239" formatCode="#,##0\ &quot;F&quot;;\-#,##0\ &quot;F&quot;"/>
    <numFmt numFmtId="240" formatCode="_-* #,##0\ _z_³_-;\-* #,##0\ _z_³_-;_-* &quot;-&quot;\ _z_³_-;_-@_-"/>
    <numFmt numFmtId="241" formatCode="_-* #,##0.00\ &quot;z³&quot;_-;\-* #,##0.00\ &quot;z³&quot;_-;_-* &quot;-&quot;??\ &quot;z³&quot;_-;_-@_-"/>
    <numFmt numFmtId="242" formatCode="#,##0\ &quot;DM&quot;;[Red]\-#,##0\ &quot;DM&quot;"/>
    <numFmt numFmtId="243" formatCode="#,##0.00\ &quot;DM&quot;;[Red]\-#,##0.00\ &quot;DM&quot;"/>
    <numFmt numFmtId="244" formatCode="#,##0&quot; &quot;;[Red]\-#,##0&quot; &quot;"/>
    <numFmt numFmtId="245" formatCode="[Blue]#,##0&quot; &quot;;[Red]\-#,##0&quot; &quot;"/>
    <numFmt numFmtId="246" formatCode="_-* #,##0\ &quot;р.&quot;_-;\-* #,##0\ &quot;р.&quot;_-;_-* &quot;-&quot;\ &quot;р.&quot;_-;_-@_-"/>
    <numFmt numFmtId="247" formatCode="_-* #,##0.00\ &quot;р.&quot;_-;\-* #,##0.00\ &quot;р.&quot;_-;_-* &quot;-&quot;??\ &quot;р.&quot;_-;_-@_-"/>
    <numFmt numFmtId="248" formatCode="#,##0.0;[Red]\-#,##0.0;&quot;---&quot;"/>
    <numFmt numFmtId="249" formatCode="_-* #,##0\ _р_._-;\-* #,##0\ _р_._-;_-* &quot;-&quot;\ _р_._-;_-@_-"/>
    <numFmt numFmtId="250" formatCode="_-* #,##0.00\ _р_._-;\-* #,##0.00\ _р_._-;_-* &quot;-&quot;??\ _р_._-;_-@_-"/>
    <numFmt numFmtId="251" formatCode="\-00##"/>
    <numFmt numFmtId="252" formatCode="&quot;\&quot;#,##0.00;[Red]\-&quot;\&quot;#,##0.00"/>
    <numFmt numFmtId="253" formatCode="&quot;\&quot;#,##0.00;[Red]&quot;\&quot;\-#,##0.00"/>
    <numFmt numFmtId="254" formatCode="&quot;\&quot;#,##0;[Red]&quot;\&quot;\-#,##0"/>
    <numFmt numFmtId="255" formatCode="0.0000_);[Red]\(0.0000\)"/>
    <numFmt numFmtId="256" formatCode="_ \¥* #,##0.00_ ;_ \¥* \-#,##0.00_ ;_ \¥* &quot;-&quot;??_ ;_ @_ "/>
    <numFmt numFmtId="257" formatCode="_-\¥* #,##0.00_-;\-\¥* #,##0.00_-;_-\¥* &quot;-&quot;??_-;_-@_-"/>
  </numFmts>
  <fonts count="228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theme="5" tint="-0.25"/>
      <sz val="11"/>
      <scheme val="minor"/>
    </font>
    <font>
      <name val="Calibri"/>
      <charset val="204"/>
      <family val="2"/>
      <color indexed="2"/>
      <sz val="11"/>
      <scheme val="minor"/>
    </font>
    <font>
      <name val="Calibri"/>
      <charset val="204"/>
      <family val="2"/>
      <b val="1"/>
      <color theme="9" tint="-0.5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color theme="9" tint="-0.5"/>
      <sz val="11"/>
      <scheme val="minor"/>
    </font>
    <font>
      <name val="Calibri"/>
      <charset val="204"/>
      <family val="2"/>
      <b val="1"/>
      <color theme="5" tint="-0.25"/>
      <sz val="11"/>
      <scheme val="minor"/>
    </font>
    <font>
      <name val="Arial"/>
      <charset val="204"/>
      <family val="2"/>
      <b val="1"/>
      <color rgb="FFFFC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rgb="FFFFC000"/>
      <sz val="10"/>
    </font>
    <font>
      <name val="Calibri"/>
      <charset val="204"/>
      <family val="2"/>
      <b val="1"/>
      <color rgb="FFFFC000"/>
      <sz val="11"/>
      <scheme val="minor"/>
    </font>
    <font>
      <name val="Calibri"/>
      <charset val="204"/>
      <family val="2"/>
      <color theme="9" tint="-0.25"/>
      <sz val="11"/>
      <scheme val="minor"/>
    </font>
    <font>
      <name val="Calibri"/>
      <charset val="204"/>
      <family val="2"/>
      <b val="1"/>
      <color theme="9" tint="-0.25"/>
      <sz val="11"/>
      <scheme val="minor"/>
    </font>
    <font>
      <name val="Calibri"/>
      <charset val="204"/>
      <family val="2"/>
      <b val="1"/>
      <color theme="9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color rgb="FFFF0000"/>
      <sz val="11"/>
      <scheme val="minor"/>
    </font>
    <font>
      <name val="Arial"/>
      <charset val="204"/>
      <family val="2"/>
      <b val="1"/>
      <sz val="10"/>
    </font>
    <font>
      <name val="Calibri"/>
      <charset val="204"/>
      <family val="2"/>
      <color theme="8"/>
      <sz val="11"/>
      <scheme val="minor"/>
    </font>
    <font>
      <name val="Calibri"/>
      <charset val="204"/>
      <family val="2"/>
      <b val="1"/>
      <color theme="8"/>
      <sz val="11"/>
      <scheme val="minor"/>
    </font>
    <font>
      <name val="Calibri"/>
      <charset val="204"/>
      <family val="2"/>
      <color theme="4" tint="-0.5"/>
      <sz val="11"/>
      <scheme val="minor"/>
    </font>
    <font>
      <name val="Calibri"/>
      <charset val="204"/>
      <family val="2"/>
      <b val="1"/>
      <color theme="7" tint="-0.5"/>
      <sz val="11"/>
      <scheme val="minor"/>
    </font>
  </fonts>
  <fills count="110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8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8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8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8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8"/>
        <bgColor indexed="65"/>
      </patternFill>
    </fill>
    <fill>
      <patternFill patternType="solid">
        <fgColor theme="9" tint="0.8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6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6"/>
        <bgColor indexed="65"/>
      </patternFill>
    </fill>
    <fill>
      <patternFill patternType="solid">
        <fgColor theme="6" tint="0.6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6"/>
        <bgColor indexed="65"/>
      </patternFill>
    </fill>
    <fill>
      <patternFill patternType="solid">
        <fgColor theme="8" tint="0.6"/>
        <bgColor indexed="65"/>
      </patternFill>
    </fill>
    <fill>
      <patternFill patternType="solid">
        <fgColor theme="9" tint="0.6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4"/>
        <bgColor indexed="65"/>
      </patternFill>
    </fill>
    <fill>
      <patternFill patternType="solid">
        <fgColor theme="5" tint="0.4"/>
        <bgColor indexed="65"/>
      </patternFill>
    </fill>
    <fill>
      <patternFill patternType="solid">
        <fgColor theme="6" tint="0.4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4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4"/>
        <bgColor indexed="65"/>
      </patternFill>
    </fill>
    <fill>
      <patternFill patternType="solid">
        <fgColor theme="9" tint="0.4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8"/>
        <bgColor theme="9" tint="0.8"/>
      </patternFill>
    </fill>
    <fill>
      <patternFill patternType="solid">
        <fgColor theme="5" tint="0.8"/>
        <bgColor indexed="5"/>
      </patternFill>
    </fill>
    <fill>
      <patternFill patternType="solid">
        <fgColor theme="7" tint="0.4"/>
        <bgColor indexed="5"/>
      </patternFill>
    </fill>
    <fill>
      <patternFill patternType="solid">
        <fgColor theme="9" tint="0.6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6"/>
        <bgColor theme="5" tint="0.6"/>
      </patternFill>
    </fill>
    <fill>
      <patternFill patternType="solid">
        <fgColor theme="5" tint="0.4"/>
        <bgColor theme="9" tint="0.8"/>
      </patternFill>
    </fill>
    <fill>
      <patternFill patternType="solid">
        <fgColor theme="7" tint="0.6"/>
        <bgColor theme="5" tint="0.6"/>
      </patternFill>
    </fill>
    <fill>
      <patternFill patternType="solid">
        <fgColor theme="7" tint="0.6"/>
        <bgColor theme="9" tint="0.8"/>
      </patternFill>
    </fill>
    <fill>
      <patternFill patternType="solid">
        <fgColor theme="9" tint="0.8"/>
        <bgColor theme="5" tint="0.6"/>
      </patternFill>
    </fill>
    <fill>
      <patternFill patternType="solid">
        <fgColor theme="9" tint="0.6"/>
        <bgColor theme="9" tint="0.8"/>
      </patternFill>
    </fill>
    <fill>
      <patternFill patternType="solid">
        <fgColor rgb="FFFFCCFF"/>
        <bgColor theme="5" tint="0.6"/>
      </patternFill>
    </fill>
    <fill>
      <patternFill patternType="solid">
        <fgColor rgb="FFFF99FF"/>
        <bgColor theme="9" tint="0.8"/>
      </patternFill>
    </fill>
    <fill>
      <patternFill patternType="solid">
        <fgColor theme="4" tint="0.8"/>
        <bgColor theme="4" tint="0.8"/>
      </patternFill>
    </fill>
    <fill>
      <patternFill patternType="solid">
        <fgColor theme="0" tint="-0.25"/>
        <bgColor theme="0" tint="-0.25"/>
      </patternFill>
    </fill>
    <fill>
      <patternFill patternType="solid">
        <fgColor theme="4" tint="0.8"/>
        <bgColor theme="0" tint="-0.25"/>
      </patternFill>
    </fill>
    <fill>
      <patternFill patternType="solid">
        <fgColor theme="0"/>
        <bgColor theme="0" tint="-0.25"/>
      </patternFill>
    </fill>
    <fill>
      <patternFill patternType="solid">
        <fgColor theme="0" tint="-0.25"/>
        <bgColor theme="0"/>
      </patternFill>
    </fill>
    <fill>
      <patternFill patternType="solid">
        <fgColor indexed="5"/>
        <bgColor theme="0" tint="-0.25"/>
      </patternFill>
    </fill>
    <fill>
      <patternFill patternType="solid">
        <fgColor theme="0"/>
        <bgColor indexed="5"/>
      </patternFill>
    </fill>
    <fill>
      <patternFill patternType="solid">
        <fgColor theme="7" tint="0.8"/>
        <bgColor theme="4" tint="0.6"/>
      </patternFill>
    </fill>
    <fill>
      <patternFill patternType="solid">
        <fgColor indexed="5"/>
        <bgColor theme="0"/>
      </patternFill>
    </fill>
    <fill>
      <patternFill patternType="solid">
        <fgColor theme="9" tint="0.4"/>
        <bgColor theme="0" tint="-0.25"/>
      </patternFill>
    </fill>
    <fill>
      <patternFill patternType="solid">
        <fgColor theme="9" tint="0.4"/>
        <bgColor theme="0"/>
      </patternFill>
    </fill>
    <fill>
      <patternFill patternType="solid">
        <fgColor theme="0" tint="-0.2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5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1649">
    <xf numFmtId="0" fontId="0" fillId="0" borderId="0"/>
    <xf numFmtId="0" fontId="3" fillId="0" borderId="0"/>
    <xf numFmtId="0" fontId="3" fillId="0" borderId="0"/>
    <xf numFmtId="0" fontId="3" fillId="0" borderId="0"/>
    <xf numFmtId="166" fontId="4" fillId="0" borderId="0" applyProtection="1">
      <protection locked="0" hidden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5" fillId="0" borderId="0"/>
    <xf numFmtId="41" fontId="3" fillId="0" borderId="0" applyAlignment="1">
      <alignment vertical="center"/>
    </xf>
    <xf numFmtId="0" fontId="6" fillId="0" borderId="1"/>
    <xf numFmtId="0" fontId="7" fillId="0" borderId="2"/>
    <xf numFmtId="0" fontId="6" fillId="0" borderId="1"/>
    <xf numFmtId="0" fontId="6" fillId="0" borderId="1"/>
    <xf numFmtId="0" fontId="6" fillId="0" borderId="1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167" fontId="5" fillId="0" borderId="0"/>
    <xf numFmtId="0" fontId="9" fillId="0" borderId="3"/>
    <xf numFmtId="0" fontId="10" fillId="0" borderId="4"/>
    <xf numFmtId="0" fontId="9" fillId="0" borderId="3"/>
    <xf numFmtId="0" fontId="9" fillId="0" borderId="3"/>
    <xf numFmtId="0" fontId="9" fillId="0" borderId="3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167" fontId="5" fillId="0" borderId="0"/>
    <xf numFmtId="0" fontId="11" fillId="0" borderId="5"/>
    <xf numFmtId="0" fontId="12" fillId="0" borderId="6"/>
    <xf numFmtId="0" fontId="11" fillId="0" borderId="5"/>
    <xf numFmtId="0" fontId="11" fillId="0" borderId="5"/>
    <xf numFmtId="0" fontId="11" fillId="0" borderId="5"/>
    <xf numFmtId="0" fontId="8" fillId="3" borderId="0"/>
    <xf numFmtId="0" fontId="8" fillId="2" borderId="0"/>
    <xf numFmtId="0" fontId="8" fillId="2" borderId="0"/>
    <xf numFmtId="0" fontId="8" fillId="2" borderId="0"/>
    <xf numFmtId="0" fontId="13" fillId="4" borderId="7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8" fillId="3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20" fillId="2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0" fillId="2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6" borderId="0"/>
    <xf numFmtId="0" fontId="32" fillId="17" borderId="0"/>
    <xf numFmtId="0" fontId="32" fillId="16" borderId="0"/>
    <xf numFmtId="0" fontId="32" fillId="16" borderId="0"/>
    <xf numFmtId="0" fontId="32" fillId="16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8" borderId="0"/>
    <xf numFmtId="0" fontId="32" fillId="19" borderId="0"/>
    <xf numFmtId="0" fontId="32" fillId="18" borderId="0"/>
    <xf numFmtId="0" fontId="32" fillId="18" borderId="0"/>
    <xf numFmtId="0" fontId="32" fillId="18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4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" fillId="0" borderId="0"/>
    <xf numFmtId="0" fontId="35" fillId="0" borderId="0" applyAlignment="1" applyProtection="1">
      <alignment vertical="top"/>
      <protection locked="0" hidden="0"/>
    </xf>
    <xf numFmtId="0" fontId="36" fillId="0" borderId="1" applyAlignment="1">
      <alignment vertical="center"/>
    </xf>
    <xf numFmtId="0" fontId="37" fillId="0" borderId="2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8" fillId="0" borderId="3" applyAlignment="1">
      <alignment vertical="center"/>
    </xf>
    <xf numFmtId="0" fontId="39" fillId="0" borderId="4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40" fillId="0" borderId="5" applyAlignment="1">
      <alignment vertical="center"/>
    </xf>
    <xf numFmtId="0" fontId="41" fillId="0" borderId="6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8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 applyAlignment="1" applyProtection="1">
      <alignment vertical="top"/>
      <protection locked="0" hidden="0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8" borderId="0" applyAlignment="1">
      <alignment vertical="center"/>
    </xf>
    <xf numFmtId="0" fontId="45" fillId="19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168" fontId="5" fillId="0" borderId="0"/>
    <xf numFmtId="167" fontId="46" fillId="0" borderId="0"/>
    <xf numFmtId="0" fontId="34" fillId="0" borderId="0" applyAlignment="1" applyProtection="1">
      <alignment vertical="top"/>
      <protection locked="0" hidden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167" fontId="3" fillId="20" borderId="0"/>
    <xf numFmtId="167" fontId="3" fillId="2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39" fontId="49" fillId="0" borderId="0" applyAlignment="1" applyProtection="1">
      <alignment vertical="center"/>
      <protection locked="0" hidden="0"/>
    </xf>
    <xf numFmtId="169" fontId="3" fillId="0" borderId="0"/>
    <xf numFmtId="0" fontId="50" fillId="0" borderId="0"/>
    <xf numFmtId="0" fontId="50" fillId="0" borderId="0"/>
    <xf numFmtId="170" fontId="4" fillId="0" borderId="0" applyProtection="1">
      <protection locked="0" hidden="0"/>
    </xf>
    <xf numFmtId="0" fontId="43" fillId="21" borderId="0"/>
    <xf numFmtId="0" fontId="43" fillId="22" borderId="0"/>
    <xf numFmtId="0" fontId="43" fillId="22" borderId="0"/>
    <xf numFmtId="0" fontId="44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5" borderId="0"/>
    <xf numFmtId="0" fontId="43" fillId="5" borderId="0"/>
    <xf numFmtId="0" fontId="43" fillId="5" borderId="0"/>
    <xf numFmtId="0" fontId="44" fillId="5" borderId="0"/>
    <xf numFmtId="0" fontId="43" fillId="5" borderId="0"/>
    <xf numFmtId="0" fontId="43" fillId="5" borderId="0"/>
    <xf numFmtId="0" fontId="43" fillId="5" borderId="0"/>
    <xf numFmtId="0" fontId="43" fillId="5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4" borderId="0"/>
    <xf numFmtId="0" fontId="43" fillId="4" borderId="0"/>
    <xf numFmtId="0" fontId="43" fillId="4" borderId="0"/>
    <xf numFmtId="0" fontId="44" fillId="4" borderId="0"/>
    <xf numFmtId="0" fontId="43" fillId="4" borderId="0"/>
    <xf numFmtId="0" fontId="43" fillId="4" borderId="0"/>
    <xf numFmtId="0" fontId="43" fillId="4" borderId="0"/>
    <xf numFmtId="0" fontId="43" fillId="4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25" borderId="0"/>
    <xf numFmtId="0" fontId="43" fillId="26" borderId="0"/>
    <xf numFmtId="0" fontId="43" fillId="26" borderId="0"/>
    <xf numFmtId="0" fontId="44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2" fillId="27" borderId="0"/>
    <xf numFmtId="0" fontId="52" fillId="27" borderId="0"/>
    <xf numFmtId="167" fontId="43" fillId="28" borderId="0"/>
    <xf numFmtId="0" fontId="52" fillId="27" borderId="0"/>
    <xf numFmtId="171" fontId="44" fillId="28" borderId="0"/>
    <xf numFmtId="0" fontId="218" fillId="27" borderId="0"/>
    <xf numFmtId="0" fontId="52" fillId="27" borderId="0"/>
    <xf numFmtId="0" fontId="218" fillId="27" borderId="0"/>
    <xf numFmtId="0" fontId="52" fillId="27" borderId="0"/>
    <xf numFmtId="0" fontId="218" fillId="27" borderId="0"/>
    <xf numFmtId="0" fontId="52" fillId="27" borderId="0"/>
    <xf numFmtId="0" fontId="218" fillId="27" borderId="0"/>
    <xf numFmtId="0" fontId="218" fillId="27" borderId="0"/>
    <xf numFmtId="0" fontId="218" fillId="27" borderId="0"/>
    <xf numFmtId="0" fontId="218" fillId="27" borderId="0"/>
    <xf numFmtId="0" fontId="52" fillId="29" borderId="0"/>
    <xf numFmtId="0" fontId="52" fillId="29" borderId="0"/>
    <xf numFmtId="167" fontId="43" fillId="30" borderId="0"/>
    <xf numFmtId="0" fontId="52" fillId="29" borderId="0"/>
    <xf numFmtId="171" fontId="44" fillId="30" borderId="0"/>
    <xf numFmtId="0" fontId="218" fillId="29" borderId="0"/>
    <xf numFmtId="0" fontId="52" fillId="29" borderId="0"/>
    <xf numFmtId="0" fontId="218" fillId="29" borderId="0"/>
    <xf numFmtId="0" fontId="52" fillId="29" borderId="0"/>
    <xf numFmtId="0" fontId="218" fillId="29" borderId="0"/>
    <xf numFmtId="0" fontId="52" fillId="29" borderId="0"/>
    <xf numFmtId="0" fontId="218" fillId="29" borderId="0"/>
    <xf numFmtId="0" fontId="218" fillId="29" borderId="0"/>
    <xf numFmtId="0" fontId="218" fillId="29" borderId="0"/>
    <xf numFmtId="0" fontId="218" fillId="29" borderId="0"/>
    <xf numFmtId="0" fontId="52" fillId="31" borderId="0"/>
    <xf numFmtId="0" fontId="52" fillId="31" borderId="0"/>
    <xf numFmtId="167" fontId="43" fillId="32" borderId="0"/>
    <xf numFmtId="0" fontId="52" fillId="31" borderId="0"/>
    <xf numFmtId="171" fontId="44" fillId="32" borderId="0"/>
    <xf numFmtId="0" fontId="218" fillId="31" borderId="0"/>
    <xf numFmtId="0" fontId="52" fillId="31" borderId="0"/>
    <xf numFmtId="0" fontId="218" fillId="31" borderId="0"/>
    <xf numFmtId="0" fontId="52" fillId="31" borderId="0"/>
    <xf numFmtId="0" fontId="218" fillId="31" borderId="0"/>
    <xf numFmtId="0" fontId="52" fillId="31" borderId="0"/>
    <xf numFmtId="0" fontId="218" fillId="31" borderId="0"/>
    <xf numFmtId="0" fontId="218" fillId="31" borderId="0"/>
    <xf numFmtId="0" fontId="218" fillId="31" borderId="0"/>
    <xf numFmtId="0" fontId="218" fillId="31" borderId="0"/>
    <xf numFmtId="0" fontId="52" fillId="33" borderId="0"/>
    <xf numFmtId="0" fontId="52" fillId="33" borderId="0"/>
    <xf numFmtId="167" fontId="43" fillId="34" borderId="0"/>
    <xf numFmtId="0" fontId="52" fillId="33" borderId="0"/>
    <xf numFmtId="171" fontId="44" fillId="34" borderId="0"/>
    <xf numFmtId="0" fontId="218" fillId="33" borderId="0"/>
    <xf numFmtId="0" fontId="52" fillId="33" borderId="0"/>
    <xf numFmtId="0" fontId="218" fillId="33" borderId="0"/>
    <xf numFmtId="0" fontId="52" fillId="33" borderId="0"/>
    <xf numFmtId="0" fontId="218" fillId="33" borderId="0"/>
    <xf numFmtId="0" fontId="52" fillId="33" borderId="0"/>
    <xf numFmtId="0" fontId="218" fillId="33" borderId="0"/>
    <xf numFmtId="0" fontId="218" fillId="33" borderId="0"/>
    <xf numFmtId="0" fontId="218" fillId="33" borderId="0"/>
    <xf numFmtId="0" fontId="218" fillId="33" borderId="0"/>
    <xf numFmtId="0" fontId="52" fillId="35" borderId="0"/>
    <xf numFmtId="0" fontId="52" fillId="35" borderId="0"/>
    <xf numFmtId="167" fontId="43" fillId="23" borderId="0"/>
    <xf numFmtId="0" fontId="52" fillId="35" borderId="0"/>
    <xf numFmtId="171" fontId="44" fillId="23" borderId="0"/>
    <xf numFmtId="0" fontId="218" fillId="35" borderId="0"/>
    <xf numFmtId="0" fontId="52" fillId="35" borderId="0"/>
    <xf numFmtId="0" fontId="218" fillId="35" borderId="0"/>
    <xf numFmtId="0" fontId="52" fillId="35" borderId="0"/>
    <xf numFmtId="0" fontId="218" fillId="35" borderId="0"/>
    <xf numFmtId="0" fontId="52" fillId="35" borderId="0"/>
    <xf numFmtId="0" fontId="218" fillId="35" borderId="0"/>
    <xf numFmtId="0" fontId="218" fillId="35" borderId="0"/>
    <xf numFmtId="0" fontId="218" fillId="35" borderId="0"/>
    <xf numFmtId="0" fontId="218" fillId="35" borderId="0"/>
    <xf numFmtId="0" fontId="52" fillId="36" borderId="0"/>
    <xf numFmtId="0" fontId="52" fillId="36" borderId="0"/>
    <xf numFmtId="167" fontId="43" fillId="37" borderId="0"/>
    <xf numFmtId="0" fontId="52" fillId="36" borderId="0"/>
    <xf numFmtId="171" fontId="44" fillId="37" borderId="0"/>
    <xf numFmtId="0" fontId="218" fillId="36" borderId="0"/>
    <xf numFmtId="0" fontId="52" fillId="36" borderId="0"/>
    <xf numFmtId="0" fontId="218" fillId="36" borderId="0"/>
    <xf numFmtId="0" fontId="52" fillId="36" borderId="0"/>
    <xf numFmtId="0" fontId="218" fillId="36" borderId="0"/>
    <xf numFmtId="0" fontId="52" fillId="36" borderId="0"/>
    <xf numFmtId="0" fontId="218" fillId="36" borderId="0"/>
    <xf numFmtId="0" fontId="218" fillId="36" borderId="0"/>
    <xf numFmtId="0" fontId="218" fillId="36" borderId="0"/>
    <xf numFmtId="0" fontId="218" fillId="36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14" borderId="0"/>
    <xf numFmtId="0" fontId="43" fillId="15" borderId="0"/>
    <xf numFmtId="0" fontId="43" fillId="15" borderId="0"/>
    <xf numFmtId="0" fontId="44" fillId="14" borderId="0"/>
    <xf numFmtId="0" fontId="43" fillId="14" borderId="0"/>
    <xf numFmtId="0" fontId="43" fillId="14" borderId="0"/>
    <xf numFmtId="0" fontId="43" fillId="14" borderId="0"/>
    <xf numFmtId="0" fontId="43" fillId="14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38" borderId="0"/>
    <xf numFmtId="0" fontId="43" fillId="20" borderId="0"/>
    <xf numFmtId="0" fontId="43" fillId="20" borderId="0"/>
    <xf numFmtId="0" fontId="44" fillId="38" borderId="0"/>
    <xf numFmtId="0" fontId="43" fillId="38" borderId="0"/>
    <xf numFmtId="0" fontId="43" fillId="38" borderId="0"/>
    <xf numFmtId="0" fontId="43" fillId="38" borderId="0"/>
    <xf numFmtId="0" fontId="43" fillId="38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8" borderId="0"/>
    <xf numFmtId="0" fontId="43" fillId="9" borderId="0"/>
    <xf numFmtId="0" fontId="43" fillId="9" borderId="0"/>
    <xf numFmtId="0" fontId="44" fillId="8" borderId="0"/>
    <xf numFmtId="0" fontId="43" fillId="8" borderId="0"/>
    <xf numFmtId="0" fontId="43" fillId="8" borderId="0"/>
    <xf numFmtId="0" fontId="43" fillId="8" borderId="0"/>
    <xf numFmtId="0" fontId="43" fillId="8" borderId="0"/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14" borderId="0" applyAlignment="1">
      <alignment vertical="center"/>
    </xf>
    <xf numFmtId="0" fontId="51" fillId="15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38" borderId="0" applyAlignment="1">
      <alignment vertical="center"/>
    </xf>
    <xf numFmtId="0" fontId="51" fillId="20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8" borderId="0" applyAlignment="1">
      <alignment vertical="center"/>
    </xf>
    <xf numFmtId="0" fontId="51" fillId="9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2" fillId="39" borderId="0"/>
    <xf numFmtId="0" fontId="52" fillId="39" borderId="0"/>
    <xf numFmtId="167" fontId="43" fillId="40" borderId="0"/>
    <xf numFmtId="0" fontId="52" fillId="39" borderId="0"/>
    <xf numFmtId="171" fontId="44" fillId="40" borderId="0"/>
    <xf numFmtId="0" fontId="218" fillId="39" borderId="0"/>
    <xf numFmtId="0" fontId="52" fillId="39" borderId="0"/>
    <xf numFmtId="0" fontId="218" fillId="39" borderId="0"/>
    <xf numFmtId="0" fontId="52" fillId="39" borderId="0"/>
    <xf numFmtId="0" fontId="218" fillId="39" borderId="0"/>
    <xf numFmtId="0" fontId="52" fillId="39" borderId="0"/>
    <xf numFmtId="0" fontId="218" fillId="39" borderId="0"/>
    <xf numFmtId="0" fontId="218" fillId="39" borderId="0"/>
    <xf numFmtId="0" fontId="218" fillId="39" borderId="0"/>
    <xf numFmtId="0" fontId="218" fillId="39" borderId="0"/>
    <xf numFmtId="0" fontId="52" fillId="41" borderId="0"/>
    <xf numFmtId="0" fontId="52" fillId="41" borderId="0"/>
    <xf numFmtId="167" fontId="43" fillId="5" borderId="0"/>
    <xf numFmtId="0" fontId="52" fillId="41" borderId="0"/>
    <xf numFmtId="171" fontId="44" fillId="5" borderId="0"/>
    <xf numFmtId="0" fontId="218" fillId="41" borderId="0"/>
    <xf numFmtId="0" fontId="52" fillId="41" borderId="0"/>
    <xf numFmtId="0" fontId="218" fillId="41" borderId="0"/>
    <xf numFmtId="0" fontId="52" fillId="41" borderId="0"/>
    <xf numFmtId="0" fontId="218" fillId="41" borderId="0"/>
    <xf numFmtId="0" fontId="52" fillId="41" borderId="0"/>
    <xf numFmtId="0" fontId="218" fillId="41" borderId="0"/>
    <xf numFmtId="0" fontId="218" fillId="41" borderId="0"/>
    <xf numFmtId="0" fontId="218" fillId="41" borderId="0"/>
    <xf numFmtId="0" fontId="218" fillId="41" borderId="0"/>
    <xf numFmtId="0" fontId="52" fillId="42" borderId="0"/>
    <xf numFmtId="0" fontId="52" fillId="42" borderId="0"/>
    <xf numFmtId="167" fontId="43" fillId="43" borderId="0"/>
    <xf numFmtId="0" fontId="52" fillId="42" borderId="0"/>
    <xf numFmtId="171" fontId="44" fillId="43" borderId="0"/>
    <xf numFmtId="0" fontId="218" fillId="42" borderId="0"/>
    <xf numFmtId="0" fontId="52" fillId="42" borderId="0"/>
    <xf numFmtId="0" fontId="218" fillId="42" borderId="0"/>
    <xf numFmtId="0" fontId="52" fillId="42" borderId="0"/>
    <xf numFmtId="0" fontId="218" fillId="42" borderId="0"/>
    <xf numFmtId="0" fontId="52" fillId="42" borderId="0"/>
    <xf numFmtId="0" fontId="218" fillId="42" borderId="0"/>
    <xf numFmtId="0" fontId="218" fillId="42" borderId="0"/>
    <xf numFmtId="0" fontId="218" fillId="42" borderId="0"/>
    <xf numFmtId="0" fontId="218" fillId="42" borderId="0"/>
    <xf numFmtId="0" fontId="52" fillId="44" borderId="0"/>
    <xf numFmtId="0" fontId="52" fillId="44" borderId="0"/>
    <xf numFmtId="167" fontId="43" fillId="34" borderId="0"/>
    <xf numFmtId="0" fontId="52" fillId="44" borderId="0"/>
    <xf numFmtId="171" fontId="44" fillId="34" borderId="0"/>
    <xf numFmtId="0" fontId="218" fillId="44" borderId="0"/>
    <xf numFmtId="0" fontId="52" fillId="44" borderId="0"/>
    <xf numFmtId="0" fontId="218" fillId="44" borderId="0"/>
    <xf numFmtId="0" fontId="52" fillId="44" borderId="0"/>
    <xf numFmtId="0" fontId="218" fillId="44" borderId="0"/>
    <xf numFmtId="0" fontId="52" fillId="44" borderId="0"/>
    <xf numFmtId="0" fontId="218" fillId="44" borderId="0"/>
    <xf numFmtId="0" fontId="218" fillId="44" borderId="0"/>
    <xf numFmtId="0" fontId="218" fillId="44" borderId="0"/>
    <xf numFmtId="0" fontId="218" fillId="44" borderId="0"/>
    <xf numFmtId="0" fontId="52" fillId="45" borderId="0"/>
    <xf numFmtId="0" fontId="52" fillId="45" borderId="0"/>
    <xf numFmtId="0" fontId="218" fillId="45" borderId="0"/>
    <xf numFmtId="167" fontId="43" fillId="40" borderId="0"/>
    <xf numFmtId="0" fontId="52" fillId="45" borderId="0"/>
    <xf numFmtId="171" fontId="44" fillId="40" borderId="0"/>
    <xf numFmtId="0" fontId="218" fillId="45" borderId="0"/>
    <xf numFmtId="0" fontId="52" fillId="45" borderId="0"/>
    <xf numFmtId="0" fontId="218" fillId="45" borderId="0"/>
    <xf numFmtId="0" fontId="52" fillId="45" borderId="0"/>
    <xf numFmtId="0" fontId="218" fillId="45" borderId="0"/>
    <xf numFmtId="0" fontId="52" fillId="45" borderId="0"/>
    <xf numFmtId="0" fontId="218" fillId="45" borderId="0"/>
    <xf numFmtId="0" fontId="218" fillId="45" borderId="0"/>
    <xf numFmtId="0" fontId="218" fillId="45" borderId="0"/>
    <xf numFmtId="0" fontId="218" fillId="45" borderId="0"/>
    <xf numFmtId="0" fontId="52" fillId="46" borderId="0"/>
    <xf numFmtId="0" fontId="52" fillId="46" borderId="0"/>
    <xf numFmtId="167" fontId="43" fillId="6" borderId="0"/>
    <xf numFmtId="0" fontId="52" fillId="46" borderId="0"/>
    <xf numFmtId="171" fontId="44" fillId="6" borderId="0"/>
    <xf numFmtId="0" fontId="218" fillId="46" borderId="0"/>
    <xf numFmtId="0" fontId="52" fillId="46" borderId="0"/>
    <xf numFmtId="0" fontId="218" fillId="46" borderId="0"/>
    <xf numFmtId="0" fontId="52" fillId="46" borderId="0"/>
    <xf numFmtId="0" fontId="218" fillId="46" borderId="0"/>
    <xf numFmtId="0" fontId="52" fillId="46" borderId="0"/>
    <xf numFmtId="0" fontId="218" fillId="46" borderId="0"/>
    <xf numFmtId="0" fontId="218" fillId="46" borderId="0"/>
    <xf numFmtId="0" fontId="218" fillId="46" borderId="0"/>
    <xf numFmtId="0" fontId="218" fillId="46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32" fillId="6" borderId="0"/>
    <xf numFmtId="0" fontId="32" fillId="7" borderId="0"/>
    <xf numFmtId="0" fontId="32" fillId="6" borderId="0"/>
    <xf numFmtId="0" fontId="32" fillId="6" borderId="0"/>
    <xf numFmtId="0" fontId="32" fillId="6" borderId="0"/>
    <xf numFmtId="0" fontId="32" fillId="10" borderId="0"/>
    <xf numFmtId="0" fontId="32" fillId="11" borderId="0"/>
    <xf numFmtId="0" fontId="32" fillId="10" borderId="0"/>
    <xf numFmtId="0" fontId="32" fillId="10" borderId="0"/>
    <xf numFmtId="0" fontId="32" fillId="10" borderId="0"/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6" borderId="0" applyAlignment="1">
      <alignment vertical="center"/>
    </xf>
    <xf numFmtId="0" fontId="45" fillId="7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10" borderId="0" applyAlignment="1">
      <alignment vertical="center"/>
    </xf>
    <xf numFmtId="0" fontId="45" fillId="11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167" fontId="32" fillId="47" borderId="0"/>
    <xf numFmtId="0" fontId="52" fillId="48" borderId="0"/>
    <xf numFmtId="171" fontId="32" fillId="47" borderId="0"/>
    <xf numFmtId="0" fontId="52" fillId="48" borderId="0"/>
    <xf numFmtId="0" fontId="52" fillId="48" borderId="0"/>
    <xf numFmtId="0" fontId="52" fillId="48" borderId="0"/>
    <xf numFmtId="0" fontId="52" fillId="48" borderId="0"/>
    <xf numFmtId="167" fontId="32" fillId="5" borderId="0"/>
    <xf numFmtId="0" fontId="52" fillId="49" borderId="0"/>
    <xf numFmtId="171" fontId="32" fillId="5" borderId="0"/>
    <xf numFmtId="0" fontId="52" fillId="49" borderId="0"/>
    <xf numFmtId="0" fontId="52" fillId="49" borderId="0"/>
    <xf numFmtId="0" fontId="52" fillId="49" borderId="0"/>
    <xf numFmtId="0" fontId="52" fillId="49" borderId="0"/>
    <xf numFmtId="167" fontId="32" fillId="43" borderId="0"/>
    <xf numFmtId="0" fontId="52" fillId="50" borderId="0"/>
    <xf numFmtId="171" fontId="32" fillId="43" borderId="0"/>
    <xf numFmtId="0" fontId="52" fillId="50" borderId="0"/>
    <xf numFmtId="0" fontId="52" fillId="50" borderId="0"/>
    <xf numFmtId="0" fontId="52" fillId="50" borderId="0"/>
    <xf numFmtId="0" fontId="52" fillId="50" borderId="0"/>
    <xf numFmtId="167" fontId="32" fillId="51" borderId="0"/>
    <xf numFmtId="0" fontId="52" fillId="52" borderId="0"/>
    <xf numFmtId="171" fontId="32" fillId="51" borderId="0"/>
    <xf numFmtId="0" fontId="52" fillId="52" borderId="0"/>
    <xf numFmtId="0" fontId="52" fillId="52" borderId="0"/>
    <xf numFmtId="0" fontId="52" fillId="52" borderId="0"/>
    <xf numFmtId="0" fontId="52" fillId="52" borderId="0"/>
    <xf numFmtId="167" fontId="32" fillId="53" borderId="0"/>
    <xf numFmtId="0" fontId="52" fillId="54" borderId="0"/>
    <xf numFmtId="171" fontId="32" fillId="53" borderId="0"/>
    <xf numFmtId="0" fontId="52" fillId="54" borderId="0"/>
    <xf numFmtId="0" fontId="52" fillId="54" borderId="0"/>
    <xf numFmtId="0" fontId="52" fillId="54" borderId="0"/>
    <xf numFmtId="0" fontId="52" fillId="54" borderId="0"/>
    <xf numFmtId="167" fontId="32" fillId="21" borderId="0"/>
    <xf numFmtId="0" fontId="52" fillId="55" borderId="0"/>
    <xf numFmtId="171" fontId="32" fillId="21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4" fillId="48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4" fillId="49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4" fillId="50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4" fillId="52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4" fillId="54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4" fillId="55" borderId="0"/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48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13"/>
    <xf numFmtId="167" fontId="32" fillId="56" borderId="0"/>
    <xf numFmtId="0" fontId="54" fillId="57" borderId="0"/>
    <xf numFmtId="171" fontId="32" fillId="56" borderId="0"/>
    <xf numFmtId="0" fontId="54" fillId="57" borderId="0"/>
    <xf numFmtId="0" fontId="54" fillId="58" borderId="0"/>
    <xf numFmtId="167" fontId="32" fillId="59" borderId="0"/>
    <xf numFmtId="0" fontId="57" fillId="58" borderId="0"/>
    <xf numFmtId="171" fontId="32" fillId="59" borderId="0"/>
    <xf numFmtId="0" fontId="57" fillId="58" borderId="0"/>
    <xf numFmtId="167" fontId="32" fillId="60" borderId="0"/>
    <xf numFmtId="0" fontId="57" fillId="61" borderId="0"/>
    <xf numFmtId="171" fontId="32" fillId="60" borderId="0"/>
    <xf numFmtId="0" fontId="57" fillId="61" borderId="0"/>
    <xf numFmtId="167" fontId="32" fillId="51" borderId="0"/>
    <xf numFmtId="0" fontId="57" fillId="62" borderId="0"/>
    <xf numFmtId="171" fontId="32" fillId="51" borderId="0"/>
    <xf numFmtId="0" fontId="57" fillId="62" borderId="0"/>
    <xf numFmtId="167" fontId="32" fillId="53" borderId="0"/>
    <xf numFmtId="0" fontId="57" fillId="63" borderId="0"/>
    <xf numFmtId="171" fontId="32" fillId="53" borderId="0"/>
    <xf numFmtId="0" fontId="57" fillId="63" borderId="0"/>
    <xf numFmtId="167" fontId="32" fillId="64" borderId="0"/>
    <xf numFmtId="0" fontId="57" fillId="65" borderId="0"/>
    <xf numFmtId="171" fontId="32" fillId="64" borderId="0"/>
    <xf numFmtId="0" fontId="57" fillId="65" borderId="0"/>
    <xf numFmtId="172" fontId="58" fillId="0" borderId="0"/>
    <xf numFmtId="167" fontId="59" fillId="0" borderId="0"/>
    <xf numFmtId="173" fontId="58" fillId="0" borderId="0"/>
    <xf numFmtId="167" fontId="59" fillId="0" borderId="0"/>
    <xf numFmtId="3" fontId="60" fillId="0" borderId="0"/>
    <xf numFmtId="3" fontId="61" fillId="0" borderId="0"/>
    <xf numFmtId="174" fontId="58" fillId="0" borderId="0"/>
    <xf numFmtId="167" fontId="59" fillId="0" borderId="0"/>
    <xf numFmtId="175" fontId="58" fillId="0" borderId="0"/>
    <xf numFmtId="167" fontId="59" fillId="0" borderId="0"/>
    <xf numFmtId="167" fontId="8" fillId="30" borderId="0"/>
    <xf numFmtId="0" fontId="62" fillId="66" borderId="0"/>
    <xf numFmtId="171" fontId="8" fillId="30" borderId="0"/>
    <xf numFmtId="0" fontId="62" fillId="66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176" fontId="23" fillId="0" borderId="0"/>
    <xf numFmtId="176" fontId="23" fillId="0" borderId="0"/>
    <xf numFmtId="0" fontId="63" fillId="67" borderId="0"/>
    <xf numFmtId="177" fontId="4" fillId="0" borderId="0"/>
    <xf numFmtId="38" fontId="64" fillId="0" borderId="13"/>
    <xf numFmtId="178" fontId="65" fillId="0" borderId="0" applyAlignment="1">
      <alignment horizontal="right" vertical="top" wrapText="1"/>
    </xf>
    <xf numFmtId="167" fontId="59" fillId="0" borderId="0"/>
    <xf numFmtId="167" fontId="66" fillId="0" borderId="0"/>
    <xf numFmtId="167" fontId="59" fillId="0" borderId="0"/>
    <xf numFmtId="179" fontId="3" fillId="0" borderId="0"/>
    <xf numFmtId="179" fontId="3" fillId="0" borderId="0"/>
    <xf numFmtId="180" fontId="3" fillId="0" borderId="0"/>
    <xf numFmtId="180" fontId="3" fillId="0" borderId="0"/>
    <xf numFmtId="181" fontId="3" fillId="0" borderId="0"/>
    <xf numFmtId="181" fontId="3" fillId="0" borderId="0"/>
    <xf numFmtId="182" fontId="3" fillId="0" borderId="0"/>
    <xf numFmtId="182" fontId="3" fillId="0" borderId="0"/>
    <xf numFmtId="183" fontId="3" fillId="0" borderId="0"/>
    <xf numFmtId="183" fontId="3" fillId="0" borderId="0"/>
    <xf numFmtId="184" fontId="3" fillId="0" borderId="0"/>
    <xf numFmtId="184" fontId="3" fillId="0" borderId="0"/>
    <xf numFmtId="185" fontId="3" fillId="0" borderId="0"/>
    <xf numFmtId="185" fontId="3" fillId="0" borderId="0"/>
    <xf numFmtId="180" fontId="3" fillId="0" borderId="0"/>
    <xf numFmtId="180" fontId="3" fillId="0" borderId="0"/>
    <xf numFmtId="167" fontId="67" fillId="20" borderId="8"/>
    <xf numFmtId="0" fontId="68" fillId="68" borderId="14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67" fontId="67" fillId="20" borderId="8"/>
    <xf numFmtId="171" fontId="67" fillId="20" borderId="8"/>
    <xf numFmtId="0" fontId="68" fillId="68" borderId="14"/>
    <xf numFmtId="171" fontId="67" fillId="20" borderId="8"/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167" fontId="63" fillId="69" borderId="16"/>
    <xf numFmtId="0" fontId="69" fillId="70" borderId="17"/>
    <xf numFmtId="171" fontId="63" fillId="69" borderId="16"/>
    <xf numFmtId="0" fontId="69" fillId="70" borderId="17"/>
    <xf numFmtId="0" fontId="35" fillId="0" borderId="0" applyAlignment="1" applyProtection="1">
      <alignment vertical="top"/>
      <protection locked="0" hidden="0"/>
    </xf>
    <xf numFmtId="38" fontId="70" fillId="0" borderId="0" applyProtection="1">
      <protection locked="0" hidden="0"/>
    </xf>
    <xf numFmtId="38" fontId="71" fillId="0" borderId="0" applyProtection="1">
      <protection locked="0" hidden="0"/>
    </xf>
    <xf numFmtId="38" fontId="72" fillId="0" borderId="0" applyProtection="1">
      <protection locked="0" hidden="0"/>
    </xf>
    <xf numFmtId="0" fontId="73" fillId="0" borderId="18" applyAlignment="1">
      <alignment horizontal="center"/>
    </xf>
    <xf numFmtId="186" fontId="3" fillId="0" borderId="0"/>
    <xf numFmtId="186" fontId="3" fillId="0" borderId="0"/>
    <xf numFmtId="186" fontId="3" fillId="0" borderId="0"/>
    <xf numFmtId="186" fontId="3" fillId="0" borderId="0"/>
    <xf numFmtId="186" fontId="3" fillId="0" borderId="0"/>
    <xf numFmtId="186" fontId="3" fillId="0" borderId="0"/>
    <xf numFmtId="186" fontId="3" fillId="0" borderId="0"/>
    <xf numFmtId="186" fontId="3" fillId="0" borderId="0"/>
    <xf numFmtId="187" fontId="74" fillId="0" borderId="0"/>
    <xf numFmtId="177" fontId="4" fillId="0" borderId="0" applyProtection="1">
      <protection locked="0" hidden="0"/>
    </xf>
    <xf numFmtId="40" fontId="49" fillId="0" borderId="0" applyProtection="1">
      <protection locked="0" hidden="0"/>
    </xf>
    <xf numFmtId="40" fontId="49" fillId="0" borderId="0" applyProtection="1">
      <protection locked="0" hidden="0"/>
    </xf>
    <xf numFmtId="184" fontId="3" fillId="0" borderId="0"/>
    <xf numFmtId="18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8" fontId="3" fillId="0" borderId="0"/>
    <xf numFmtId="188" fontId="3" fillId="0" borderId="0"/>
    <xf numFmtId="43" fontId="23" fillId="0" borderId="0"/>
    <xf numFmtId="43" fontId="23" fillId="0" borderId="0"/>
    <xf numFmtId="188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9" fontId="21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18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9" fontId="218" fillId="0" borderId="0"/>
    <xf numFmtId="43" fontId="23" fillId="0" borderId="0"/>
    <xf numFmtId="188" fontId="3" fillId="0" borderId="0"/>
    <xf numFmtId="190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3" fillId="0" borderId="0"/>
    <xf numFmtId="43" fontId="23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18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189" fontId="218" fillId="0" borderId="0"/>
    <xf numFmtId="190" fontId="3" fillId="0" borderId="0"/>
    <xf numFmtId="43" fontId="75" fillId="0" borderId="0"/>
    <xf numFmtId="190" fontId="3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75" fillId="0" borderId="0"/>
    <xf numFmtId="43" fontId="75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189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1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8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0" fontId="3" fillId="0" borderId="0"/>
    <xf numFmtId="190" fontId="3" fillId="0" borderId="0"/>
    <xf numFmtId="188" fontId="3" fillId="0" borderId="0"/>
    <xf numFmtId="43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3" fontId="49" fillId="0" borderId="0"/>
    <xf numFmtId="3" fontId="3" fillId="0" borderId="0"/>
    <xf numFmtId="3" fontId="3" fillId="0" borderId="0"/>
    <xf numFmtId="0" fontId="3" fillId="0" borderId="0"/>
    <xf numFmtId="0" fontId="3" fillId="0" borderId="0"/>
    <xf numFmtId="167" fontId="76" fillId="0" borderId="0" applyAlignment="1">
      <alignment horizontal="left" vertical="top" wrapText="1"/>
    </xf>
    <xf numFmtId="0" fontId="77" fillId="0" borderId="0" applyAlignment="1">
      <alignment horizontal="left"/>
    </xf>
    <xf numFmtId="192" fontId="49" fillId="0" borderId="0" applyProtection="1">
      <protection locked="0" hidden="0"/>
    </xf>
    <xf numFmtId="192" fontId="49" fillId="0" borderId="0" applyProtection="1">
      <protection locked="0" hidden="0"/>
    </xf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3" fontId="78" fillId="0" borderId="19"/>
    <xf numFmtId="194" fontId="49" fillId="0" borderId="0" applyProtection="1">
      <protection locked="0" hidden="0"/>
    </xf>
    <xf numFmtId="194" fontId="49" fillId="0" borderId="0" applyProtection="1">
      <protection locked="0" hidden="0"/>
    </xf>
    <xf numFmtId="180" fontId="3" fillId="0" borderId="0"/>
    <xf numFmtId="180" fontId="3" fillId="0" borderId="0"/>
    <xf numFmtId="195" fontId="3" fillId="0" borderId="0"/>
    <xf numFmtId="195" fontId="3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169" fontId="3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169" fontId="3" fillId="0" borderId="0"/>
    <xf numFmtId="169" fontId="3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196" fontId="49" fillId="0" borderId="0"/>
    <xf numFmtId="197" fontId="79" fillId="0" borderId="0"/>
    <xf numFmtId="198" fontId="4" fillId="0" borderId="0"/>
    <xf numFmtId="167" fontId="223" fillId="20" borderId="0" applyAlignment="1">
      <alignment horizontal="left"/>
    </xf>
    <xf numFmtId="0" fontId="81" fillId="71" borderId="0" applyAlignment="1">
      <alignment horizontal="centerContinuous"/>
    </xf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167" fontId="49" fillId="0" borderId="0"/>
    <xf numFmtId="14" fontId="65" fillId="0" borderId="0" applyAlignment="1">
      <alignment horizontal="right" vertical="top" wrapText="1"/>
    </xf>
    <xf numFmtId="14" fontId="3" fillId="0" borderId="0"/>
    <xf numFmtId="0" fontId="82" fillId="0" borderId="0"/>
    <xf numFmtId="199" fontId="4" fillId="0" borderId="0" applyAlignment="1">
      <alignment horizontal="left"/>
    </xf>
    <xf numFmtId="200" fontId="83" fillId="0" borderId="0" applyProtection="1">
      <protection locked="0" hidden="0"/>
    </xf>
    <xf numFmtId="39" fontId="48" fillId="0" borderId="0"/>
    <xf numFmtId="201" fontId="84" fillId="0" borderId="0"/>
    <xf numFmtId="38" fontId="5" fillId="0" borderId="20" applyAlignment="1">
      <alignment vertical="center"/>
    </xf>
    <xf numFmtId="38" fontId="5" fillId="0" borderId="20" applyAlignment="1">
      <alignment vertical="center"/>
    </xf>
    <xf numFmtId="38" fontId="3" fillId="0" borderId="0"/>
    <xf numFmtId="40" fontId="3" fillId="0" borderId="0"/>
    <xf numFmtId="202" fontId="85" fillId="0" borderId="0"/>
    <xf numFmtId="203" fontId="56" fillId="0" borderId="0"/>
    <xf numFmtId="204" fontId="3" fillId="0" borderId="0"/>
    <xf numFmtId="205" fontId="3" fillId="0" borderId="0"/>
    <xf numFmtId="204" fontId="3" fillId="0" borderId="0"/>
    <xf numFmtId="205" fontId="3" fillId="0" borderId="0"/>
    <xf numFmtId="204" fontId="3" fillId="0" borderId="0"/>
    <xf numFmtId="205" fontId="3" fillId="0" borderId="0"/>
    <xf numFmtId="204" fontId="3" fillId="0" borderId="0"/>
    <xf numFmtId="205" fontId="3" fillId="0" borderId="0"/>
    <xf numFmtId="204" fontId="3" fillId="0" borderId="0"/>
    <xf numFmtId="205" fontId="3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08" fontId="60" fillId="0" borderId="0"/>
    <xf numFmtId="209" fontId="60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06" fontId="3" fillId="0" borderId="0"/>
    <xf numFmtId="207" fontId="3" fillId="0" borderId="0"/>
    <xf numFmtId="210" fontId="56" fillId="0" borderId="0"/>
    <xf numFmtId="211" fontId="3" fillId="0" borderId="0"/>
    <xf numFmtId="207" fontId="3" fillId="0" borderId="0"/>
    <xf numFmtId="211" fontId="3" fillId="0" borderId="0"/>
    <xf numFmtId="207" fontId="3" fillId="0" borderId="0"/>
    <xf numFmtId="211" fontId="3" fillId="0" borderId="0"/>
    <xf numFmtId="207" fontId="3" fillId="0" borderId="0"/>
    <xf numFmtId="211" fontId="3" fillId="0" borderId="0"/>
    <xf numFmtId="207" fontId="3" fillId="0" borderId="0"/>
    <xf numFmtId="211" fontId="3" fillId="0" borderId="0"/>
    <xf numFmtId="207" fontId="3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213" fontId="60" fillId="0" borderId="0"/>
    <xf numFmtId="214" fontId="60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202" fontId="3" fillId="0" borderId="0"/>
    <xf numFmtId="212" fontId="3" fillId="0" borderId="0"/>
    <xf numFmtId="184" fontId="3" fillId="0" borderId="0"/>
    <xf numFmtId="184" fontId="3" fillId="0" borderId="0"/>
    <xf numFmtId="180" fontId="3" fillId="0" borderId="0"/>
    <xf numFmtId="180" fontId="3" fillId="0" borderId="0"/>
    <xf numFmtId="184" fontId="3" fillId="0" borderId="0"/>
    <xf numFmtId="184" fontId="3" fillId="0" borderId="0"/>
    <xf numFmtId="185" fontId="3" fillId="0" borderId="0"/>
    <xf numFmtId="185" fontId="3" fillId="0" borderId="0"/>
    <xf numFmtId="180" fontId="3" fillId="0" borderId="0"/>
    <xf numFmtId="180" fontId="3" fillId="0" borderId="0"/>
    <xf numFmtId="0" fontId="86" fillId="0" borderId="0" applyAlignment="1">
      <alignment horizontal="left"/>
    </xf>
    <xf numFmtId="3" fontId="87" fillId="0" borderId="0" applyAlignment="1" applyProtection="1">
      <alignment horizontal="left"/>
      <protection locked="0" hidden="0"/>
    </xf>
    <xf numFmtId="167" fontId="23" fillId="0" borderId="0"/>
    <xf numFmtId="167" fontId="223" fillId="0" borderId="0"/>
    <xf numFmtId="167" fontId="23" fillId="0" borderId="0"/>
    <xf numFmtId="215" fontId="3" fillId="0" borderId="0"/>
    <xf numFmtId="0" fontId="44" fillId="0" borderId="0"/>
    <xf numFmtId="167" fontId="88" fillId="0" borderId="0"/>
    <xf numFmtId="0" fontId="89" fillId="0" borderId="0"/>
    <xf numFmtId="171" fontId="88" fillId="0" borderId="0"/>
    <xf numFmtId="0" fontId="89" fillId="0" borderId="0"/>
    <xf numFmtId="167" fontId="46" fillId="69" borderId="0"/>
    <xf numFmtId="167" fontId="90" fillId="0" borderId="0"/>
    <xf numFmtId="216" fontId="91" fillId="0" borderId="0" applyAlignment="1">
      <alignment horizontal="right"/>
    </xf>
    <xf numFmtId="15" fontId="46" fillId="0" borderId="0" applyAlignment="1">
      <alignment horizontal="center"/>
    </xf>
    <xf numFmtId="167" fontId="46" fillId="30" borderId="0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20" borderId="21"/>
    <xf numFmtId="217" fontId="223" fillId="0" borderId="0"/>
    <xf numFmtId="217" fontId="92" fillId="0" borderId="0"/>
    <xf numFmtId="15" fontId="46" fillId="0" borderId="0" applyAlignment="1">
      <alignment horizontal="center"/>
    </xf>
    <xf numFmtId="218" fontId="93" fillId="18" borderId="22" applyProtection="1">
      <protection locked="0" hidden="0"/>
    </xf>
    <xf numFmtId="217" fontId="94" fillId="18" borderId="22" applyProtection="1">
      <protection locked="0" hidden="0"/>
    </xf>
    <xf numFmtId="217" fontId="46" fillId="0" borderId="0"/>
    <xf numFmtId="218" fontId="46" fillId="0" borderId="0"/>
    <xf numFmtId="219" fontId="46" fillId="0" borderId="0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1"/>
    <xf numFmtId="167" fontId="46" fillId="0" borderId="23"/>
    <xf numFmtId="167" fontId="46" fillId="43" borderId="0"/>
    <xf numFmtId="220" fontId="95" fillId="0" borderId="0"/>
    <xf numFmtId="221" fontId="95" fillId="0" borderId="0"/>
    <xf numFmtId="2" fontId="49" fillId="0" borderId="0"/>
    <xf numFmtId="2" fontId="3" fillId="0" borderId="0"/>
    <xf numFmtId="2" fontId="3" fillId="0" borderId="0"/>
    <xf numFmtId="2" fontId="82" fillId="0" borderId="0"/>
    <xf numFmtId="167" fontId="3" fillId="0" borderId="0"/>
    <xf numFmtId="167" fontId="3" fillId="0" borderId="0"/>
    <xf numFmtId="0" fontId="47" fillId="32" borderId="0" applyAlignment="1">
      <alignment horizontal="right"/>
    </xf>
    <xf numFmtId="167" fontId="46" fillId="0" borderId="0"/>
    <xf numFmtId="167" fontId="96" fillId="32" borderId="0"/>
    <xf numFmtId="0" fontId="97" fillId="72" borderId="0"/>
    <xf numFmtId="171" fontId="96" fillId="32" borderId="0"/>
    <xf numFmtId="0" fontId="97" fillId="72" borderId="0"/>
    <xf numFmtId="38" fontId="23" fillId="20" borderId="0"/>
    <xf numFmtId="38" fontId="23" fillId="20" borderId="0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222" fontId="73" fillId="8" borderId="19"/>
    <xf numFmtId="167" fontId="98" fillId="0" borderId="0" applyAlignment="1">
      <alignment horizontal="center"/>
    </xf>
    <xf numFmtId="167" fontId="99" fillId="0" borderId="24" applyAlignment="1">
      <alignment horizontal="left"/>
    </xf>
    <xf numFmtId="167" fontId="99" fillId="0" borderId="24" applyAlignment="1">
      <alignment horizontal="left" vertical="center"/>
    </xf>
    <xf numFmtId="167" fontId="99" fillId="0" borderId="21" applyAlignment="1">
      <alignment horizontal="left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 vertical="center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167" fontId="99" fillId="0" borderId="21" applyAlignment="1">
      <alignment horizontal="left"/>
    </xf>
    <xf numFmtId="0" fontId="99" fillId="0" borderId="21" applyAlignment="1">
      <alignment horizontal="left" vertical="center"/>
    </xf>
    <xf numFmtId="223" fontId="100" fillId="8" borderId="0" applyAlignment="1">
      <alignment horizontal="left" vertical="top"/>
    </xf>
    <xf numFmtId="167" fontId="101" fillId="0" borderId="0"/>
    <xf numFmtId="0" fontId="102" fillId="0" borderId="25"/>
    <xf numFmtId="171" fontId="103" fillId="0" borderId="26"/>
    <xf numFmtId="0" fontId="102" fillId="0" borderId="25"/>
    <xf numFmtId="167" fontId="99" fillId="0" borderId="0"/>
    <xf numFmtId="0" fontId="104" fillId="0" borderId="27"/>
    <xf numFmtId="171" fontId="105" fillId="0" borderId="28"/>
    <xf numFmtId="0" fontId="104" fillId="0" borderId="27"/>
    <xf numFmtId="167" fontId="106" fillId="0" borderId="29"/>
    <xf numFmtId="0" fontId="107" fillId="0" borderId="30"/>
    <xf numFmtId="171" fontId="106" fillId="0" borderId="29"/>
    <xf numFmtId="0" fontId="107" fillId="0" borderId="30"/>
    <xf numFmtId="167" fontId="106" fillId="0" borderId="0"/>
    <xf numFmtId="0" fontId="107" fillId="0" borderId="0"/>
    <xf numFmtId="171" fontId="106" fillId="0" borderId="0"/>
    <xf numFmtId="0" fontId="107" fillId="0" borderId="0"/>
    <xf numFmtId="167" fontId="108" fillId="0" borderId="0"/>
    <xf numFmtId="167" fontId="99" fillId="0" borderId="0"/>
    <xf numFmtId="167" fontId="109" fillId="0" borderId="0"/>
    <xf numFmtId="167" fontId="60" fillId="0" borderId="0"/>
    <xf numFmtId="167" fontId="223" fillId="0" borderId="0"/>
    <xf numFmtId="167" fontId="110" fillId="0" borderId="0"/>
    <xf numFmtId="167" fontId="3" fillId="0" borderId="0" applyAlignment="1">
      <alignment horizontal="center"/>
    </xf>
    <xf numFmtId="167" fontId="3" fillId="0" borderId="0" applyAlignment="1">
      <alignment horizontal="center"/>
    </xf>
    <xf numFmtId="0" fontId="111" fillId="0" borderId="0"/>
    <xf numFmtId="0" fontId="112" fillId="0" borderId="0" applyAlignment="1" applyProtection="1">
      <alignment vertical="top"/>
      <protection locked="0" hidden="0"/>
    </xf>
    <xf numFmtId="0" fontId="112" fillId="0" borderId="0" applyAlignment="1" applyProtection="1">
      <alignment vertical="top"/>
      <protection locked="0" hidden="0"/>
    </xf>
    <xf numFmtId="0" fontId="111" fillId="0" borderId="0"/>
    <xf numFmtId="0" fontId="111" fillId="0" borderId="0"/>
    <xf numFmtId="0" fontId="111" fillId="0" borderId="0"/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111" fillId="0" borderId="0"/>
    <xf numFmtId="167" fontId="113" fillId="0" borderId="0"/>
    <xf numFmtId="167" fontId="114" fillId="8" borderId="0" applyAlignment="1">
      <alignment horizontal="left" wrapText="1" indent="2"/>
    </xf>
    <xf numFmtId="177" fontId="115" fillId="0" borderId="31" applyAlignment="1" applyProtection="1">
      <alignment horizontal="center"/>
      <protection locked="0" hidden="0"/>
    </xf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200" fontId="115" fillId="0" borderId="0" applyProtection="1">
      <protection locked="0" hidden="0"/>
    </xf>
    <xf numFmtId="167" fontId="116" fillId="37" borderId="8"/>
    <xf numFmtId="0" fontId="117" fillId="37" borderId="14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71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71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167" fontId="116" fillId="37" borderId="8"/>
    <xf numFmtId="0" fontId="117" fillId="37" borderId="14"/>
    <xf numFmtId="221" fontId="3" fillId="0" borderId="0"/>
    <xf numFmtId="221" fontId="3" fillId="0" borderId="0"/>
    <xf numFmtId="221" fontId="3" fillId="0" borderId="0"/>
    <xf numFmtId="43" fontId="3" fillId="0" borderId="0"/>
    <xf numFmtId="38" fontId="118" fillId="0" borderId="0"/>
    <xf numFmtId="38" fontId="119" fillId="0" borderId="0"/>
    <xf numFmtId="38" fontId="120" fillId="0" borderId="0"/>
    <xf numFmtId="38" fontId="121" fillId="0" borderId="0"/>
    <xf numFmtId="167" fontId="122" fillId="0" borderId="0"/>
    <xf numFmtId="167" fontId="122" fillId="0" borderId="0"/>
    <xf numFmtId="167" fontId="122" fillId="0" borderId="0"/>
    <xf numFmtId="0" fontId="123" fillId="0" borderId="0" applyAlignment="1" applyProtection="1">
      <alignment vertical="top"/>
      <protection locked="0" hidden="0"/>
    </xf>
    <xf numFmtId="184" fontId="3" fillId="0" borderId="0"/>
    <xf numFmtId="184" fontId="3" fillId="0" borderId="0"/>
    <xf numFmtId="180" fontId="3" fillId="0" borderId="0"/>
    <xf numFmtId="180" fontId="3" fillId="0" borderId="0"/>
    <xf numFmtId="184" fontId="3" fillId="0" borderId="0"/>
    <xf numFmtId="184" fontId="3" fillId="0" borderId="0"/>
    <xf numFmtId="185" fontId="3" fillId="0" borderId="0"/>
    <xf numFmtId="185" fontId="3" fillId="0" borderId="0"/>
    <xf numFmtId="180" fontId="3" fillId="0" borderId="0"/>
    <xf numFmtId="180" fontId="3" fillId="0" borderId="0"/>
    <xf numFmtId="167" fontId="124" fillId="0" borderId="32"/>
    <xf numFmtId="0" fontId="125" fillId="0" borderId="33"/>
    <xf numFmtId="171" fontId="124" fillId="0" borderId="32"/>
    <xf numFmtId="0" fontId="125" fillId="0" borderId="33"/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224" fontId="99" fillId="20" borderId="34" applyAlignment="1">
      <alignment horizontal="left"/>
    </xf>
    <xf numFmtId="167" fontId="3" fillId="0" borderId="0" applyAlignment="1">
      <alignment horizontal="center"/>
    </xf>
    <xf numFmtId="167" fontId="3" fillId="0" borderId="0" applyAlignment="1">
      <alignment horizontal="center"/>
    </xf>
    <xf numFmtId="0" fontId="46" fillId="38" borderId="0"/>
    <xf numFmtId="41" fontId="3" fillId="0" borderId="0"/>
    <xf numFmtId="43" fontId="3" fillId="0" borderId="0"/>
    <xf numFmtId="225" fontId="3" fillId="0" borderId="0"/>
    <xf numFmtId="226" fontId="3" fillId="0" borderId="0"/>
    <xf numFmtId="42" fontId="3" fillId="0" borderId="0"/>
    <xf numFmtId="169" fontId="3" fillId="0" borderId="0"/>
    <xf numFmtId="227" fontId="3" fillId="0" borderId="0"/>
    <xf numFmtId="167" fontId="5" fillId="0" borderId="0" applyAlignment="1">
      <alignment horizontal="right"/>
    </xf>
    <xf numFmtId="167" fontId="60" fillId="0" borderId="0"/>
    <xf numFmtId="167" fontId="126" fillId="18" borderId="0"/>
    <xf numFmtId="0" fontId="127" fillId="73" borderId="0"/>
    <xf numFmtId="0" fontId="128" fillId="73" borderId="0"/>
    <xf numFmtId="171" fontId="126" fillId="18" borderId="0"/>
    <xf numFmtId="0" fontId="127" fillId="73" borderId="0"/>
    <xf numFmtId="37" fontId="129" fillId="0" borderId="0"/>
    <xf numFmtId="0" fontId="130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167" fontId="113" fillId="0" borderId="0"/>
    <xf numFmtId="228" fontId="3" fillId="0" borderId="0"/>
    <xf numFmtId="167" fontId="3" fillId="0" borderId="0"/>
    <xf numFmtId="167" fontId="3" fillId="0" borderId="0"/>
    <xf numFmtId="0" fontId="3" fillId="0" borderId="0"/>
    <xf numFmtId="228" fontId="3" fillId="0" borderId="0"/>
    <xf numFmtId="0" fontId="131" fillId="0" borderId="0"/>
    <xf numFmtId="38" fontId="3" fillId="0" borderId="0"/>
    <xf numFmtId="38" fontId="3" fillId="0" borderId="0"/>
    <xf numFmtId="229" fontId="3" fillId="0" borderId="0"/>
    <xf numFmtId="229" fontId="3" fillId="0" borderId="0"/>
    <xf numFmtId="0" fontId="3" fillId="0" borderId="0"/>
    <xf numFmtId="0" fontId="3" fillId="0" borderId="0"/>
    <xf numFmtId="0" fontId="4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44" fillId="0" borderId="0"/>
    <xf numFmtId="0" fontId="218" fillId="0" borderId="0"/>
    <xf numFmtId="171" fontId="218" fillId="0" borderId="0"/>
    <xf numFmtId="0" fontId="43" fillId="0" borderId="0"/>
    <xf numFmtId="171" fontId="218" fillId="0" borderId="0"/>
    <xf numFmtId="171" fontId="218" fillId="0" borderId="0"/>
    <xf numFmtId="171" fontId="218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18" fillId="0" borderId="0"/>
    <xf numFmtId="171" fontId="218" fillId="0" borderId="0"/>
    <xf numFmtId="167" fontId="218" fillId="0" borderId="0"/>
    <xf numFmtId="171" fontId="218" fillId="0" borderId="0"/>
    <xf numFmtId="0" fontId="43" fillId="0" borderId="0"/>
    <xf numFmtId="171" fontId="218" fillId="0" borderId="0"/>
    <xf numFmtId="171" fontId="218" fillId="0" borderId="0"/>
    <xf numFmtId="0" fontId="44" fillId="0" borderId="0"/>
    <xf numFmtId="0" fontId="218" fillId="0" borderId="0"/>
    <xf numFmtId="167" fontId="218" fillId="0" borderId="0"/>
    <xf numFmtId="171" fontId="218" fillId="0" borderId="0"/>
    <xf numFmtId="167" fontId="218" fillId="0" borderId="0"/>
    <xf numFmtId="171" fontId="218" fillId="0" borderId="0"/>
    <xf numFmtId="0" fontId="43" fillId="0" borderId="0"/>
    <xf numFmtId="171" fontId="218" fillId="0" borderId="0"/>
    <xf numFmtId="171" fontId="218" fillId="0" borderId="0"/>
    <xf numFmtId="0" fontId="4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8" fillId="0" borderId="0"/>
    <xf numFmtId="167" fontId="218" fillId="0" borderId="0"/>
    <xf numFmtId="167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67" fontId="218" fillId="0" borderId="0"/>
    <xf numFmtId="171" fontId="218" fillId="0" borderId="0"/>
    <xf numFmtId="167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8" fillId="0" borderId="0"/>
    <xf numFmtId="167" fontId="218" fillId="0" borderId="0"/>
    <xf numFmtId="167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67" fontId="218" fillId="0" borderId="0"/>
    <xf numFmtId="171" fontId="218" fillId="0" borderId="0"/>
    <xf numFmtId="167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218" fillId="0" borderId="0"/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3" fillId="0" borderId="0"/>
    <xf numFmtId="0" fontId="218" fillId="0" borderId="0"/>
    <xf numFmtId="167" fontId="218" fillId="0" borderId="0"/>
    <xf numFmtId="171" fontId="218" fillId="0" borderId="0"/>
    <xf numFmtId="167" fontId="218" fillId="0" borderId="0"/>
    <xf numFmtId="171" fontId="218" fillId="0" borderId="0"/>
    <xf numFmtId="171" fontId="218" fillId="0" borderId="0"/>
    <xf numFmtId="171" fontId="218" fillId="0" borderId="0"/>
    <xf numFmtId="167" fontId="218" fillId="0" borderId="0"/>
    <xf numFmtId="171" fontId="218" fillId="0" borderId="0"/>
    <xf numFmtId="167" fontId="218" fillId="0" borderId="0"/>
    <xf numFmtId="171" fontId="218" fillId="0" borderId="0"/>
    <xf numFmtId="0" fontId="43" fillId="0" borderId="0"/>
    <xf numFmtId="171" fontId="218" fillId="0" borderId="0"/>
    <xf numFmtId="171" fontId="218" fillId="0" borderId="0"/>
    <xf numFmtId="0" fontId="44" fillId="0" borderId="0"/>
    <xf numFmtId="0" fontId="44" fillId="0" borderId="0"/>
    <xf numFmtId="0" fontId="218" fillId="0" borderId="0"/>
    <xf numFmtId="0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4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0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0" fontId="218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218" fillId="0" borderId="0"/>
    <xf numFmtId="171" fontId="3" fillId="0" borderId="0" applyAlignment="1">
      <alignment vertical="center"/>
    </xf>
    <xf numFmtId="0" fontId="218" fillId="0" borderId="0"/>
    <xf numFmtId="0" fontId="218" fillId="0" borderId="0"/>
    <xf numFmtId="167" fontId="3" fillId="0" borderId="0"/>
    <xf numFmtId="0" fontId="218" fillId="0" borderId="0"/>
    <xf numFmtId="171" fontId="3" fillId="0" borderId="0" applyAlignment="1">
      <alignment vertical="center"/>
    </xf>
    <xf numFmtId="0" fontId="218" fillId="0" borderId="0"/>
    <xf numFmtId="171" fontId="3" fillId="0" borderId="0" applyAlignment="1">
      <alignment vertical="center"/>
    </xf>
    <xf numFmtId="0" fontId="23" fillId="0" borderId="0"/>
    <xf numFmtId="0" fontId="218" fillId="0" borderId="0"/>
    <xf numFmtId="171" fontId="3" fillId="0" borderId="0" applyAlignment="1">
      <alignment vertical="center"/>
    </xf>
    <xf numFmtId="0" fontId="218" fillId="0" borderId="0"/>
    <xf numFmtId="0" fontId="218" fillId="0" borderId="0"/>
    <xf numFmtId="0" fontId="23" fillId="0" borderId="0"/>
    <xf numFmtId="0" fontId="3" fillId="0" borderId="0"/>
    <xf numFmtId="0" fontId="3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44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3" fillId="0" borderId="0"/>
    <xf numFmtId="0" fontId="218" fillId="0" borderId="0"/>
    <xf numFmtId="167" fontId="3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3" fillId="0" borderId="0"/>
    <xf numFmtId="0" fontId="218" fillId="0" borderId="0"/>
    <xf numFmtId="0" fontId="218" fillId="0" borderId="0"/>
    <xf numFmtId="171" fontId="44" fillId="0" borderId="0" applyAlignment="1">
      <alignment vertical="center"/>
    </xf>
    <xf numFmtId="0" fontId="218" fillId="0" borderId="0"/>
    <xf numFmtId="0" fontId="52" fillId="0" borderId="0"/>
    <xf numFmtId="171" fontId="44" fillId="0" borderId="0" applyAlignment="1">
      <alignment vertical="center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171" fontId="44" fillId="0" borderId="0" applyAlignment="1">
      <alignment vertical="center"/>
    </xf>
    <xf numFmtId="0" fontId="114" fillId="0" borderId="0"/>
    <xf numFmtId="0" fontId="114" fillId="0" borderId="0"/>
    <xf numFmtId="0" fontId="75" fillId="0" borderId="0"/>
    <xf numFmtId="0" fontId="3" fillId="0" borderId="0"/>
    <xf numFmtId="0" fontId="3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0" fontId="218" fillId="0" borderId="0"/>
    <xf numFmtId="0" fontId="218" fillId="0" borderId="0"/>
    <xf numFmtId="0" fontId="218" fillId="0" borderId="0"/>
    <xf numFmtId="171" fontId="44" fillId="0" borderId="0" applyAlignment="1">
      <alignment vertical="center"/>
    </xf>
    <xf numFmtId="0" fontId="218" fillId="0" borderId="0"/>
    <xf numFmtId="0" fontId="23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67" fontId="3" fillId="0" borderId="0"/>
    <xf numFmtId="0" fontId="3" fillId="0" borderId="0"/>
    <xf numFmtId="0" fontId="132" fillId="0" borderId="0"/>
    <xf numFmtId="0" fontId="3" fillId="0" borderId="0"/>
    <xf numFmtId="171" fontId="44" fillId="0" borderId="0" applyAlignment="1">
      <alignment vertical="center"/>
    </xf>
    <xf numFmtId="0" fontId="132" fillId="0" borderId="0"/>
    <xf numFmtId="171" fontId="44" fillId="0" borderId="0" applyAlignment="1">
      <alignment vertical="center"/>
    </xf>
    <xf numFmtId="0" fontId="23" fillId="0" borderId="0"/>
    <xf numFmtId="0" fontId="3" fillId="0" borderId="0"/>
    <xf numFmtId="171" fontId="44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3" fillId="0" borderId="0"/>
    <xf numFmtId="0" fontId="43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52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52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52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0" fontId="3" fillId="0" borderId="0"/>
    <xf numFmtId="171" fontId="2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1" fontId="218" fillId="0" borderId="0"/>
    <xf numFmtId="0" fontId="3" fillId="0" borderId="0"/>
    <xf numFmtId="0" fontId="3" fillId="0" borderId="0"/>
    <xf numFmtId="167" fontId="3" fillId="0" borderId="0"/>
    <xf numFmtId="171" fontId="218" fillId="0" borderId="0"/>
    <xf numFmtId="171" fontId="218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171" fontId="218" fillId="0" borderId="0"/>
    <xf numFmtId="0" fontId="3" fillId="0" borderId="0"/>
    <xf numFmtId="0" fontId="44" fillId="0" borderId="0"/>
    <xf numFmtId="0" fontId="43" fillId="0" borderId="0"/>
    <xf numFmtId="0" fontId="3" fillId="0" borderId="0"/>
    <xf numFmtId="171" fontId="218" fillId="0" borderId="0"/>
    <xf numFmtId="0" fontId="3" fillId="0" borderId="0"/>
    <xf numFmtId="167" fontId="3" fillId="0" borderId="0"/>
    <xf numFmtId="0" fontId="43" fillId="0" borderId="0"/>
    <xf numFmtId="171" fontId="218" fillId="0" borderId="0"/>
    <xf numFmtId="0" fontId="218" fillId="0" borderId="0"/>
    <xf numFmtId="171" fontId="218" fillId="0" borderId="0"/>
    <xf numFmtId="0" fontId="23" fillId="0" borderId="0"/>
    <xf numFmtId="0" fontId="218" fillId="0" borderId="0"/>
    <xf numFmtId="0" fontId="3" fillId="0" borderId="0"/>
    <xf numFmtId="0" fontId="44" fillId="0" borderId="0"/>
    <xf numFmtId="0" fontId="3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218" fillId="0" borderId="0"/>
    <xf numFmtId="0" fontId="3" fillId="0" borderId="0"/>
    <xf numFmtId="0" fontId="3" fillId="0" borderId="0"/>
    <xf numFmtId="0" fontId="218" fillId="0" borderId="0"/>
    <xf numFmtId="0" fontId="3" fillId="0" borderId="0"/>
    <xf numFmtId="167" fontId="3" fillId="0" borderId="0"/>
    <xf numFmtId="171" fontId="218" fillId="0" borderId="0"/>
    <xf numFmtId="0" fontId="43" fillId="0" borderId="0"/>
    <xf numFmtId="171" fontId="218" fillId="0" borderId="0"/>
    <xf numFmtId="171" fontId="218" fillId="0" borderId="0"/>
    <xf numFmtId="171" fontId="218" fillId="0" borderId="0"/>
    <xf numFmtId="0" fontId="44" fillId="0" borderId="0"/>
    <xf numFmtId="0" fontId="43" fillId="0" borderId="0"/>
    <xf numFmtId="0" fontId="3" fillId="0" borderId="0"/>
    <xf numFmtId="171" fontId="218" fillId="0" borderId="0"/>
    <xf numFmtId="0" fontId="3" fillId="0" borderId="0"/>
    <xf numFmtId="167" fontId="3" fillId="0" borderId="0"/>
    <xf numFmtId="0" fontId="44" fillId="0" borderId="0"/>
    <xf numFmtId="171" fontId="218" fillId="0" borderId="0"/>
    <xf numFmtId="0" fontId="218" fillId="0" borderId="0"/>
    <xf numFmtId="171" fontId="218" fillId="0" borderId="0"/>
    <xf numFmtId="0" fontId="23" fillId="0" borderId="0"/>
    <xf numFmtId="171" fontId="218" fillId="0" borderId="0"/>
    <xf numFmtId="0" fontId="2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218" fillId="0" borderId="0"/>
    <xf numFmtId="0" fontId="218" fillId="0" borderId="0"/>
    <xf numFmtId="0" fontId="43" fillId="0" borderId="0"/>
    <xf numFmtId="0" fontId="43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3" fillId="0" borderId="0"/>
    <xf numFmtId="167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44" fillId="0" borderId="0"/>
    <xf numFmtId="167" fontId="3" fillId="0" borderId="0"/>
    <xf numFmtId="0" fontId="44" fillId="0" borderId="0"/>
    <xf numFmtId="171" fontId="218" fillId="0" borderId="0"/>
    <xf numFmtId="0" fontId="23" fillId="0" borderId="0"/>
    <xf numFmtId="171" fontId="218" fillId="0" borderId="0"/>
    <xf numFmtId="171" fontId="218" fillId="0" borderId="0"/>
    <xf numFmtId="171" fontId="218" fillId="0" borderId="0"/>
    <xf numFmtId="0" fontId="75" fillId="0" borderId="0"/>
    <xf numFmtId="0" fontId="4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3" fillId="0" borderId="0"/>
    <xf numFmtId="0" fontId="3" fillId="0" borderId="0"/>
    <xf numFmtId="0" fontId="218" fillId="0" borderId="0"/>
    <xf numFmtId="0" fontId="218" fillId="0" borderId="0"/>
    <xf numFmtId="0" fontId="3" fillId="0" borderId="0"/>
    <xf numFmtId="0" fontId="3" fillId="0" borderId="0"/>
    <xf numFmtId="0" fontId="3" fillId="0" borderId="0"/>
    <xf numFmtId="0" fontId="218" fillId="0" borderId="0"/>
    <xf numFmtId="0" fontId="218" fillId="0" borderId="0"/>
    <xf numFmtId="0" fontId="43" fillId="0" borderId="0"/>
    <xf numFmtId="167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67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44" fillId="0" borderId="0"/>
    <xf numFmtId="0" fontId="218" fillId="0" borderId="0"/>
    <xf numFmtId="0" fontId="133" fillId="0" borderId="0"/>
    <xf numFmtId="0" fontId="133" fillId="0" borderId="0"/>
    <xf numFmtId="0" fontId="218" fillId="0" borderId="0"/>
    <xf numFmtId="0" fontId="1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167" fontId="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167" fontId="3" fillId="0" borderId="0"/>
    <xf numFmtId="171" fontId="218" fillId="0" borderId="0"/>
    <xf numFmtId="0" fontId="75" fillId="0" borderId="0"/>
    <xf numFmtId="171" fontId="218" fillId="0" borderId="0"/>
    <xf numFmtId="171" fontId="218" fillId="0" borderId="0"/>
    <xf numFmtId="171" fontId="218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167" fontId="3" fillId="0" borderId="0"/>
    <xf numFmtId="0" fontId="43" fillId="0" borderId="0"/>
    <xf numFmtId="171" fontId="218" fillId="0" borderId="0"/>
    <xf numFmtId="171" fontId="218" fillId="0" borderId="0"/>
    <xf numFmtId="171" fontId="218" fillId="0" borderId="0"/>
    <xf numFmtId="171" fontId="218" fillId="0" borderId="0"/>
    <xf numFmtId="0" fontId="44" fillId="0" borderId="0"/>
    <xf numFmtId="167" fontId="3" fillId="0" borderId="0"/>
    <xf numFmtId="171" fontId="218" fillId="0" borderId="0"/>
    <xf numFmtId="0" fontId="43" fillId="0" borderId="0"/>
    <xf numFmtId="171" fontId="218" fillId="0" borderId="0"/>
    <xf numFmtId="171" fontId="218" fillId="0" borderId="0"/>
    <xf numFmtId="171" fontId="218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8" fillId="0" borderId="0"/>
    <xf numFmtId="0" fontId="3" fillId="0" borderId="0"/>
    <xf numFmtId="167" fontId="3" fillId="0" borderId="0"/>
    <xf numFmtId="167" fontId="49" fillId="0" borderId="0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167" fontId="3" fillId="8" borderId="7"/>
    <xf numFmtId="171" fontId="75" fillId="8" borderId="7"/>
    <xf numFmtId="167" fontId="3" fillId="8" borderId="7"/>
    <xf numFmtId="167" fontId="3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67" fontId="3" fillId="8" borderId="7"/>
    <xf numFmtId="167" fontId="3" fillId="8" borderId="7"/>
    <xf numFmtId="167" fontId="3" fillId="8" borderId="7"/>
    <xf numFmtId="167" fontId="3" fillId="8" borderId="7"/>
    <xf numFmtId="171" fontId="75" fillId="8" borderId="7"/>
    <xf numFmtId="167" fontId="3" fillId="8" borderId="7"/>
    <xf numFmtId="167" fontId="3" fillId="8" borderId="7"/>
    <xf numFmtId="167" fontId="3" fillId="8" borderId="7"/>
    <xf numFmtId="171" fontId="75" fillId="8" borderId="7"/>
    <xf numFmtId="167" fontId="3" fillId="8" borderId="7"/>
    <xf numFmtId="171" fontId="75" fillId="8" borderId="7"/>
    <xf numFmtId="167" fontId="3" fillId="8" borderId="7"/>
    <xf numFmtId="171" fontId="75" fillId="8" borderId="7"/>
    <xf numFmtId="167" fontId="3" fillId="8" borderId="7"/>
    <xf numFmtId="167" fontId="3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67" fontId="3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0" fontId="218" fillId="8" borderId="35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71" fontId="75" fillId="8" borderId="7"/>
    <xf numFmtId="167" fontId="3" fillId="0" borderId="0"/>
    <xf numFmtId="167" fontId="3" fillId="0" borderId="0"/>
    <xf numFmtId="0" fontId="218" fillId="8" borderId="35"/>
    <xf numFmtId="2" fontId="74" fillId="0" borderId="0"/>
    <xf numFmtId="0" fontId="3" fillId="0" borderId="0"/>
    <xf numFmtId="167" fontId="3" fillId="0" borderId="0"/>
    <xf numFmtId="167" fontId="3" fillId="0" borderId="0"/>
    <xf numFmtId="167" fontId="135" fillId="0" borderId="0"/>
    <xf numFmtId="167" fontId="136" fillId="20" borderId="36"/>
    <xf numFmtId="0" fontId="137" fillId="68" borderId="37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67" fontId="136" fillId="20" borderId="36"/>
    <xf numFmtId="171" fontId="136" fillId="20" borderId="36"/>
    <xf numFmtId="0" fontId="137" fillId="68" borderId="37"/>
    <xf numFmtId="171" fontId="136" fillId="20" borderId="36"/>
    <xf numFmtId="230" fontId="3" fillId="0" borderId="0"/>
    <xf numFmtId="230" fontId="3" fillId="0" borderId="0"/>
    <xf numFmtId="231" fontId="95" fillId="0" borderId="0"/>
    <xf numFmtId="232" fontId="95" fillId="0" borderId="0"/>
    <xf numFmtId="176" fontId="84" fillId="0" borderId="38" applyAlignment="1">
      <alignment horizontal="right"/>
    </xf>
    <xf numFmtId="233" fontId="4" fillId="0" borderId="0"/>
    <xf numFmtId="177" fontId="49" fillId="0" borderId="0" applyProtection="1">
      <protection locked="0" hidden="0"/>
    </xf>
    <xf numFmtId="177" fontId="49" fillId="0" borderId="0" applyProtection="1">
      <protection locked="0" hidden="0"/>
    </xf>
    <xf numFmtId="10" fontId="49" fillId="0" borderId="0" applyProtection="1">
      <protection locked="0" hidden="0"/>
    </xf>
    <xf numFmtId="10" fontId="49" fillId="0" borderId="0" applyProtection="1">
      <protection locked="0" hidden="0"/>
    </xf>
    <xf numFmtId="183" fontId="3" fillId="0" borderId="0"/>
    <xf numFmtId="183" fontId="3" fillId="0" borderId="0"/>
    <xf numFmtId="234" fontId="3" fillId="0" borderId="0"/>
    <xf numFmtId="10" fontId="3" fillId="0" borderId="0"/>
    <xf numFmtId="10" fontId="3" fillId="0" borderId="0"/>
    <xf numFmtId="10" fontId="3" fillId="0" borderId="0"/>
    <xf numFmtId="235" fontId="3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18" fillId="0" borderId="0"/>
    <xf numFmtId="9" fontId="218" fillId="0" borderId="0"/>
    <xf numFmtId="9" fontId="218" fillId="0" borderId="0"/>
    <xf numFmtId="9" fontId="3" fillId="0" borderId="0"/>
    <xf numFmtId="9" fontId="3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9" fontId="133" fillId="0" borderId="0"/>
    <xf numFmtId="9" fontId="133" fillId="0" borderId="0"/>
    <xf numFmtId="9" fontId="133" fillId="0" borderId="0"/>
    <xf numFmtId="9" fontId="43" fillId="0" borderId="0"/>
    <xf numFmtId="9" fontId="3" fillId="0" borderId="0"/>
    <xf numFmtId="9" fontId="3" fillId="0" borderId="0"/>
    <xf numFmtId="9" fontId="218" fillId="0" borderId="0"/>
    <xf numFmtId="9" fontId="43" fillId="0" borderId="0"/>
    <xf numFmtId="9" fontId="44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3" fillId="0" borderId="0"/>
    <xf numFmtId="9" fontId="3" fillId="0" borderId="0"/>
    <xf numFmtId="9" fontId="43" fillId="0" borderId="0"/>
    <xf numFmtId="9" fontId="44" fillId="0" borderId="0"/>
    <xf numFmtId="9" fontId="3" fillId="0" borderId="0"/>
    <xf numFmtId="9" fontId="3" fillId="0" borderId="0"/>
    <xf numFmtId="9" fontId="43" fillId="0" borderId="0"/>
    <xf numFmtId="9" fontId="4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18" fillId="0" borderId="0"/>
    <xf numFmtId="9" fontId="218" fillId="0" borderId="0"/>
    <xf numFmtId="9" fontId="218" fillId="0" borderId="0"/>
    <xf numFmtId="9" fontId="218" fillId="0" borderId="0"/>
    <xf numFmtId="10" fontId="64" fillId="4" borderId="0"/>
    <xf numFmtId="184" fontId="3" fillId="0" borderId="0"/>
    <xf numFmtId="184" fontId="3" fillId="0" borderId="0"/>
    <xf numFmtId="180" fontId="3" fillId="0" borderId="0"/>
    <xf numFmtId="180" fontId="3" fillId="0" borderId="0"/>
    <xf numFmtId="184" fontId="3" fillId="0" borderId="0"/>
    <xf numFmtId="184" fontId="3" fillId="0" borderId="0"/>
    <xf numFmtId="185" fontId="3" fillId="0" borderId="0"/>
    <xf numFmtId="185" fontId="3" fillId="0" borderId="0"/>
    <xf numFmtId="180" fontId="3" fillId="0" borderId="0"/>
    <xf numFmtId="180" fontId="3" fillId="0" borderId="0"/>
    <xf numFmtId="167" fontId="3" fillId="0" borderId="0"/>
    <xf numFmtId="167" fontId="3" fillId="0" borderId="0"/>
    <xf numFmtId="4" fontId="138" fillId="0" borderId="0" applyAlignment="1">
      <alignment horizontal="right" vertical="top" wrapText="1"/>
    </xf>
    <xf numFmtId="9" fontId="5" fillId="0" borderId="0"/>
    <xf numFmtId="0" fontId="5" fillId="0" borderId="0" applyAlignment="1">
      <alignment horizontal="left"/>
    </xf>
    <xf numFmtId="15" fontId="5" fillId="0" borderId="0"/>
    <xf numFmtId="4" fontId="5" fillId="0" borderId="0"/>
    <xf numFmtId="0" fontId="139" fillId="0" borderId="39" applyAlignment="1">
      <alignment horizontal="center"/>
    </xf>
    <xf numFmtId="3" fontId="5" fillId="0" borderId="0"/>
    <xf numFmtId="0" fontId="5" fillId="74" borderId="0"/>
    <xf numFmtId="1" fontId="138" fillId="0" borderId="0" applyAlignment="1">
      <alignment horizontal="center" vertical="top" wrapText="1"/>
    </xf>
    <xf numFmtId="3" fontId="140" fillId="0" borderId="0"/>
    <xf numFmtId="3" fontId="60" fillId="0" borderId="0"/>
    <xf numFmtId="3" fontId="60" fillId="0" borderId="0"/>
    <xf numFmtId="3" fontId="140" fillId="0" borderId="0"/>
    <xf numFmtId="236" fontId="4" fillId="0" borderId="0" applyAlignment="1">
      <alignment horizontal="left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223" fillId="76" borderId="36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99" fillId="77" borderId="0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142" fillId="0" borderId="0"/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67" fontId="144" fillId="0" borderId="41"/>
    <xf numFmtId="178" fontId="145" fillId="0" borderId="0"/>
    <xf numFmtId="0" fontId="146" fillId="78" borderId="0"/>
    <xf numFmtId="0" fontId="147" fillId="78" borderId="0"/>
    <xf numFmtId="0" fontId="148" fillId="78" borderId="42"/>
    <xf numFmtId="0" fontId="148" fillId="78" borderId="0"/>
    <xf numFmtId="0" fontId="146" fillId="4" borderId="42" applyProtection="1">
      <protection locked="0" hidden="0"/>
    </xf>
    <xf numFmtId="0" fontId="146" fillId="78" borderId="0"/>
    <xf numFmtId="0" fontId="149" fillId="79" borderId="0"/>
    <xf numFmtId="0" fontId="149" fillId="43" borderId="0"/>
    <xf numFmtId="0" fontId="149" fillId="6" borderId="0"/>
    <xf numFmtId="237" fontId="3" fillId="0" borderId="0"/>
    <xf numFmtId="225" fontId="3" fillId="0" borderId="0"/>
    <xf numFmtId="38" fontId="5" fillId="80" borderId="0"/>
    <xf numFmtId="38" fontId="5" fillId="80" borderId="0"/>
    <xf numFmtId="0" fontId="218" fillId="0" borderId="0"/>
    <xf numFmtId="0" fontId="3" fillId="0" borderId="0"/>
    <xf numFmtId="0" fontId="3" fillId="0" borderId="0"/>
    <xf numFmtId="167" fontId="47" fillId="0" borderId="0"/>
    <xf numFmtId="0" fontId="3" fillId="0" borderId="0"/>
    <xf numFmtId="167" fontId="5" fillId="0" borderId="0"/>
    <xf numFmtId="167" fontId="5" fillId="0" borderId="0"/>
    <xf numFmtId="0" fontId="48" fillId="0" borderId="0"/>
    <xf numFmtId="0" fontId="3" fillId="0" borderId="0"/>
    <xf numFmtId="171" fontId="73" fillId="0" borderId="0" applyAlignment="1">
      <alignment horizontal="center"/>
    </xf>
    <xf numFmtId="167" fontId="150" fillId="8" borderId="0" applyAlignment="1">
      <alignment wrapText="1"/>
    </xf>
    <xf numFmtId="167" fontId="151" fillId="0" borderId="43"/>
    <xf numFmtId="167" fontId="152" fillId="0" borderId="0"/>
    <xf numFmtId="40" fontId="153" fillId="0" borderId="0" applyAlignment="1">
      <alignment horizontal="right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38" fontId="155" fillId="0" borderId="0"/>
    <xf numFmtId="235" fontId="3" fillId="0" borderId="0"/>
    <xf numFmtId="38" fontId="156" fillId="0" borderId="31" applyAlignment="1" applyProtection="1">
      <alignment horizontal="right"/>
      <protection locked="0" hidden="0"/>
    </xf>
    <xf numFmtId="167" fontId="76" fillId="80" borderId="0" applyAlignment="1">
      <alignment horizontal="center"/>
    </xf>
    <xf numFmtId="49" fontId="46" fillId="0" borderId="0"/>
    <xf numFmtId="49" fontId="3" fillId="0" borderId="0"/>
    <xf numFmtId="238" fontId="3" fillId="0" borderId="0"/>
    <xf numFmtId="238" fontId="3" fillId="0" borderId="0"/>
    <xf numFmtId="239" fontId="3" fillId="0" borderId="0"/>
    <xf numFmtId="239" fontId="3" fillId="0" borderId="0"/>
    <xf numFmtId="0" fontId="3" fillId="0" borderId="0" applyAlignment="1">
      <alignment horizontal="right"/>
    </xf>
    <xf numFmtId="240" fontId="4" fillId="0" borderId="0"/>
    <xf numFmtId="241" fontId="4" fillId="0" borderId="0"/>
    <xf numFmtId="0" fontId="3" fillId="0" borderId="0" applyAlignment="1">
      <alignment horizontal="right"/>
    </xf>
    <xf numFmtId="0" fontId="3" fillId="0" borderId="0" applyAlignment="1">
      <alignment horizontal="right"/>
    </xf>
    <xf numFmtId="0" fontId="3" fillId="0" borderId="0" applyAlignment="1">
      <alignment horizontal="right"/>
    </xf>
    <xf numFmtId="18" fontId="83" fillId="0" borderId="0" applyAlignment="1">
      <alignment horizontal="left"/>
    </xf>
    <xf numFmtId="167" fontId="157" fillId="0" borderId="0" applyAlignment="1">
      <alignment horizontal="right"/>
    </xf>
    <xf numFmtId="167" fontId="158" fillId="0" borderId="0"/>
    <xf numFmtId="0" fontId="159" fillId="0" borderId="0"/>
    <xf numFmtId="171" fontId="158" fillId="0" borderId="0"/>
    <xf numFmtId="0" fontId="159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167" fontId="3" fillId="0" borderId="44"/>
    <xf numFmtId="167" fontId="3" fillId="0" borderId="44"/>
    <xf numFmtId="0" fontId="161" fillId="0" borderId="45"/>
    <xf numFmtId="171" fontId="162" fillId="0" borderId="46"/>
    <xf numFmtId="0" fontId="161" fillId="0" borderId="45"/>
    <xf numFmtId="171" fontId="162" fillId="0" borderId="46"/>
    <xf numFmtId="10" fontId="163" fillId="0" borderId="47"/>
    <xf numFmtId="167" fontId="3" fillId="0" borderId="0"/>
    <xf numFmtId="167" fontId="3" fillId="0" borderId="0"/>
    <xf numFmtId="43" fontId="3" fillId="0" borderId="0"/>
    <xf numFmtId="167" fontId="3" fillId="0" borderId="0" applyAlignment="1">
      <alignment horizontal="center" textRotation="180"/>
    </xf>
    <xf numFmtId="167" fontId="3" fillId="0" borderId="0" applyAlignment="1">
      <alignment horizontal="center" textRotation="180"/>
    </xf>
    <xf numFmtId="242" fontId="3" fillId="0" borderId="0"/>
    <xf numFmtId="243" fontId="3" fillId="0" borderId="0"/>
    <xf numFmtId="242" fontId="3" fillId="0" borderId="0"/>
    <xf numFmtId="243" fontId="3" fillId="0" borderId="0"/>
    <xf numFmtId="244" fontId="3" fillId="0" borderId="0"/>
    <xf numFmtId="245" fontId="3" fillId="0" borderId="0"/>
    <xf numFmtId="167" fontId="26" fillId="0" borderId="0"/>
    <xf numFmtId="0" fontId="164" fillId="0" borderId="0"/>
    <xf numFmtId="171" fontId="26" fillId="0" borderId="0"/>
    <xf numFmtId="0" fontId="164" fillId="0" borderId="0"/>
    <xf numFmtId="0" fontId="3" fillId="0" borderId="0" applyAlignment="1">
      <alignment horizontal="left" wrapText="1"/>
    </xf>
    <xf numFmtId="246" fontId="113" fillId="0" borderId="0"/>
    <xf numFmtId="247" fontId="113" fillId="0" borderId="0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31" fontId="3" fillId="0" borderId="21"/>
    <xf numFmtId="248" fontId="165" fillId="0" borderId="0" applyProtection="1">
      <protection locked="0" hidden="0"/>
    </xf>
    <xf numFmtId="0" fontId="57" fillId="57" borderId="0"/>
    <xf numFmtId="0" fontId="57" fillId="58" borderId="0"/>
    <xf numFmtId="0" fontId="57" fillId="61" borderId="0"/>
    <xf numFmtId="0" fontId="57" fillId="62" borderId="0"/>
    <xf numFmtId="0" fontId="57" fillId="63" borderId="0"/>
    <xf numFmtId="0" fontId="57" fillId="65" borderId="0"/>
    <xf numFmtId="0" fontId="117" fillId="37" borderId="14"/>
    <xf numFmtId="0" fontId="137" fillId="68" borderId="37"/>
    <xf numFmtId="0" fontId="68" fillId="68" borderId="14"/>
    <xf numFmtId="0" fontId="35" fillId="0" borderId="0" applyAlignment="1" applyProtection="1">
      <alignment vertical="top"/>
      <protection locked="0" hidden="0"/>
    </xf>
    <xf numFmtId="0" fontId="111" fillId="0" borderId="0"/>
    <xf numFmtId="0" fontId="35" fillId="0" borderId="0" applyAlignment="1" applyProtection="1">
      <alignment vertical="top"/>
      <protection locked="0" hidden="0"/>
    </xf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44" fontId="218" fillId="0" borderId="0"/>
    <xf numFmtId="0" fontId="102" fillId="0" borderId="25"/>
    <xf numFmtId="0" fontId="104" fillId="0" borderId="27"/>
    <xf numFmtId="0" fontId="166" fillId="0" borderId="0" applyAlignment="1">
      <alignment horizontal="left" vertical="top" wrapText="1"/>
    </xf>
    <xf numFmtId="0" fontId="107" fillId="0" borderId="30"/>
    <xf numFmtId="0" fontId="107" fillId="0" borderId="0"/>
    <xf numFmtId="0" fontId="161" fillId="0" borderId="45"/>
    <xf numFmtId="0" fontId="69" fillId="70" borderId="17"/>
    <xf numFmtId="0" fontId="159" fillId="0" borderId="0"/>
    <xf numFmtId="0" fontId="160" fillId="0" borderId="0"/>
    <xf numFmtId="0" fontId="127" fillId="73" borderId="0"/>
    <xf numFmtId="0" fontId="128" fillId="73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3" fillId="0" borderId="0"/>
    <xf numFmtId="0" fontId="167" fillId="0" borderId="0" applyAlignment="1">
      <alignment vertical="center"/>
    </xf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13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113" fillId="0" borderId="0"/>
    <xf numFmtId="0" fontId="218" fillId="0" borderId="0"/>
    <xf numFmtId="0" fontId="218" fillId="0" borderId="0"/>
    <xf numFmtId="0" fontId="218" fillId="0" borderId="0"/>
    <xf numFmtId="0" fontId="113" fillId="0" borderId="0"/>
    <xf numFmtId="0" fontId="113" fillId="0" borderId="0"/>
    <xf numFmtId="0" fontId="113" fillId="0" borderId="0"/>
    <xf numFmtId="0" fontId="75" fillId="0" borderId="0"/>
    <xf numFmtId="0" fontId="23" fillId="0" borderId="0" applyAlignment="1">
      <alignment horizontal="left"/>
    </xf>
    <xf numFmtId="0" fontId="134" fillId="0" borderId="0"/>
    <xf numFmtId="0" fontId="218" fillId="0" borderId="0"/>
    <xf numFmtId="0" fontId="3" fillId="0" borderId="0"/>
    <xf numFmtId="0" fontId="218" fillId="0" borderId="0"/>
    <xf numFmtId="0" fontId="218" fillId="0" borderId="0"/>
    <xf numFmtId="0" fontId="3" fillId="0" borderId="0"/>
    <xf numFmtId="0" fontId="218" fillId="0" borderId="0"/>
    <xf numFmtId="0" fontId="218" fillId="0" borderId="0" applyAlignment="1">
      <alignment vertical="center"/>
    </xf>
    <xf numFmtId="0" fontId="168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0" fontId="168" fillId="0" borderId="0" applyAlignment="1">
      <alignment horizontal="left"/>
    </xf>
    <xf numFmtId="0" fontId="134" fillId="0" borderId="0"/>
    <xf numFmtId="0" fontId="218" fillId="0" borderId="0"/>
    <xf numFmtId="0" fontId="3" fillId="0" borderId="0"/>
    <xf numFmtId="0" fontId="218" fillId="0" borderId="0"/>
    <xf numFmtId="0" fontId="218" fillId="0" borderId="0"/>
    <xf numFmtId="0" fontId="218" fillId="0" borderId="0"/>
    <xf numFmtId="0" fontId="3" fillId="0" borderId="0"/>
    <xf numFmtId="0" fontId="13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4" fillId="0" borderId="0"/>
    <xf numFmtId="0" fontId="218" fillId="0" borderId="0" applyAlignment="1">
      <alignment vertical="center"/>
    </xf>
    <xf numFmtId="0" fontId="218" fillId="0" borderId="0"/>
    <xf numFmtId="0" fontId="218" fillId="0" borderId="0" applyAlignment="1">
      <alignment vertical="center"/>
    </xf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2" fillId="66" borderId="0"/>
    <xf numFmtId="0" fontId="89" fillId="0" borderId="0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218" fillId="8" borderId="35"/>
    <xf numFmtId="9" fontId="218" fillId="0" borderId="0"/>
    <xf numFmtId="9" fontId="218" fillId="0" borderId="0"/>
    <xf numFmtId="9" fontId="218" fillId="0" borderId="0"/>
    <xf numFmtId="9" fontId="75" fillId="0" borderId="0"/>
    <xf numFmtId="9" fontId="134" fillId="0" borderId="0"/>
    <xf numFmtId="9" fontId="44" fillId="0" borderId="0"/>
    <xf numFmtId="9" fontId="218" fillId="0" borderId="0"/>
    <xf numFmtId="0" fontId="125" fillId="0" borderId="33"/>
    <xf numFmtId="0" fontId="48" fillId="0" borderId="0"/>
    <xf numFmtId="0" fontId="48" fillId="0" borderId="0"/>
    <xf numFmtId="0" fontId="48" fillId="0" borderId="0"/>
    <xf numFmtId="0" fontId="48" fillId="0" borderId="0"/>
    <xf numFmtId="0" fontId="164" fillId="0" borderId="0"/>
    <xf numFmtId="249" fontId="113" fillId="0" borderId="0"/>
    <xf numFmtId="250" fontId="11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18" fillId="0" borderId="0"/>
    <xf numFmtId="43" fontId="23" fillId="0" borderId="0"/>
    <xf numFmtId="43" fontId="23" fillId="0" borderId="0"/>
    <xf numFmtId="189" fontId="2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8" fontId="3" fillId="0" borderId="0"/>
    <xf numFmtId="43" fontId="23" fillId="0" borderId="0"/>
    <xf numFmtId="43" fontId="23" fillId="0" borderId="0"/>
    <xf numFmtId="188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97" fillId="72" borderId="0"/>
    <xf numFmtId="167" fontId="169" fillId="0" borderId="0"/>
    <xf numFmtId="167" fontId="169" fillId="0" borderId="0"/>
    <xf numFmtId="167" fontId="46" fillId="0" borderId="0" applyAlignment="1">
      <alignment vertical="center"/>
    </xf>
    <xf numFmtId="40" fontId="170" fillId="0" borderId="0"/>
    <xf numFmtId="38" fontId="170" fillId="0" borderId="0"/>
    <xf numFmtId="167" fontId="170" fillId="0" borderId="0"/>
    <xf numFmtId="167" fontId="170" fillId="0" borderId="0"/>
    <xf numFmtId="9" fontId="171" fillId="0" borderId="0"/>
    <xf numFmtId="167" fontId="172" fillId="0" borderId="0"/>
    <xf numFmtId="41" fontId="3" fillId="0" borderId="0" applyAlignment="1">
      <alignment vertical="center"/>
    </xf>
    <xf numFmtId="251" fontId="173" fillId="0" borderId="0"/>
    <xf numFmtId="252" fontId="174" fillId="0" borderId="0"/>
    <xf numFmtId="253" fontId="171" fillId="0" borderId="0"/>
    <xf numFmtId="254" fontId="171" fillId="0" borderId="0"/>
    <xf numFmtId="167" fontId="175" fillId="0" borderId="0"/>
    <xf numFmtId="0" fontId="50" fillId="0" borderId="0" applyAlignment="1">
      <alignment vertical="center"/>
    </xf>
    <xf numFmtId="167" fontId="176" fillId="0" borderId="31" applyAlignment="1">
      <alignment horizontal="center"/>
    </xf>
    <xf numFmtId="175" fontId="53" fillId="0" borderId="0"/>
    <xf numFmtId="255" fontId="75" fillId="0" borderId="0" applyAlignment="1">
      <alignment vertical="center"/>
    </xf>
    <xf numFmtId="175" fontId="218" fillId="0" borderId="0"/>
    <xf numFmtId="175" fontId="53" fillId="0" borderId="0"/>
    <xf numFmtId="175" fontId="218" fillId="0" borderId="0"/>
    <xf numFmtId="175" fontId="53" fillId="0" borderId="0"/>
    <xf numFmtId="175" fontId="218" fillId="0" borderId="0"/>
    <xf numFmtId="175" fontId="218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218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53" fillId="0" borderId="0"/>
    <xf numFmtId="175" fontId="218" fillId="0" borderId="0"/>
    <xf numFmtId="255" fontId="75" fillId="0" borderId="0" applyAlignment="1">
      <alignment vertical="center"/>
    </xf>
    <xf numFmtId="175" fontId="218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171" fontId="75" fillId="0" borderId="0"/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218" fillId="0" borderId="0"/>
    <xf numFmtId="175" fontId="53" fillId="0" borderId="0"/>
    <xf numFmtId="175" fontId="53" fillId="0" borderId="0"/>
    <xf numFmtId="43" fontId="75" fillId="0" borderId="0" applyAlignment="1">
      <alignment vertical="center"/>
    </xf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43" fontId="75" fillId="0" borderId="0" applyAlignment="1">
      <alignment vertical="center"/>
    </xf>
    <xf numFmtId="255" fontId="75" fillId="0" borderId="0" applyAlignment="1">
      <alignment vertical="center"/>
    </xf>
    <xf numFmtId="43" fontId="75" fillId="0" borderId="0" applyAlignment="1">
      <alignment vertical="center"/>
    </xf>
    <xf numFmtId="175" fontId="218" fillId="0" borderId="0"/>
    <xf numFmtId="255" fontId="75" fillId="0" borderId="0" applyAlignment="1">
      <alignment vertical="center"/>
    </xf>
    <xf numFmtId="175" fontId="218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5" fontId="218" fillId="0" borderId="0"/>
    <xf numFmtId="255" fontId="75" fillId="0" borderId="0" applyAlignment="1">
      <alignment vertical="center"/>
    </xf>
    <xf numFmtId="43" fontId="75" fillId="0" borderId="0" applyAlignment="1">
      <alignment vertical="center"/>
    </xf>
    <xf numFmtId="43" fontId="75" fillId="0" borderId="0" applyAlignment="1">
      <alignment vertical="center"/>
    </xf>
    <xf numFmtId="171" fontId="75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255" fontId="75" fillId="0" borderId="0" applyAlignment="1">
      <alignment vertical="center"/>
    </xf>
    <xf numFmtId="175" fontId="218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175" fontId="53" fillId="0" borderId="0"/>
    <xf numFmtId="175" fontId="218" fillId="0" borderId="0"/>
    <xf numFmtId="255" fontId="75" fillId="0" borderId="0" applyAlignment="1">
      <alignment vertical="center"/>
    </xf>
    <xf numFmtId="175" fontId="218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255" fontId="75" fillId="0" borderId="0" applyAlignment="1">
      <alignment vertical="center"/>
    </xf>
    <xf numFmtId="175" fontId="53" fillId="0" borderId="0"/>
    <xf numFmtId="175" fontId="53" fillId="0" borderId="0"/>
    <xf numFmtId="171" fontId="75" fillId="0" borderId="0"/>
    <xf numFmtId="175" fontId="53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255" fontId="75" fillId="0" borderId="0" applyAlignment="1">
      <alignment vertical="center"/>
    </xf>
    <xf numFmtId="255" fontId="75" fillId="0" borderId="0" applyAlignment="1">
      <alignment vertical="center"/>
    </xf>
    <xf numFmtId="255" fontId="75" fillId="0" borderId="0" applyAlignment="1">
      <alignment vertical="center"/>
    </xf>
    <xf numFmtId="171" fontId="75" fillId="0" borderId="0"/>
    <xf numFmtId="41" fontId="3" fillId="0" borderId="0"/>
    <xf numFmtId="43" fontId="3" fillId="0" borderId="0"/>
    <xf numFmtId="41" fontId="122" fillId="0" borderId="0"/>
    <xf numFmtId="0" fontId="3" fillId="0" borderId="0"/>
    <xf numFmtId="167" fontId="177" fillId="0" borderId="0" applyAlignment="1" applyProtection="1">
      <alignment vertical="top"/>
      <protection locked="0" hidden="0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171" fontId="179" fillId="72" borderId="0" applyAlignment="1">
      <alignment vertical="center"/>
    </xf>
    <xf numFmtId="171" fontId="179" fillId="72" borderId="0" applyAlignment="1">
      <alignment vertical="center"/>
    </xf>
    <xf numFmtId="171" fontId="75" fillId="0" borderId="0"/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171" fontId="181" fillId="66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 applyAlignment="1">
      <alignment vertical="center"/>
    </xf>
    <xf numFmtId="0" fontId="75" fillId="0" borderId="0"/>
    <xf numFmtId="0" fontId="75" fillId="0" borderId="0"/>
    <xf numFmtId="0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218" fillId="0" borderId="0" applyAlignment="1">
      <alignment vertical="center"/>
    </xf>
    <xf numFmtId="171" fontId="75" fillId="0" borderId="0"/>
    <xf numFmtId="0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 applyAlignment="1">
      <alignment vertical="center"/>
    </xf>
    <xf numFmtId="0" fontId="75" fillId="0" borderId="0"/>
    <xf numFmtId="0" fontId="218" fillId="0" borderId="0" applyAlignment="1">
      <alignment vertical="center"/>
    </xf>
    <xf numFmtId="171" fontId="75" fillId="0" borderId="0"/>
    <xf numFmtId="0" fontId="218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218" fillId="0" borderId="0" applyAlignment="1">
      <alignment vertical="center"/>
    </xf>
    <xf numFmtId="171" fontId="75" fillId="0" borderId="0"/>
    <xf numFmtId="0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75" fillId="0" borderId="0"/>
    <xf numFmtId="0" fontId="75" fillId="0" borderId="0"/>
    <xf numFmtId="0" fontId="218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75" fillId="0" borderId="0"/>
    <xf numFmtId="0" fontId="218" fillId="0" borderId="0"/>
    <xf numFmtId="0" fontId="218" fillId="0" borderId="0"/>
    <xf numFmtId="0" fontId="182" fillId="0" borderId="0"/>
    <xf numFmtId="0" fontId="75" fillId="0" borderId="0"/>
    <xf numFmtId="0" fontId="182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75" fillId="0" borderId="0"/>
    <xf numFmtId="0" fontId="218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75" fillId="0" borderId="0"/>
    <xf numFmtId="0" fontId="75" fillId="0" borderId="0"/>
    <xf numFmtId="0" fontId="218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21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75" fillId="0" borderId="0"/>
    <xf numFmtId="0" fontId="218" fillId="0" borderId="0"/>
    <xf numFmtId="0" fontId="218" fillId="0" borderId="0"/>
    <xf numFmtId="0" fontId="75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0" fontId="182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182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182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182" fillId="0" borderId="0"/>
    <xf numFmtId="171" fontId="218" fillId="0" borderId="0" applyAlignment="1">
      <alignment vertical="center"/>
    </xf>
    <xf numFmtId="0" fontId="182" fillId="0" borderId="0"/>
    <xf numFmtId="0" fontId="182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218" fillId="0" borderId="0" applyAlignment="1">
      <alignment vertical="center"/>
    </xf>
    <xf numFmtId="0" fontId="75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3" fillId="0" borderId="0"/>
    <xf numFmtId="0" fontId="218" fillId="0" borderId="0"/>
    <xf numFmtId="0" fontId="182" fillId="0" borderId="0"/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218" fillId="0" borderId="0" applyAlignment="1">
      <alignment vertical="center"/>
    </xf>
    <xf numFmtId="0" fontId="75" fillId="0" borderId="0"/>
    <xf numFmtId="0" fontId="75" fillId="0" borderId="0"/>
    <xf numFmtId="0" fontId="218" fillId="0" borderId="0" applyAlignment="1">
      <alignment vertical="center"/>
    </xf>
    <xf numFmtId="171" fontId="5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2" fillId="0" borderId="0"/>
    <xf numFmtId="171" fontId="132" fillId="0" borderId="0"/>
    <xf numFmtId="0" fontId="52" fillId="0" borderId="0"/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75" fillId="0" borderId="0"/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75" fillId="0" borderId="0"/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171" fontId="52" fillId="0" borderId="0"/>
    <xf numFmtId="0" fontId="167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" fillId="0" borderId="0" applyAlignment="1">
      <alignment vertical="top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0" fontId="218" fillId="0" borderId="0"/>
    <xf numFmtId="0" fontId="218" fillId="0" borderId="0"/>
    <xf numFmtId="171" fontId="75" fillId="0" borderId="0" applyAlignment="1">
      <alignment vertical="center"/>
    </xf>
    <xf numFmtId="0" fontId="218" fillId="0" borderId="0"/>
    <xf numFmtId="171" fontId="75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75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 applyAlignment="1">
      <alignment vertical="center"/>
    </xf>
    <xf numFmtId="171" fontId="75" fillId="0" borderId="0" applyAlignment="1">
      <alignment vertical="center"/>
    </xf>
    <xf numFmtId="0" fontId="218" fillId="0" borderId="0" applyAlignment="1">
      <alignment vertical="center"/>
    </xf>
    <xf numFmtId="0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1" fontId="21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3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3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171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171" fontId="218" fillId="0" borderId="0" applyAlignment="1">
      <alignment vertical="center"/>
    </xf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171" fontId="218" fillId="0" borderId="0" applyAlignment="1">
      <alignment vertical="center"/>
    </xf>
    <xf numFmtId="0" fontId="218" fillId="0" borderId="0"/>
    <xf numFmtId="0" fontId="21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171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0" fontId="75" fillId="0" borderId="0"/>
    <xf numFmtId="171" fontId="218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171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71" fontId="75" fillId="0" borderId="0" applyAlignment="1">
      <alignment vertical="center"/>
    </xf>
    <xf numFmtId="0" fontId="75" fillId="0" borderId="0"/>
    <xf numFmtId="171" fontId="75" fillId="0" borderId="0" applyAlignment="1">
      <alignment vertical="center"/>
    </xf>
    <xf numFmtId="0" fontId="75" fillId="0" borderId="0"/>
    <xf numFmtId="0" fontId="75" fillId="0" borderId="0"/>
    <xf numFmtId="167" fontId="3" fillId="0" borderId="0"/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167" fontId="183" fillId="0" borderId="48" applyAlignment="1">
      <alignment horizontal="center" vertical="center"/>
    </xf>
    <xf numFmtId="167" fontId="176" fillId="0" borderId="0"/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43" fontId="3" fillId="0" borderId="0"/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218" fillId="0" borderId="0"/>
    <xf numFmtId="0" fontId="51" fillId="0" borderId="0"/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3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0" fontId="3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0" fontId="3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42" fontId="122" fillId="0" borderId="0"/>
    <xf numFmtId="168" fontId="176" fillId="0" borderId="0"/>
    <xf numFmtId="169" fontId="122" fillId="0" borderId="0"/>
    <xf numFmtId="169" fontId="3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18" fillId="0" borderId="0"/>
    <xf numFmtId="256" fontId="75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18" fillId="0" borderId="0"/>
    <xf numFmtId="171" fontId="75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218" fillId="0" borderId="0"/>
    <xf numFmtId="215" fontId="53" fillId="0" borderId="0"/>
    <xf numFmtId="215" fontId="53" fillId="0" borderId="0"/>
    <xf numFmtId="215" fontId="53" fillId="0" borderId="0"/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7" fontId="75" fillId="0" borderId="0" applyAlignment="1">
      <alignment vertical="center"/>
    </xf>
    <xf numFmtId="256" fontId="75" fillId="0" borderId="0"/>
    <xf numFmtId="169" fontId="3" fillId="0" borderId="0"/>
    <xf numFmtId="42" fontId="3" fillId="0" borderId="0"/>
    <xf numFmtId="169" fontId="3" fillId="0" borderId="0"/>
    <xf numFmtId="167" fontId="193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194" fillId="0" borderId="0" applyAlignment="1" applyProtection="1">
      <alignment vertical="top"/>
      <protection locked="0" hidden="0"/>
    </xf>
    <xf numFmtId="171" fontId="75" fillId="0" borderId="0"/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</cellStyleXfs>
  <cellXfs count="39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99" fillId="0" borderId="0" applyAlignment="1" applyProtection="1" pivotButton="0" quotePrefix="0" xfId="0">
      <alignment horizontal="right"/>
      <protection locked="0" hidden="0"/>
    </xf>
    <xf numFmtId="14" fontId="200" fillId="0" borderId="0" applyAlignment="1" applyProtection="1" pivotButton="0" quotePrefix="0" xfId="0">
      <alignment horizontal="center" vertical="center"/>
      <protection locked="0" hidden="0"/>
    </xf>
    <xf numFmtId="2" fontId="199" fillId="81" borderId="0" applyAlignment="1" applyProtection="1" pivotButton="0" quotePrefix="0" xfId="0">
      <alignment horizontal="right"/>
      <protection locked="0" hidden="0"/>
    </xf>
    <xf numFmtId="0" fontId="201" fillId="0" borderId="0" applyAlignment="1" applyProtection="1" pivotButton="0" quotePrefix="0" xfId="0">
      <alignment horizontal="left" vertical="center"/>
      <protection locked="0" hidden="0"/>
    </xf>
    <xf numFmtId="0" fontId="0" fillId="81" borderId="0" applyProtection="1" pivotButton="0" quotePrefix="0" xfId="0">
      <protection locked="0" hidden="0"/>
    </xf>
    <xf numFmtId="0" fontId="0" fillId="82" borderId="19" applyAlignment="1" applyProtection="1" pivotButton="0" quotePrefix="0" xfId="0">
      <alignment horizontal="center"/>
      <protection locked="0" hidden="0"/>
    </xf>
    <xf numFmtId="0" fontId="0" fillId="82" borderId="19" applyAlignment="1" pivotButton="0" quotePrefix="0" xfId="0">
      <alignment horizontal="center" vertical="center" wrapText="1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center" vertical="center" wrapText="1"/>
      <protection locked="0" hidden="0"/>
    </xf>
    <xf numFmtId="49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49" applyAlignment="1" applyProtection="1" pivotButton="0" quotePrefix="0" xfId="0">
      <alignment horizontal="center" vertical="center"/>
      <protection locked="0" hidden="0"/>
    </xf>
    <xf numFmtId="164" fontId="199" fillId="89" borderId="49" applyAlignment="1" applyProtection="1" pivotButton="0" quotePrefix="0" xfId="0">
      <alignment horizontal="center" vertical="center"/>
      <protection locked="0" hidden="0"/>
    </xf>
    <xf numFmtId="164" fontId="199" fillId="91" borderId="49" applyAlignment="1" applyProtection="1" pivotButton="0" quotePrefix="0" xfId="0">
      <alignment horizontal="center" vertical="center"/>
      <protection locked="0" hidden="0"/>
    </xf>
    <xf numFmtId="164" fontId="199" fillId="93" borderId="49" applyAlignment="1" applyProtection="1" pivotButton="0" quotePrefix="0" xfId="0">
      <alignment horizontal="center" vertical="center"/>
      <protection locked="0" hidden="0"/>
    </xf>
    <xf numFmtId="14" fontId="199" fillId="95" borderId="19" applyAlignment="1" applyProtection="1" pivotButton="0" quotePrefix="0" xfId="0">
      <alignment horizontal="center" vertical="center" wrapText="1"/>
      <protection locked="0" hidden="0"/>
    </xf>
    <xf numFmtId="14" fontId="199" fillId="0" borderId="19" applyAlignment="1" applyProtection="1" pivotButton="0" quotePrefix="0" xfId="0">
      <alignment horizontal="center" vertical="center" wrapText="1"/>
      <protection locked="0" hidden="0"/>
    </xf>
    <xf numFmtId="14" fontId="199" fillId="96" borderId="19" applyAlignment="1" applyProtection="1" pivotButton="0" quotePrefix="0" xfId="0">
      <alignment horizontal="center" vertical="center" wrapText="1"/>
      <protection locked="0" hidden="0"/>
    </xf>
    <xf numFmtId="14" fontId="199" fillId="62" borderId="19" applyAlignment="1" pivotButton="0" quotePrefix="0" xfId="0">
      <alignment horizontal="center" vertical="center" wrapText="1"/>
    </xf>
    <xf numFmtId="14" fontId="202" fillId="0" borderId="19" applyAlignment="1" applyProtection="1" pivotButton="0" quotePrefix="0" xfId="0">
      <alignment horizontal="center" vertical="center" wrapText="1"/>
      <protection locked="0" hidden="0"/>
    </xf>
    <xf numFmtId="14" fontId="199" fillId="95" borderId="19" applyAlignment="1" pivotButton="0" quotePrefix="0" xfId="0">
      <alignment horizontal="center" vertical="center" wrapText="1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left" vertical="center"/>
      <protection locked="0" hidden="0"/>
    </xf>
    <xf numFmtId="3" fontId="201" fillId="79" borderId="19" applyAlignment="1" applyProtection="1" pivotButton="0" quotePrefix="0" xfId="0">
      <alignment horizontal="center" vertical="center"/>
      <protection locked="0" hidden="0"/>
    </xf>
    <xf numFmtId="3" fontId="201" fillId="79" borderId="19" applyAlignment="1" applyProtection="1" pivotButton="0" quotePrefix="0" xfId="0">
      <alignment horizontal="center" vertical="center" wrapText="1"/>
      <protection locked="0" hidden="0"/>
    </xf>
    <xf numFmtId="0" fontId="0" fillId="97" borderId="19" applyAlignment="1" applyProtection="1" pivotButton="0" quotePrefix="0" xfId="0">
      <alignment horizontal="center" vertical="center"/>
      <protection locked="0" hidden="0"/>
    </xf>
    <xf numFmtId="0" fontId="0" fillId="98" borderId="19" applyAlignment="1" applyProtection="1" pivotButton="0" quotePrefix="0" xfId="0">
      <alignment horizontal="center" vertical="center"/>
      <protection locked="0" hidden="0"/>
    </xf>
    <xf numFmtId="0" fontId="0" fillId="96" borderId="19" applyAlignment="1" applyProtection="1" pivotButton="0" quotePrefix="0" xfId="0">
      <alignment horizontal="center" vertical="center"/>
      <protection locked="0" hidden="0"/>
    </xf>
    <xf numFmtId="0" fontId="203" fillId="98" borderId="19" applyAlignment="1" applyProtection="1" pivotButton="0" quotePrefix="0" xfId="0">
      <alignment horizontal="center" vertical="center"/>
      <protection locked="0" hidden="0"/>
    </xf>
    <xf numFmtId="0" fontId="0" fillId="98" borderId="19" applyAlignment="1" applyProtection="1" pivotButton="0" quotePrefix="0" xfId="0">
      <alignment horizontal="left" vertical="center"/>
      <protection locked="0" hidden="0"/>
    </xf>
    <xf numFmtId="0" fontId="201" fillId="98" borderId="19" applyAlignment="1" applyProtection="1" pivotButton="0" quotePrefix="0" xfId="0">
      <alignment horizontal="center" vertical="center"/>
      <protection locked="0" hidden="0"/>
    </xf>
    <xf numFmtId="0" fontId="201" fillId="98" borderId="19" applyAlignment="1" applyProtection="1" pivotButton="0" quotePrefix="0" xfId="0">
      <alignment horizontal="left" vertical="center"/>
      <protection locked="0" hidden="0"/>
    </xf>
    <xf numFmtId="0" fontId="204" fillId="98" borderId="19" applyAlignment="1" applyProtection="1" pivotButton="0" quotePrefix="0" xfId="0">
      <alignment horizontal="center" vertical="center"/>
      <protection locked="0" hidden="0"/>
    </xf>
    <xf numFmtId="0" fontId="205" fillId="98" borderId="19" applyAlignment="1" applyProtection="1" pivotButton="0" quotePrefix="0" xfId="0">
      <alignment horizontal="center" vertical="center"/>
      <protection locked="0" hidden="0"/>
    </xf>
    <xf numFmtId="0" fontId="200" fillId="98" borderId="19" applyAlignment="1" applyProtection="1" pivotButton="0" quotePrefix="0" xfId="0">
      <alignment horizontal="center" vertical="center"/>
      <protection locked="0" hidden="0"/>
    </xf>
    <xf numFmtId="0" fontId="199" fillId="99" borderId="19" applyAlignment="1" applyProtection="1" pivotButton="0" quotePrefix="0" xfId="0">
      <alignment horizontal="center"/>
      <protection locked="0" hidden="0"/>
    </xf>
    <xf numFmtId="0" fontId="0" fillId="97" borderId="19" applyAlignment="1" pivotButton="0" quotePrefix="0" xfId="0">
      <alignment horizontal="center" vertical="center"/>
    </xf>
    <xf numFmtId="0" fontId="201" fillId="96" borderId="19" applyAlignment="1" applyProtection="1" pivotButton="0" quotePrefix="0" xfId="25429">
      <alignment horizontal="center" vertical="center"/>
      <protection locked="0" hidden="0"/>
    </xf>
    <xf numFmtId="165" fontId="201" fillId="97" borderId="15" applyAlignment="1" pivotButton="0" quotePrefix="0" xfId="25429">
      <alignment horizontal="center" vertical="center"/>
    </xf>
    <xf numFmtId="0" fontId="201" fillId="96" borderId="19" applyAlignment="1" applyProtection="1" pivotButton="0" quotePrefix="0" xfId="0">
      <alignment horizontal="center" vertical="center"/>
      <protection locked="0" hidden="0"/>
    </xf>
    <xf numFmtId="0" fontId="201" fillId="97" borderId="19" applyAlignment="1" pivotButton="0" quotePrefix="0" xfId="0">
      <alignment horizontal="center" vertical="center"/>
    </xf>
    <xf numFmtId="0" fontId="202" fillId="0" borderId="19" applyAlignment="1" applyProtection="1" pivotButton="0" quotePrefix="0" xfId="0">
      <alignment horizontal="center" vertical="center"/>
      <protection locked="0" hidden="0"/>
    </xf>
    <xf numFmtId="0" fontId="202" fillId="98" borderId="19" applyAlignment="1" applyProtection="1" pivotButton="0" quotePrefix="0" xfId="0">
      <alignment horizontal="center" vertical="center"/>
      <protection locked="0" hidden="0"/>
    </xf>
    <xf numFmtId="0" fontId="201" fillId="100" borderId="19" applyAlignment="1" applyProtection="1" pivotButton="0" quotePrefix="0" xfId="0">
      <alignment horizontal="center" vertical="center"/>
      <protection locked="0" hidden="0"/>
    </xf>
    <xf numFmtId="14" fontId="202" fillId="99" borderId="19" applyAlignment="1" applyProtection="1" pivotButton="0" quotePrefix="0" xfId="0">
      <alignment horizontal="center"/>
      <protection locked="0" hidden="0"/>
    </xf>
    <xf numFmtId="165" fontId="201" fillId="96" borderId="19" applyAlignment="1" applyProtection="1" pivotButton="0" quotePrefix="0" xfId="25429">
      <alignment horizontal="center" vertical="center"/>
      <protection locked="0" hidden="0"/>
    </xf>
    <xf numFmtId="0" fontId="202" fillId="97" borderId="19" applyAlignment="1" pivotButton="0" quotePrefix="0" xfId="0">
      <alignment horizontal="center" vertical="center"/>
    </xf>
    <xf numFmtId="0" fontId="202" fillId="97" borderId="19" applyAlignment="1" applyProtection="1" pivotButton="0" quotePrefix="0" xfId="0">
      <alignment horizontal="center" vertical="center"/>
      <protection locked="0" hidden="0"/>
    </xf>
    <xf numFmtId="0" fontId="201" fillId="81" borderId="38" applyAlignment="1" applyProtection="1" pivotButton="0" quotePrefix="0" xfId="0">
      <alignment horizontal="center"/>
      <protection locked="0" hidden="0"/>
    </xf>
    <xf numFmtId="165" fontId="206" fillId="97" borderId="15" applyAlignment="1" pivotButton="0" quotePrefix="0" xfId="25429">
      <alignment horizontal="center" vertical="center"/>
    </xf>
    <xf numFmtId="0" fontId="0" fillId="96" borderId="0" applyAlignment="1" applyProtection="1" pivotButton="0" quotePrefix="0" xfId="0">
      <alignment horizontal="center" vertical="center"/>
      <protection locked="0" hidden="0"/>
    </xf>
    <xf numFmtId="0" fontId="201" fillId="96" borderId="0" applyAlignment="1" applyProtection="1" pivotButton="0" quotePrefix="0" xfId="0">
      <alignment horizontal="center" vertical="center"/>
      <protection locked="0" hidden="0"/>
    </xf>
    <xf numFmtId="3" fontId="202" fillId="79" borderId="19" applyAlignment="1" applyProtection="1" pivotButton="0" quotePrefix="0" xfId="0">
      <alignment horizontal="center" vertical="center" wrapText="1"/>
      <protection locked="0" hidden="0"/>
    </xf>
    <xf numFmtId="0" fontId="0" fillId="98" borderId="19" applyAlignment="1" applyProtection="1" pivotButton="0" quotePrefix="0" xfId="0">
      <alignment horizontal="left" vertical="center" wrapText="1"/>
      <protection locked="0" hidden="0"/>
    </xf>
    <xf numFmtId="0" fontId="201" fillId="98" borderId="19" applyAlignment="1" applyProtection="1" pivotButton="0" quotePrefix="0" xfId="0">
      <alignment horizontal="left" vertical="center" wrapText="1"/>
      <protection locked="0" hidden="0"/>
    </xf>
    <xf numFmtId="0" fontId="0" fillId="98" borderId="19" applyAlignment="1" applyProtection="1" pivotButton="0" quotePrefix="0" xfId="0">
      <alignment horizontal="center" vertical="center" wrapText="1"/>
      <protection locked="0" hidden="0"/>
    </xf>
    <xf numFmtId="0" fontId="201" fillId="98" borderId="19" applyAlignment="1" applyProtection="1" pivotButton="0" quotePrefix="0" xfId="0">
      <alignment horizontal="center" vertical="center" wrapText="1"/>
      <protection locked="0" hidden="0"/>
    </xf>
    <xf numFmtId="1" fontId="0" fillId="97" borderId="19" applyAlignment="1" pivotButton="0" quotePrefix="0" xfId="0">
      <alignment horizontal="center" vertical="center"/>
    </xf>
    <xf numFmtId="1" fontId="201" fillId="97" borderId="19" applyAlignment="1" pivotButton="0" quotePrefix="0" xfId="0">
      <alignment horizontal="center" vertical="center"/>
    </xf>
    <xf numFmtId="0" fontId="0" fillId="79" borderId="0" applyProtection="1" pivotButton="0" quotePrefix="0" xfId="0">
      <protection locked="0" hidden="0"/>
    </xf>
    <xf numFmtId="0" fontId="0" fillId="101" borderId="19" applyAlignment="1" applyProtection="1" pivotButton="0" quotePrefix="0" xfId="0">
      <alignment horizontal="center" vertical="center"/>
      <protection locked="0" hidden="0"/>
    </xf>
    <xf numFmtId="0" fontId="201" fillId="101" borderId="0" applyAlignment="1" applyProtection="1" pivotButton="0" quotePrefix="0" xfId="0">
      <alignment horizontal="center" vertical="center"/>
      <protection locked="0" hidden="0"/>
    </xf>
    <xf numFmtId="0" fontId="201" fillId="101" borderId="19" applyAlignment="1" applyProtection="1" pivotButton="0" quotePrefix="0" xfId="0">
      <alignment horizontal="left" vertical="center"/>
      <protection locked="0" hidden="0"/>
    </xf>
    <xf numFmtId="3" fontId="201" fillId="79" borderId="15" applyAlignment="1" applyProtection="1" pivotButton="0" quotePrefix="0" xfId="0">
      <alignment horizontal="center" vertical="center"/>
      <protection locked="0" hidden="0"/>
    </xf>
    <xf numFmtId="3" fontId="201" fillId="79" borderId="15" applyAlignment="1" applyProtection="1" pivotButton="0" quotePrefix="0" xfId="0">
      <alignment horizontal="center" vertical="center" wrapText="1"/>
      <protection locked="0" hidden="0"/>
    </xf>
    <xf numFmtId="0" fontId="199" fillId="97" borderId="19" applyAlignment="1" applyProtection="1" pivotButton="0" quotePrefix="0" xfId="0">
      <alignment horizontal="center" vertical="center"/>
      <protection locked="0" hidden="0"/>
    </xf>
    <xf numFmtId="0" fontId="199" fillId="98" borderId="19" applyAlignment="1" applyProtection="1" pivotButton="0" quotePrefix="0" xfId="0">
      <alignment horizontal="center" vertical="center"/>
      <protection locked="0" hidden="0"/>
    </xf>
    <xf numFmtId="0" fontId="199" fillId="96" borderId="19" applyAlignment="1" applyProtection="1" pivotButton="0" quotePrefix="0" xfId="0">
      <alignment horizontal="center" vertical="center"/>
      <protection locked="0" hidden="0"/>
    </xf>
    <xf numFmtId="0" fontId="0" fillId="79" borderId="19" applyAlignment="1" applyProtection="1" pivotButton="0" quotePrefix="0" xfId="0">
      <alignment horizontal="center" vertical="center"/>
      <protection locked="0" hidden="0"/>
    </xf>
    <xf numFmtId="0" fontId="201" fillId="79" borderId="19" applyAlignment="1" applyProtection="1" pivotButton="0" quotePrefix="0" xfId="0">
      <alignment horizontal="center" vertical="center"/>
      <protection locked="0" hidden="0"/>
    </xf>
    <xf numFmtId="0" fontId="201" fillId="79" borderId="19" applyAlignment="1" applyProtection="1" pivotButton="0" quotePrefix="0" xfId="0">
      <alignment horizontal="left" vertical="center"/>
      <protection locked="0" hidden="0"/>
    </xf>
    <xf numFmtId="0" fontId="201" fillId="79" borderId="21" applyAlignment="1" applyProtection="1" pivotButton="0" quotePrefix="0" xfId="0">
      <alignment horizontal="center" vertical="center"/>
      <protection locked="0" hidden="0"/>
    </xf>
    <xf numFmtId="0" fontId="0" fillId="79" borderId="49" applyAlignment="1" applyProtection="1" pivotButton="0" quotePrefix="0" xfId="0">
      <alignment horizontal="center" vertical="center"/>
      <protection locked="0" hidden="0"/>
    </xf>
    <xf numFmtId="0" fontId="202" fillId="79" borderId="49" applyAlignment="1" applyProtection="1" pivotButton="0" quotePrefix="0" xfId="0">
      <alignment horizontal="center" vertical="center"/>
      <protection locked="0" hidden="0"/>
    </xf>
    <xf numFmtId="0" fontId="204" fillId="79" borderId="49" applyAlignment="1" applyProtection="1" pivotButton="0" quotePrefix="0" xfId="0">
      <alignment horizontal="center" vertical="center"/>
      <protection locked="0" hidden="0"/>
    </xf>
    <xf numFmtId="0" fontId="0" fillId="101" borderId="49" applyAlignment="1" applyProtection="1" pivotButton="0" quotePrefix="0" xfId="0">
      <alignment horizontal="center" vertical="center"/>
      <protection locked="0" hidden="0"/>
    </xf>
    <xf numFmtId="0" fontId="0" fillId="79" borderId="19" applyAlignment="1" applyProtection="1" pivotButton="0" quotePrefix="0" xfId="0">
      <alignment horizontal="left" vertical="center" wrapText="1"/>
      <protection locked="0" hidden="0"/>
    </xf>
    <xf numFmtId="0" fontId="201" fillId="97" borderId="19" applyAlignment="1" applyProtection="1" pivotButton="0" quotePrefix="0" xfId="0">
      <alignment horizontal="center" vertical="center"/>
      <protection locked="0" hidden="0"/>
    </xf>
    <xf numFmtId="0" fontId="201" fillId="101" borderId="19" applyAlignment="1" applyProtection="1" pivotButton="0" quotePrefix="0" xfId="0">
      <alignment horizontal="center" vertical="center"/>
      <protection locked="0" hidden="0"/>
    </xf>
    <xf numFmtId="3" fontId="201" fillId="101" borderId="15" applyAlignment="1" applyProtection="1" pivotButton="0" quotePrefix="0" xfId="0">
      <alignment horizontal="center" vertical="center"/>
      <protection locked="0" hidden="0"/>
    </xf>
    <xf numFmtId="3" fontId="201" fillId="101" borderId="15" applyAlignment="1" applyProtection="1" pivotButton="0" quotePrefix="0" xfId="0">
      <alignment horizontal="center" vertical="center" wrapText="1"/>
      <protection locked="0" hidden="0"/>
    </xf>
    <xf numFmtId="0" fontId="0" fillId="98" borderId="38" applyAlignment="1" applyProtection="1" pivotButton="0" quotePrefix="0" xfId="0">
      <alignment horizontal="center" vertical="center"/>
      <protection locked="0" hidden="0"/>
    </xf>
    <xf numFmtId="0" fontId="199" fillId="99" borderId="15" applyAlignment="1" applyProtection="1" pivotButton="0" quotePrefix="0" xfId="0">
      <alignment horizontal="center"/>
      <protection locked="0" hidden="0"/>
    </xf>
    <xf numFmtId="0" fontId="0" fillId="98" borderId="21" applyAlignment="1" applyProtection="1" pivotButton="0" quotePrefix="0" xfId="0">
      <alignment horizontal="center" vertical="center"/>
      <protection locked="0" hidden="0"/>
    </xf>
    <xf numFmtId="0" fontId="200" fillId="97" borderId="19" applyAlignment="1" applyProtection="1" pivotButton="0" quotePrefix="0" xfId="0">
      <alignment horizontal="center" vertical="center"/>
      <protection locked="0" hidden="0"/>
    </xf>
    <xf numFmtId="14" fontId="202" fillId="99" borderId="15" applyAlignment="1" applyProtection="1" pivotButton="0" quotePrefix="0" xfId="0">
      <alignment horizontal="center"/>
      <protection locked="0" hidden="0"/>
    </xf>
    <xf numFmtId="0" fontId="201" fillId="98" borderId="49" applyAlignment="1" applyProtection="1" pivotButton="0" quotePrefix="0" xfId="0">
      <alignment horizontal="center" vertical="center"/>
      <protection locked="0" hidden="0"/>
    </xf>
    <xf numFmtId="0" fontId="201" fillId="81" borderId="13" applyAlignment="1" applyProtection="1" pivotButton="0" quotePrefix="0" xfId="0">
      <alignment horizontal="center"/>
      <protection locked="0" hidden="0"/>
    </xf>
    <xf numFmtId="0" fontId="199" fillId="81" borderId="0" applyProtection="1" pivotButton="0" quotePrefix="0" xfId="0">
      <protection locked="0" hidden="0"/>
    </xf>
    <xf numFmtId="0" fontId="199" fillId="81" borderId="50" applyAlignment="1" applyProtection="1" pivotButton="0" quotePrefix="0" xfId="0">
      <alignment horizontal="center" vertical="center"/>
      <protection locked="0" hidden="0"/>
    </xf>
    <xf numFmtId="0" fontId="199" fillId="81" borderId="50" applyAlignment="1" applyProtection="1" pivotButton="0" quotePrefix="0" xfId="0">
      <alignment horizontal="center" vertical="center" wrapText="1"/>
      <protection locked="0" hidden="0"/>
    </xf>
    <xf numFmtId="0" fontId="199" fillId="81" borderId="19" applyAlignment="1" applyProtection="1" pivotButton="0" quotePrefix="0" xfId="0">
      <alignment horizontal="center"/>
      <protection locked="0" hidden="0"/>
    </xf>
    <xf numFmtId="0" fontId="201" fillId="81" borderId="19" applyAlignment="1" applyProtection="1" pivotButton="0" quotePrefix="0" xfId="0">
      <alignment horizontal="center" vertical="center"/>
      <protection locked="0" hidden="0"/>
    </xf>
    <xf numFmtId="0" fontId="202" fillId="81" borderId="19" applyAlignment="1" applyProtection="1" pivotButton="0" quotePrefix="0" xfId="0">
      <alignment horizontal="left" vertical="center"/>
      <protection locked="0" hidden="0"/>
    </xf>
    <xf numFmtId="3" fontId="202" fillId="81" borderId="15" applyAlignment="1" applyProtection="1" pivotButton="0" quotePrefix="0" xfId="0">
      <alignment horizontal="center" vertical="center"/>
      <protection locked="0" hidden="0"/>
    </xf>
    <xf numFmtId="0" fontId="199" fillId="98" borderId="19" applyAlignment="1" applyProtection="1" pivotButton="0" quotePrefix="0" xfId="0">
      <alignment horizontal="left" vertical="center"/>
      <protection locked="0" hidden="0"/>
    </xf>
    <xf numFmtId="0" fontId="200" fillId="98" borderId="21" applyAlignment="1" applyProtection="1" pivotButton="0" quotePrefix="0" xfId="0">
      <alignment horizontal="center" vertical="center"/>
      <protection locked="0" hidden="0"/>
    </xf>
    <xf numFmtId="0" fontId="199" fillId="97" borderId="49" applyAlignment="1" applyProtection="1" pivotButton="0" quotePrefix="0" xfId="0">
      <alignment horizontal="center" vertical="center"/>
      <protection locked="0" hidden="0"/>
    </xf>
    <xf numFmtId="0" fontId="202" fillId="98" borderId="49" applyAlignment="1" applyProtection="1" pivotButton="0" quotePrefix="0" xfId="0">
      <alignment horizontal="center" vertical="center"/>
      <protection locked="0" hidden="0"/>
    </xf>
    <xf numFmtId="0" fontId="199" fillId="98" borderId="49" applyAlignment="1" applyProtection="1" pivotButton="0" quotePrefix="0" xfId="0">
      <alignment horizontal="center" vertical="center"/>
      <protection locked="0" hidden="0"/>
    </xf>
    <xf numFmtId="0" fontId="202" fillId="96" borderId="15" applyAlignment="1" applyProtection="1" pivotButton="0" quotePrefix="0" xfId="30493">
      <alignment wrapText="1"/>
      <protection locked="0" hidden="0"/>
    </xf>
    <xf numFmtId="0" fontId="199" fillId="97" borderId="19" applyAlignment="1" pivotButton="0" quotePrefix="0" xfId="0">
      <alignment horizontal="center" vertical="center"/>
    </xf>
    <xf numFmtId="0" fontId="202" fillId="0" borderId="21" applyAlignment="1" applyProtection="1" pivotButton="0" quotePrefix="0" xfId="30493">
      <alignment wrapText="1"/>
      <protection locked="0" hidden="0"/>
    </xf>
    <xf numFmtId="165" fontId="207" fillId="96" borderId="19" applyAlignment="1" applyProtection="1" pivotButton="0" quotePrefix="0" xfId="25429">
      <alignment horizontal="center" vertical="center"/>
      <protection locked="0" hidden="0"/>
    </xf>
    <xf numFmtId="165" fontId="199" fillId="97" borderId="19" applyAlignment="1" pivotButton="0" quotePrefix="0" xfId="0">
      <alignment horizontal="center" vertical="center"/>
    </xf>
    <xf numFmtId="0" fontId="202" fillId="96" borderId="19" applyAlignment="1" applyProtection="1" pivotButton="0" quotePrefix="0" xfId="0">
      <alignment horizontal="center" vertical="center"/>
      <protection locked="0" hidden="0"/>
    </xf>
    <xf numFmtId="0" fontId="202" fillId="98" borderId="19" applyAlignment="1" applyProtection="1" pivotButton="0" quotePrefix="0" xfId="0">
      <alignment horizontal="left" vertical="center"/>
      <protection locked="0" hidden="0"/>
    </xf>
    <xf numFmtId="0" fontId="202" fillId="98" borderId="21" applyAlignment="1" applyProtection="1" pivotButton="0" quotePrefix="0" xfId="0">
      <alignment horizontal="center" vertical="center"/>
      <protection locked="0" hidden="0"/>
    </xf>
    <xf numFmtId="0" fontId="199" fillId="97" borderId="49" applyAlignment="1" pivotButton="0" quotePrefix="0" xfId="0">
      <alignment horizontal="center" vertical="center"/>
    </xf>
    <xf numFmtId="0" fontId="0" fillId="102" borderId="0" applyProtection="1" pivotButton="0" quotePrefix="0" xfId="0">
      <protection locked="0" hidden="0"/>
    </xf>
    <xf numFmtId="0" fontId="199" fillId="102" borderId="19" applyAlignment="1" applyProtection="1" pivotButton="0" quotePrefix="0" xfId="0">
      <alignment horizontal="center" vertical="center"/>
      <protection locked="0" hidden="0"/>
    </xf>
    <xf numFmtId="0" fontId="0" fillId="102" borderId="19" applyAlignment="1" applyProtection="1" pivotButton="0" quotePrefix="0" xfId="0">
      <alignment horizontal="center"/>
      <protection locked="0" hidden="0"/>
    </xf>
    <xf numFmtId="0" fontId="201" fillId="102" borderId="19" applyAlignment="1" applyProtection="1" pivotButton="0" quotePrefix="0" xfId="0">
      <alignment horizontal="center" vertical="center"/>
      <protection locked="0" hidden="0"/>
    </xf>
    <xf numFmtId="0" fontId="201" fillId="102" borderId="15" applyAlignment="1" applyProtection="1" pivotButton="0" quotePrefix="0" xfId="0">
      <alignment horizontal="center" vertical="center"/>
      <protection locked="0" hidden="0"/>
    </xf>
    <xf numFmtId="3" fontId="201" fillId="102" borderId="15" applyAlignment="1" applyProtection="1" pivotButton="0" quotePrefix="0" xfId="0">
      <alignment horizontal="center" vertical="center"/>
      <protection locked="0" hidden="0"/>
    </xf>
    <xf numFmtId="0" fontId="0" fillId="102" borderId="15" applyAlignment="1" applyProtection="1" pivotButton="0" quotePrefix="0" xfId="0">
      <alignment horizontal="center" vertical="center"/>
      <protection locked="0" hidden="0"/>
    </xf>
    <xf numFmtId="0" fontId="0" fillId="102" borderId="21" applyAlignment="1" applyProtection="1" pivotButton="0" quotePrefix="0" xfId="0">
      <alignment horizontal="center" vertical="center"/>
      <protection locked="0" hidden="0"/>
    </xf>
    <xf numFmtId="0" fontId="201" fillId="102" borderId="21" applyAlignment="1" applyProtection="1" pivotButton="0" quotePrefix="0" xfId="0">
      <alignment horizontal="center" vertical="center"/>
      <protection locked="0" hidden="0"/>
    </xf>
    <xf numFmtId="0" fontId="0" fillId="102" borderId="49" applyAlignment="1" applyProtection="1" pivotButton="0" quotePrefix="0" xfId="0">
      <alignment horizontal="center" vertical="center"/>
      <protection locked="0" hidden="0"/>
    </xf>
    <xf numFmtId="0" fontId="201" fillId="102" borderId="49" applyAlignment="1" applyProtection="1" pivotButton="0" quotePrefix="0" xfId="0">
      <alignment horizontal="center" vertical="center"/>
      <protection locked="0" hidden="0"/>
    </xf>
    <xf numFmtId="0" fontId="23" fillId="102" borderId="19" applyAlignment="1" applyProtection="1" pivotButton="0" quotePrefix="0" xfId="30493">
      <alignment wrapText="1"/>
      <protection locked="0" hidden="0"/>
    </xf>
    <xf numFmtId="0" fontId="0" fillId="102" borderId="49" applyAlignment="1" applyProtection="1" pivotButton="0" quotePrefix="0" xfId="0">
      <alignment horizontal="left" vertical="center"/>
      <protection locked="0" hidden="0"/>
    </xf>
    <xf numFmtId="0" fontId="23" fillId="102" borderId="15" applyAlignment="1" applyProtection="1" pivotButton="0" quotePrefix="0" xfId="30493">
      <alignment wrapText="1"/>
      <protection locked="0" hidden="0"/>
    </xf>
    <xf numFmtId="0" fontId="23" fillId="102" borderId="34" applyAlignment="1" applyProtection="1" pivotButton="0" quotePrefix="0" xfId="30493">
      <alignment wrapText="1"/>
      <protection locked="0" hidden="0"/>
    </xf>
    <xf numFmtId="0" fontId="0" fillId="102" borderId="15" applyAlignment="1" pivotButton="0" quotePrefix="0" xfId="0">
      <alignment horizontal="center" vertical="center"/>
    </xf>
    <xf numFmtId="0" fontId="0" fillId="102" borderId="21" applyAlignment="1" pivotButton="0" quotePrefix="0" xfId="0">
      <alignment horizontal="center" vertical="center"/>
    </xf>
    <xf numFmtId="0" fontId="0" fillId="102" borderId="49" applyAlignment="1" pivotButton="0" quotePrefix="0" xfId="0">
      <alignment horizontal="center" vertical="center"/>
    </xf>
    <xf numFmtId="0" fontId="23" fillId="102" borderId="19" applyAlignment="1" pivotButton="0" quotePrefix="0" xfId="30493">
      <alignment wrapText="1"/>
    </xf>
    <xf numFmtId="0" fontId="23" fillId="102" borderId="15" applyAlignment="1" pivotButton="0" quotePrefix="0" xfId="30493">
      <alignment wrapText="1"/>
    </xf>
    <xf numFmtId="0" fontId="0" fillId="100" borderId="19" applyAlignment="1" applyProtection="1" pivotButton="0" quotePrefix="0" xfId="0">
      <alignment horizontal="center" vertical="center"/>
      <protection locked="0" hidden="0"/>
    </xf>
    <xf numFmtId="0" fontId="208" fillId="98" borderId="19" applyAlignment="1" applyProtection="1" pivotButton="0" quotePrefix="0" xfId="0">
      <alignment horizontal="center" vertical="center"/>
      <protection locked="0" hidden="0"/>
    </xf>
    <xf numFmtId="0" fontId="206" fillId="96" borderId="19" applyAlignment="1" applyProtection="1" pivotButton="0" quotePrefix="0" xfId="25429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center"/>
      <protection locked="0" hidden="0"/>
    </xf>
    <xf numFmtId="0" fontId="201" fillId="0" borderId="19" applyAlignment="1" applyProtection="1" pivotButton="0" quotePrefix="0" xfId="0">
      <alignment horizontal="left" vertical="center" wrapText="1"/>
      <protection locked="0" hidden="0"/>
    </xf>
    <xf numFmtId="3" fontId="206" fillId="98" borderId="19" applyAlignment="1" applyProtection="1" pivotButton="0" quotePrefix="0" xfId="25429">
      <alignment horizontal="center" vertical="center"/>
      <protection locked="0" hidden="0"/>
    </xf>
    <xf numFmtId="3" fontId="206" fillId="96" borderId="19" applyAlignment="1" applyProtection="1" pivotButton="0" quotePrefix="0" xfId="25429">
      <alignment horizontal="center" vertical="center"/>
      <protection locked="0" hidden="0"/>
    </xf>
    <xf numFmtId="3" fontId="206" fillId="98" borderId="19" applyAlignment="1" applyProtection="1" pivotButton="0" quotePrefix="0" xfId="25429">
      <alignment horizontal="left" vertical="center"/>
      <protection locked="0" hidden="0"/>
    </xf>
    <xf numFmtId="0" fontId="201" fillId="99" borderId="19" applyAlignment="1" applyProtection="1" pivotButton="0" quotePrefix="0" xfId="0">
      <alignment horizontal="center" vertical="center"/>
      <protection locked="0" hidden="0"/>
    </xf>
    <xf numFmtId="3" fontId="201" fillId="96" borderId="19" applyAlignment="1" applyProtection="1" pivotButton="0" quotePrefix="0" xfId="25429">
      <alignment horizontal="center" vertical="center"/>
      <protection locked="0" hidden="0"/>
    </xf>
    <xf numFmtId="3" fontId="201" fillId="98" borderId="19" applyAlignment="1" applyProtection="1" pivotButton="0" quotePrefix="0" xfId="25429">
      <alignment horizontal="center" vertical="center"/>
      <protection locked="0" hidden="0"/>
    </xf>
    <xf numFmtId="0" fontId="0" fillId="99" borderId="19" applyAlignment="1" applyProtection="1" pivotButton="0" quotePrefix="0" xfId="0">
      <alignment horizontal="center" vertical="center"/>
      <protection locked="0" hidden="0"/>
    </xf>
    <xf numFmtId="0" fontId="3" fillId="0" borderId="19" applyAlignment="1" pivotButton="0" quotePrefix="0" xfId="0">
      <alignment horizontal="center" vertical="center" wrapText="1"/>
    </xf>
    <xf numFmtId="0" fontId="3" fillId="0" borderId="19" applyAlignment="1" pivotButton="0" quotePrefix="0" xfId="0">
      <alignment vertical="center" wrapText="1"/>
    </xf>
    <xf numFmtId="165" fontId="206" fillId="96" borderId="19" applyAlignment="1" applyProtection="1" pivotButton="0" quotePrefix="0" xfId="25429">
      <alignment horizontal="center" vertical="center"/>
      <protection locked="0" hidden="0"/>
    </xf>
    <xf numFmtId="3" fontId="201" fillId="103" borderId="19" applyAlignment="1" applyProtection="1" pivotButton="0" quotePrefix="0" xfId="0">
      <alignment horizontal="center" vertical="center" wrapText="1"/>
      <protection locked="0" hidden="0"/>
    </xf>
    <xf numFmtId="0" fontId="0" fillId="98" borderId="0" applyAlignment="1" applyProtection="1" pivotButton="0" quotePrefix="0" xfId="0">
      <alignment horizontal="center" vertical="center" wrapText="1"/>
      <protection locked="0" hidden="0"/>
    </xf>
    <xf numFmtId="0" fontId="201" fillId="98" borderId="0" applyAlignment="1" applyProtection="1" pivotButton="0" quotePrefix="0" xfId="0">
      <alignment horizontal="center" vertical="center" wrapText="1"/>
      <protection locked="0" hidden="0"/>
    </xf>
    <xf numFmtId="1" fontId="0" fillId="97" borderId="19" applyAlignment="1" applyProtection="1" pivotButton="0" quotePrefix="0" xfId="0">
      <alignment horizontal="center" vertical="center"/>
      <protection locked="0" hidden="0"/>
    </xf>
    <xf numFmtId="1" fontId="202" fillId="97" borderId="19" applyAlignment="1" pivotButton="0" quotePrefix="0" xfId="0">
      <alignment horizontal="center" vertical="center"/>
    </xf>
    <xf numFmtId="1" fontId="201" fillId="103" borderId="19" applyAlignment="1" applyProtection="1" pivotButton="0" quotePrefix="0" xfId="0">
      <alignment horizontal="center" vertical="center" wrapText="1"/>
      <protection locked="0" hidden="0"/>
    </xf>
    <xf numFmtId="0" fontId="201" fillId="99" borderId="19" applyAlignment="1" applyProtection="1" pivotButton="0" quotePrefix="0" xfId="0">
      <alignment horizontal="center"/>
      <protection locked="0" hidden="0"/>
    </xf>
    <xf numFmtId="0" fontId="0" fillId="81" borderId="19" applyAlignment="1" applyProtection="1" pivotButton="0" quotePrefix="0" xfId="0">
      <alignment horizontal="center" vertical="center"/>
      <protection locked="0" hidden="0"/>
    </xf>
    <xf numFmtId="0" fontId="201" fillId="81" borderId="19" applyAlignment="1" applyProtection="1" pivotButton="0" quotePrefix="0" xfId="0">
      <alignment horizontal="left" vertical="center" wrapText="1"/>
      <protection locked="0" hidden="0"/>
    </xf>
    <xf numFmtId="0" fontId="0" fillId="100" borderId="19" applyAlignment="1" applyProtection="1" pivotButton="0" quotePrefix="0" xfId="0">
      <alignment horizontal="center" vertical="center" wrapText="1"/>
      <protection locked="0" hidden="0"/>
    </xf>
    <xf numFmtId="0" fontId="0" fillId="100" borderId="0" applyAlignment="1" applyProtection="1" pivotButton="0" quotePrefix="0" xfId="0">
      <alignment horizontal="center" vertical="center"/>
      <protection locked="0" hidden="0"/>
    </xf>
    <xf numFmtId="0" fontId="202" fillId="81" borderId="19" applyAlignment="1" applyProtection="1" pivotButton="0" quotePrefix="0" xfId="0">
      <alignment horizontal="center" vertical="center"/>
      <protection locked="0" hidden="0"/>
    </xf>
    <xf numFmtId="0" fontId="23" fillId="102" borderId="13" applyAlignment="1" applyProtection="1" pivotButton="0" quotePrefix="0" xfId="30493">
      <alignment wrapText="1"/>
      <protection locked="0" hidden="0"/>
    </xf>
    <xf numFmtId="3" fontId="201" fillId="0" borderId="19" applyAlignment="1" applyProtection="1" pivotButton="0" quotePrefix="0" xfId="0">
      <alignment horizontal="center" vertical="center" wrapText="1"/>
      <protection locked="0" hidden="0"/>
    </xf>
    <xf numFmtId="165" fontId="206" fillId="97" borderId="19" applyAlignment="1" pivotButton="0" quotePrefix="0" xfId="25429">
      <alignment horizontal="center" vertical="center"/>
    </xf>
    <xf numFmtId="3" fontId="201" fillId="81" borderId="19" applyAlignment="1" applyProtection="1" pivotButton="0" quotePrefix="0" xfId="0">
      <alignment horizontal="center" vertical="center" wrapText="1"/>
      <protection locked="0" hidden="0"/>
    </xf>
    <xf numFmtId="0" fontId="201" fillId="81" borderId="13" applyAlignment="1" applyProtection="1" pivotButton="0" quotePrefix="0" xfId="0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center" vertical="center" wrapText="1"/>
      <protection locked="0" hidden="0"/>
    </xf>
    <xf numFmtId="1" fontId="201" fillId="0" borderId="19" applyAlignment="1" applyProtection="1" pivotButton="0" quotePrefix="0" xfId="0">
      <alignment horizontal="center" vertical="center" wrapText="1"/>
      <protection locked="0" hidden="0"/>
    </xf>
    <xf numFmtId="1" fontId="204" fillId="98" borderId="19" applyAlignment="1" applyProtection="1" pivotButton="0" quotePrefix="0" xfId="0">
      <alignment horizontal="center" vertical="center"/>
      <protection locked="0" hidden="0"/>
    </xf>
    <xf numFmtId="1" fontId="201" fillId="98" borderId="19" applyAlignment="1" applyProtection="1" pivotButton="0" quotePrefix="0" xfId="0">
      <alignment horizontal="center" vertical="center"/>
      <protection locked="0" hidden="0"/>
    </xf>
    <xf numFmtId="165" fontId="201" fillId="97" borderId="19" applyAlignment="1" pivotButton="0" quotePrefix="0" xfId="25429">
      <alignment horizontal="center" vertical="center"/>
    </xf>
    <xf numFmtId="0" fontId="80" fillId="81" borderId="19" applyAlignment="1" pivotButton="0" quotePrefix="0" xfId="0">
      <alignment horizontal="center" vertical="center" wrapText="1"/>
    </xf>
    <xf numFmtId="0" fontId="132" fillId="81" borderId="19" applyAlignment="1" pivotButton="0" quotePrefix="0" xfId="0">
      <alignment horizontal="center" vertical="center" wrapText="1"/>
    </xf>
    <xf numFmtId="0" fontId="210" fillId="81" borderId="19" applyAlignment="1" pivotButton="0" quotePrefix="0" xfId="0">
      <alignment horizontal="center" vertical="center" wrapText="1"/>
    </xf>
    <xf numFmtId="0" fontId="3" fillId="81" borderId="19" applyAlignment="1" pivotButton="0" quotePrefix="0" xfId="0">
      <alignment horizontal="center" vertical="center" wrapText="1"/>
    </xf>
    <xf numFmtId="0" fontId="201" fillId="100" borderId="19" applyAlignment="1" pivotButton="0" quotePrefix="0" xfId="0">
      <alignment horizontal="center" vertical="center"/>
    </xf>
    <xf numFmtId="0" fontId="201" fillId="104" borderId="19" applyAlignment="1" pivotButton="0" quotePrefix="0" xfId="0">
      <alignment horizontal="center" vertical="center"/>
    </xf>
    <xf numFmtId="0" fontId="80" fillId="105" borderId="19" applyAlignment="1" pivotButton="0" quotePrefix="0" xfId="0">
      <alignment horizontal="center" vertical="center" wrapText="1"/>
    </xf>
    <xf numFmtId="3" fontId="209" fillId="103" borderId="19" applyAlignment="1" applyProtection="1" pivotButton="0" quotePrefix="0" xfId="0">
      <alignment horizontal="center" vertical="center" wrapText="1"/>
      <protection locked="0" hidden="0"/>
    </xf>
    <xf numFmtId="0" fontId="211" fillId="81" borderId="19" applyAlignment="1" pivotButton="0" quotePrefix="0" xfId="0">
      <alignment horizontal="center" vertical="center" wrapText="1"/>
    </xf>
    <xf numFmtId="0" fontId="212" fillId="81" borderId="19" applyAlignment="1" pivotButton="0" quotePrefix="0" xfId="0">
      <alignment horizontal="center" vertical="center" wrapText="1"/>
    </xf>
    <xf numFmtId="0" fontId="80" fillId="0" borderId="19" applyAlignment="1" pivotButton="0" quotePrefix="0" xfId="0">
      <alignment horizontal="center" vertical="center" wrapText="1"/>
    </xf>
    <xf numFmtId="0" fontId="201" fillId="101" borderId="50" applyAlignment="1" applyProtection="1" pivotButton="0" quotePrefix="0" xfId="0">
      <alignment horizontal="center"/>
      <protection locked="0" hidden="0"/>
    </xf>
    <xf numFmtId="0" fontId="201" fillId="101" borderId="38" applyAlignment="1" applyProtection="1" pivotButton="0" quotePrefix="0" xfId="0">
      <alignment horizontal="left" vertical="center" wrapText="1"/>
      <protection locked="0" hidden="0"/>
    </xf>
    <xf numFmtId="1" fontId="201" fillId="101" borderId="19" applyAlignment="1" applyProtection="1" pivotButton="0" quotePrefix="0" xfId="0">
      <alignment horizontal="center" vertical="center" wrapText="1"/>
      <protection locked="0" hidden="0"/>
    </xf>
    <xf numFmtId="3" fontId="201" fillId="101" borderId="19" applyAlignment="1" applyProtection="1" pivotButton="0" quotePrefix="0" xfId="0">
      <alignment horizontal="center" vertical="center" wrapText="1"/>
      <protection locked="0" hidden="0"/>
    </xf>
    <xf numFmtId="0" fontId="80" fillId="79" borderId="50" applyAlignment="1" pivotButton="0" quotePrefix="0" xfId="0">
      <alignment horizontal="center" vertical="center" wrapText="1"/>
    </xf>
    <xf numFmtId="0" fontId="0" fillId="79" borderId="50" applyAlignment="1" applyProtection="1" pivotButton="0" quotePrefix="0" xfId="0">
      <alignment horizontal="center" vertical="center"/>
      <protection locked="0" hidden="0"/>
    </xf>
    <xf numFmtId="0" fontId="132" fillId="101" borderId="50" applyAlignment="1" pivotButton="0" quotePrefix="0" xfId="0">
      <alignment horizontal="center" vertical="center" wrapText="1"/>
    </xf>
    <xf numFmtId="0" fontId="0" fillId="106" borderId="50" applyAlignment="1" applyProtection="1" pivotButton="0" quotePrefix="0" xfId="0">
      <alignment horizontal="center" vertical="center"/>
      <protection locked="0" hidden="0"/>
    </xf>
    <xf numFmtId="0" fontId="0" fillId="101" borderId="50" applyAlignment="1" applyProtection="1" pivotButton="0" quotePrefix="0" xfId="0">
      <alignment horizontal="center" vertical="center"/>
      <protection locked="0" hidden="0"/>
    </xf>
    <xf numFmtId="0" fontId="210" fillId="101" borderId="50" applyAlignment="1" pivotButton="0" quotePrefix="0" xfId="0">
      <alignment horizontal="center" vertical="center" wrapText="1"/>
    </xf>
    <xf numFmtId="0" fontId="0" fillId="96" borderId="50" applyAlignment="1" applyProtection="1" pivotButton="0" quotePrefix="0" xfId="0">
      <alignment horizontal="center" vertical="center"/>
      <protection locked="0" hidden="0"/>
    </xf>
    <xf numFmtId="0" fontId="0" fillId="98" borderId="50" applyAlignment="1" applyProtection="1" pivotButton="0" quotePrefix="0" xfId="0">
      <alignment horizontal="center" vertical="center"/>
      <protection locked="0" hidden="0"/>
    </xf>
    <xf numFmtId="0" fontId="0" fillId="97" borderId="50" applyAlignment="1" applyProtection="1" pivotButton="0" quotePrefix="0" xfId="0">
      <alignment horizontal="center" vertical="center"/>
      <protection locked="0" hidden="0"/>
    </xf>
    <xf numFmtId="0" fontId="213" fillId="98" borderId="50" applyAlignment="1" applyProtection="1" pivotButton="0" quotePrefix="0" xfId="0">
      <alignment horizontal="center" vertical="center"/>
      <protection locked="0" hidden="0"/>
    </xf>
    <xf numFmtId="0" fontId="0" fillId="98" borderId="50" applyAlignment="1" applyProtection="1" pivotButton="0" quotePrefix="0" xfId="0">
      <alignment horizontal="left" vertical="center"/>
      <protection locked="0" hidden="0"/>
    </xf>
    <xf numFmtId="0" fontId="201" fillId="98" borderId="50" applyAlignment="1" applyProtection="1" pivotButton="0" quotePrefix="0" xfId="0">
      <alignment horizontal="center" vertical="center"/>
      <protection locked="0" hidden="0"/>
    </xf>
    <xf numFmtId="0" fontId="201" fillId="104" borderId="50" applyAlignment="1" applyProtection="1" pivotButton="0" quotePrefix="0" xfId="0">
      <alignment horizontal="center" vertical="center"/>
      <protection locked="0" hidden="0"/>
    </xf>
    <xf numFmtId="0" fontId="201" fillId="96" borderId="50" applyAlignment="1" applyProtection="1" pivotButton="0" quotePrefix="0" xfId="0">
      <alignment horizontal="center" vertical="center"/>
      <protection locked="0" hidden="0"/>
    </xf>
    <xf numFmtId="0" fontId="202" fillId="104" borderId="50" applyAlignment="1" applyProtection="1" pivotButton="0" quotePrefix="0" xfId="0">
      <alignment horizontal="center" vertical="center"/>
      <protection locked="0" hidden="0"/>
    </xf>
    <xf numFmtId="0" fontId="201" fillId="99" borderId="50" applyAlignment="1" applyProtection="1" pivotButton="0" quotePrefix="0" xfId="0">
      <alignment horizontal="center"/>
      <protection locked="0" hidden="0"/>
    </xf>
    <xf numFmtId="0" fontId="202" fillId="0" borderId="50" applyAlignment="1" applyProtection="1" pivotButton="0" quotePrefix="0" xfId="0">
      <alignment horizontal="center" vertical="center"/>
      <protection locked="0" hidden="0"/>
    </xf>
    <xf numFmtId="0" fontId="202" fillId="98" borderId="50" applyAlignment="1" applyProtection="1" pivotButton="0" quotePrefix="0" xfId="0">
      <alignment horizontal="center" vertical="center"/>
      <protection locked="0" hidden="0"/>
    </xf>
    <xf numFmtId="0" fontId="0" fillId="101" borderId="0" applyProtection="1" pivotButton="0" quotePrefix="0" xfId="0">
      <protection locked="0" hidden="0"/>
    </xf>
    <xf numFmtId="0" fontId="201" fillId="101" borderId="19" applyAlignment="1" applyProtection="1" pivotButton="0" quotePrefix="0" xfId="0">
      <alignment horizontal="center" vertical="center" wrapText="1"/>
      <protection locked="0" hidden="0"/>
    </xf>
    <xf numFmtId="0" fontId="80" fillId="101" borderId="50" applyAlignment="1" pivotButton="0" quotePrefix="0" xfId="0">
      <alignment horizontal="center" vertical="center" wrapText="1"/>
    </xf>
    <xf numFmtId="0" fontId="213" fillId="101" borderId="50" applyAlignment="1" applyProtection="1" pivotButton="0" quotePrefix="0" xfId="0">
      <alignment horizontal="center" vertical="center"/>
      <protection locked="0" hidden="0"/>
    </xf>
    <xf numFmtId="0" fontId="0" fillId="101" borderId="50" applyAlignment="1" applyProtection="1" pivotButton="0" quotePrefix="0" xfId="0">
      <alignment horizontal="left" vertical="center"/>
      <protection locked="0" hidden="0"/>
    </xf>
    <xf numFmtId="1" fontId="201" fillId="101" borderId="38" applyAlignment="1" applyProtection="1" pivotButton="0" quotePrefix="0" xfId="0">
      <alignment horizontal="center" vertical="center"/>
      <protection locked="0" hidden="0"/>
    </xf>
    <xf numFmtId="1" fontId="201" fillId="101" borderId="13" applyAlignment="1" applyProtection="1" pivotButton="0" quotePrefix="0" xfId="0">
      <alignment horizontal="center" vertical="center"/>
      <protection locked="0" hidden="0"/>
    </xf>
    <xf numFmtId="0" fontId="206" fillId="101" borderId="19" applyAlignment="1" applyProtection="1" pivotButton="0" quotePrefix="0" xfId="25429">
      <alignment horizontal="center" vertical="center"/>
      <protection locked="0" hidden="0"/>
    </xf>
    <xf numFmtId="0" fontId="0" fillId="101" borderId="19" applyAlignment="1" applyProtection="1" pivotButton="0" quotePrefix="0" xfId="0">
      <alignment horizontal="left" vertical="center"/>
      <protection locked="0" hidden="0"/>
    </xf>
    <xf numFmtId="165" fontId="199" fillId="101" borderId="19" applyAlignment="1" pivotButton="0" quotePrefix="0" xfId="0">
      <alignment horizontal="center" vertical="center"/>
    </xf>
    <xf numFmtId="0" fontId="0" fillId="101" borderId="19" applyAlignment="1" pivotButton="0" quotePrefix="0" xfId="0">
      <alignment horizontal="center" vertical="center"/>
    </xf>
    <xf numFmtId="1" fontId="201" fillId="101" borderId="19" applyAlignment="1" applyProtection="1" pivotButton="0" quotePrefix="0" xfId="0">
      <alignment horizontal="center" vertical="center"/>
      <protection locked="0" hidden="0"/>
    </xf>
    <xf numFmtId="0" fontId="201" fillId="101" borderId="19" applyAlignment="1" pivotButton="0" quotePrefix="0" xfId="0">
      <alignment horizontal="center" vertical="center"/>
    </xf>
    <xf numFmtId="0" fontId="0" fillId="101" borderId="49" applyAlignment="1" pivotButton="0" quotePrefix="0" xfId="0">
      <alignment horizontal="center" vertical="center"/>
    </xf>
    <xf numFmtId="0" fontId="214" fillId="101" borderId="50" applyAlignment="1" applyProtection="1" pivotButton="0" quotePrefix="0" xfId="0">
      <alignment horizontal="center" vertical="center"/>
      <protection locked="0" hidden="0"/>
    </xf>
    <xf numFmtId="0" fontId="201" fillId="101" borderId="50" applyAlignment="1" applyProtection="1" pivotButton="0" quotePrefix="0" xfId="0">
      <alignment horizontal="center" vertical="center"/>
      <protection locked="0" hidden="0"/>
    </xf>
    <xf numFmtId="0" fontId="215" fillId="101" borderId="50" applyAlignment="1" applyProtection="1" pivotButton="0" quotePrefix="0" xfId="0">
      <alignment horizontal="center" vertical="center"/>
      <protection locked="0" hidden="0"/>
    </xf>
    <xf numFmtId="0" fontId="215" fillId="101" borderId="38" applyAlignment="1" applyProtection="1" pivotButton="0" quotePrefix="0" xfId="0">
      <alignment horizontal="center" vertical="center"/>
      <protection locked="0" hidden="0"/>
    </xf>
    <xf numFmtId="0" fontId="215" fillId="101" borderId="13" applyAlignment="1" applyProtection="1" pivotButton="0" quotePrefix="0" xfId="0">
      <alignment horizontal="center" vertical="center"/>
      <protection locked="0" hidden="0"/>
    </xf>
    <xf numFmtId="165" fontId="206" fillId="101" borderId="19" applyAlignment="1" applyProtection="1" pivotButton="0" quotePrefix="0" xfId="25429">
      <alignment horizontal="center" vertical="center"/>
      <protection locked="0" hidden="0"/>
    </xf>
    <xf numFmtId="165" fontId="206" fillId="101" borderId="15" applyAlignment="1" pivotButton="0" quotePrefix="0" xfId="25429">
      <alignment horizontal="center" vertical="center"/>
    </xf>
    <xf numFmtId="165" fontId="206" fillId="101" borderId="19" applyAlignment="1" pivotButton="0" quotePrefix="0" xfId="25429">
      <alignment horizontal="center" vertical="center"/>
    </xf>
    <xf numFmtId="0" fontId="202" fillId="101" borderId="50" applyAlignment="1" applyProtection="1" pivotButton="0" quotePrefix="0" xfId="0">
      <alignment horizontal="center" vertical="center"/>
      <protection locked="0" hidden="0"/>
    </xf>
    <xf numFmtId="0" fontId="202" fillId="101" borderId="38" applyAlignment="1" applyProtection="1" pivotButton="0" quotePrefix="0" xfId="0">
      <alignment horizontal="center" vertical="center"/>
      <protection locked="0" hidden="0"/>
    </xf>
    <xf numFmtId="0" fontId="201" fillId="101" borderId="13" applyAlignment="1" applyProtection="1" pivotButton="0" quotePrefix="0" xfId="0">
      <alignment horizontal="center" vertical="center"/>
      <protection locked="0" hidden="0"/>
    </xf>
    <xf numFmtId="0" fontId="215" fillId="101" borderId="19" applyAlignment="1" pivotButton="0" quotePrefix="0" xfId="0">
      <alignment horizontal="center" vertical="center"/>
    </xf>
    <xf numFmtId="0" fontId="215" fillId="101" borderId="49" applyAlignment="1" pivotButton="0" quotePrefix="0" xfId="0">
      <alignment horizontal="center" vertical="center"/>
    </xf>
    <xf numFmtId="0" fontId="0" fillId="0" borderId="19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199" fillId="0" borderId="38" applyProtection="1" pivotButton="0" quotePrefix="0" xfId="0">
      <protection locked="0" hidden="0"/>
    </xf>
    <xf numFmtId="0" fontId="201" fillId="81" borderId="38" applyAlignment="1" applyProtection="1" pivotButton="0" quotePrefix="0" xfId="0">
      <alignment horizontal="center" vertical="center"/>
      <protection locked="0" hidden="0"/>
    </xf>
    <xf numFmtId="1" fontId="201" fillId="102" borderId="15" applyAlignment="1" applyProtection="1" pivotButton="0" quotePrefix="0" xfId="0">
      <alignment horizontal="center" vertical="center"/>
      <protection locked="0" hidden="0"/>
    </xf>
    <xf numFmtId="0" fontId="23" fillId="102" borderId="52" applyAlignment="1" applyProtection="1" pivotButton="0" quotePrefix="0" xfId="30493">
      <alignment wrapText="1"/>
      <protection locked="0" hidden="0"/>
    </xf>
    <xf numFmtId="0" fontId="23" fillId="102" borderId="38" applyAlignment="1" applyProtection="1" pivotButton="0" quotePrefix="0" xfId="30493">
      <alignment wrapText="1"/>
      <protection locked="0" hidden="0"/>
    </xf>
    <xf numFmtId="0" fontId="205" fillId="81" borderId="38" applyAlignment="1" applyProtection="1" pivotButton="0" quotePrefix="0" xfId="0">
      <alignment horizontal="center" vertical="center"/>
      <protection locked="0" hidden="0"/>
    </xf>
    <xf numFmtId="0" fontId="215" fillId="81" borderId="13" applyAlignment="1" applyProtection="1" pivotButton="0" quotePrefix="0" xfId="0">
      <alignment horizontal="center" vertical="center"/>
      <protection locked="0" hidden="0"/>
    </xf>
    <xf numFmtId="0" fontId="215" fillId="98" borderId="19" applyAlignment="1" applyProtection="1" pivotButton="0" quotePrefix="0" xfId="0">
      <alignment horizontal="center" vertical="center"/>
      <protection locked="0" hidden="0"/>
    </xf>
    <xf numFmtId="0" fontId="199" fillId="99" borderId="0" applyAlignment="1" applyProtection="1" pivotButton="0" quotePrefix="0" xfId="0">
      <alignment horizontal="center"/>
      <protection locked="0" hidden="0"/>
    </xf>
    <xf numFmtId="0" fontId="202" fillId="100" borderId="19" applyAlignment="1" applyProtection="1" pivotButton="0" quotePrefix="0" xfId="0">
      <alignment horizontal="center" vertical="center"/>
      <protection locked="0" hidden="0"/>
    </xf>
    <xf numFmtId="0" fontId="201" fillId="100" borderId="49" applyAlignment="1" applyProtection="1" pivotButton="0" quotePrefix="0" xfId="0">
      <alignment horizontal="center" vertical="center"/>
      <protection locked="0" hidden="0"/>
    </xf>
    <xf numFmtId="0" fontId="204" fillId="98" borderId="49" applyAlignment="1" applyProtection="1" pivotButton="0" quotePrefix="0" xfId="0">
      <alignment horizontal="center" vertical="center"/>
      <protection locked="0" hidden="0"/>
    </xf>
    <xf numFmtId="0" fontId="204" fillId="81" borderId="38" applyAlignment="1" applyProtection="1" pivotButton="0" quotePrefix="0" xfId="0">
      <alignment horizontal="center"/>
      <protection locked="0" hidden="0"/>
    </xf>
    <xf numFmtId="0" fontId="204" fillId="81" borderId="13" applyAlignment="1" applyProtection="1" pivotButton="0" quotePrefix="0" xfId="0">
      <alignment horizontal="center"/>
      <protection locked="0" hidden="0"/>
    </xf>
    <xf numFmtId="0" fontId="0" fillId="0" borderId="19" applyProtection="1" pivotButton="0" quotePrefix="0" xfId="0">
      <protection locked="0" hidden="0"/>
    </xf>
    <xf numFmtId="0" fontId="199" fillId="81" borderId="0" applyAlignment="1" applyProtection="1" pivotButton="0" quotePrefix="0" xfId="0">
      <alignment horizontal="center"/>
      <protection locked="0" hidden="0"/>
    </xf>
    <xf numFmtId="0" fontId="202" fillId="81" borderId="0" applyAlignment="1" applyProtection="1" pivotButton="0" quotePrefix="0" xfId="0">
      <alignment horizontal="center" vertical="center"/>
      <protection locked="0" hidden="0"/>
    </xf>
    <xf numFmtId="0" fontId="202" fillId="81" borderId="0" applyAlignment="1" applyProtection="1" pivotButton="0" quotePrefix="0" xfId="0">
      <alignment horizontal="left" vertical="center"/>
      <protection locked="0" hidden="0"/>
    </xf>
    <xf numFmtId="3" fontId="202" fillId="81" borderId="0" applyAlignment="1" applyProtection="1" pivotButton="0" quotePrefix="0" xfId="0">
      <alignment horizontal="center" vertical="center"/>
      <protection locked="0" hidden="0"/>
    </xf>
    <xf numFmtId="0" fontId="199" fillId="97" borderId="0" applyAlignment="1" applyProtection="1" pivotButton="0" quotePrefix="0" xfId="0">
      <alignment horizontal="center" vertical="center"/>
      <protection locked="0" hidden="0"/>
    </xf>
    <xf numFmtId="0" fontId="199" fillId="98" borderId="0" applyAlignment="1" applyProtection="1" pivotButton="0" quotePrefix="0" xfId="0">
      <alignment horizontal="center" vertical="center"/>
      <protection locked="0" hidden="0"/>
    </xf>
    <xf numFmtId="0" fontId="199" fillId="96" borderId="0" applyAlignment="1" applyProtection="1" pivotButton="0" quotePrefix="0" xfId="0">
      <alignment horizontal="center" vertical="center"/>
      <protection locked="0" hidden="0"/>
    </xf>
    <xf numFmtId="0" fontId="199" fillId="98" borderId="0" applyAlignment="1" applyProtection="1" pivotButton="0" quotePrefix="0" xfId="0">
      <alignment horizontal="left" vertical="center"/>
      <protection locked="0" hidden="0"/>
    </xf>
    <xf numFmtId="0" fontId="200" fillId="98" borderId="0" applyAlignment="1" applyProtection="1" pivotButton="0" quotePrefix="0" xfId="0">
      <alignment horizontal="center" vertical="center"/>
      <protection locked="0" hidden="0"/>
    </xf>
    <xf numFmtId="0" fontId="202" fillId="98" borderId="0" applyAlignment="1" applyProtection="1" pivotButton="0" quotePrefix="0" xfId="0">
      <alignment horizontal="center" vertical="center"/>
      <protection locked="0" hidden="0"/>
    </xf>
    <xf numFmtId="0" fontId="201" fillId="81" borderId="0" applyAlignment="1" applyProtection="1" pivotButton="0" quotePrefix="0" xfId="0">
      <alignment horizontal="center"/>
      <protection locked="0" hidden="0"/>
    </xf>
    <xf numFmtId="0" fontId="202" fillId="96" borderId="0" applyAlignment="1" applyProtection="1" pivotButton="0" quotePrefix="0" xfId="30493">
      <alignment wrapText="1"/>
      <protection locked="0" hidden="0"/>
    </xf>
    <xf numFmtId="0" fontId="199" fillId="97" borderId="0" applyAlignment="1" pivotButton="0" quotePrefix="0" xfId="0">
      <alignment horizontal="center" vertical="center"/>
    </xf>
    <xf numFmtId="0" fontId="202" fillId="0" borderId="0" applyAlignment="1" applyProtection="1" pivotButton="0" quotePrefix="0" xfId="30493">
      <alignment wrapText="1"/>
      <protection locked="0" hidden="0"/>
    </xf>
    <xf numFmtId="165" fontId="207" fillId="96" borderId="0" applyAlignment="1" applyProtection="1" pivotButton="0" quotePrefix="0" xfId="25429">
      <alignment horizontal="center" vertical="center"/>
      <protection locked="0" hidden="0"/>
    </xf>
    <xf numFmtId="165" fontId="199" fillId="97" borderId="0" applyAlignment="1" pivotButton="0" quotePrefix="0" xfId="0">
      <alignment horizontal="center" vertical="center"/>
    </xf>
    <xf numFmtId="0" fontId="0" fillId="97" borderId="0" applyAlignment="1" applyProtection="1" pivotButton="0" quotePrefix="0" xfId="0">
      <alignment horizontal="center" vertical="center"/>
      <protection locked="0" hidden="0"/>
    </xf>
    <xf numFmtId="0" fontId="214" fillId="98" borderId="19" applyAlignment="1" applyProtection="1" pivotButton="0" quotePrefix="0" xfId="0">
      <alignment horizontal="center" vertical="center"/>
      <protection locked="0" hidden="0"/>
    </xf>
    <xf numFmtId="0" fontId="214" fillId="0" borderId="0" applyProtection="1" pivotButton="0" quotePrefix="0" xfId="0">
      <protection locked="0" hidden="0"/>
    </xf>
    <xf numFmtId="0" fontId="214" fillId="97" borderId="19" applyAlignment="1" applyProtection="1" pivotButton="0" quotePrefix="0" xfId="0">
      <alignment horizontal="center" vertical="center"/>
      <protection locked="0" hidden="0"/>
    </xf>
    <xf numFmtId="0" fontId="216" fillId="97" borderId="19" applyAlignment="1" applyProtection="1" pivotButton="0" quotePrefix="0" xfId="0">
      <alignment horizontal="center" vertical="center"/>
      <protection locked="0" hidden="0"/>
    </xf>
    <xf numFmtId="0" fontId="215" fillId="97" borderId="19" applyAlignment="1" applyProtection="1" pivotButton="0" quotePrefix="0" xfId="0">
      <alignment horizontal="center" vertical="center"/>
      <protection locked="0" hidden="0"/>
    </xf>
    <xf numFmtId="0" fontId="217" fillId="0" borderId="0" applyAlignment="1" applyProtection="1" pivotButton="0" quotePrefix="0" xfId="0">
      <alignment horizontal="center"/>
      <protection locked="0" hidden="0"/>
    </xf>
    <xf numFmtId="0" fontId="217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01" fillId="107" borderId="19" applyAlignment="1" applyProtection="1" pivotButton="0" quotePrefix="0" xfId="0">
      <alignment horizontal="left" vertical="center" wrapText="1"/>
      <protection locked="0" hidden="0"/>
    </xf>
    <xf numFmtId="0" fontId="219" fillId="98" borderId="19" applyAlignment="1" applyProtection="1" pivotButton="0" quotePrefix="0" xfId="0">
      <alignment horizontal="center" vertical="center"/>
      <protection locked="0" hidden="0"/>
    </xf>
    <xf numFmtId="0" fontId="220" fillId="98" borderId="19" applyAlignment="1" applyProtection="1" pivotButton="0" quotePrefix="0" xfId="0">
      <alignment horizontal="center" vertical="center"/>
      <protection locked="0" hidden="0"/>
    </xf>
    <xf numFmtId="0" fontId="220" fillId="97" borderId="19" applyAlignment="1" applyProtection="1" pivotButton="0" quotePrefix="0" xfId="0">
      <alignment horizontal="center" vertical="center"/>
      <protection locked="0" hidden="0"/>
    </xf>
    <xf numFmtId="0" fontId="219" fillId="97" borderId="19" applyAlignment="1" applyProtection="1" pivotButton="0" quotePrefix="0" xfId="0">
      <alignment horizontal="center" vertical="center"/>
      <protection locked="0" hidden="0"/>
    </xf>
    <xf numFmtId="0" fontId="222" fillId="98" borderId="19" applyAlignment="1" applyProtection="1" pivotButton="0" quotePrefix="0" xfId="0">
      <alignment horizontal="center" vertical="center"/>
      <protection locked="0" hidden="0"/>
    </xf>
    <xf numFmtId="0" fontId="221" fillId="98" borderId="19" applyAlignment="1" applyProtection="1" pivotButton="0" quotePrefix="0" xfId="0">
      <alignment horizontal="center" vertical="center"/>
      <protection locked="0" hidden="0"/>
    </xf>
    <xf numFmtId="0" fontId="223" fillId="105" borderId="19" applyAlignment="1" pivotButton="0" quotePrefix="0" xfId="0">
      <alignment horizontal="center" vertical="center" wrapText="1"/>
    </xf>
    <xf numFmtId="0" fontId="201" fillId="99" borderId="15" applyAlignment="1" applyProtection="1" pivotButton="0" quotePrefix="0" xfId="0">
      <alignment horizontal="center"/>
      <protection locked="0" hidden="0"/>
    </xf>
    <xf numFmtId="0" fontId="201" fillId="96" borderId="15" applyAlignment="1" applyProtection="1" pivotButton="0" quotePrefix="0" xfId="30493">
      <alignment wrapText="1"/>
      <protection locked="0" hidden="0"/>
    </xf>
    <xf numFmtId="0" fontId="2" fillId="102" borderId="0" applyProtection="1" pivotButton="0" quotePrefix="0" xfId="0">
      <protection locked="0" hidden="0"/>
    </xf>
    <xf numFmtId="0" fontId="2" fillId="96" borderId="19" applyAlignment="1" applyProtection="1" pivotButton="0" quotePrefix="0" xfId="0">
      <alignment horizontal="center" vertical="center"/>
      <protection locked="0" hidden="0"/>
    </xf>
    <xf numFmtId="14" fontId="201" fillId="99" borderId="15" applyAlignment="1" applyProtection="1" pivotButton="0" quotePrefix="0" xfId="0">
      <alignment horizontal="center"/>
      <protection locked="0" hidden="0"/>
    </xf>
    <xf numFmtId="0" fontId="202" fillId="81" borderId="13" applyAlignment="1" applyProtection="1" pivotButton="0" quotePrefix="0" xfId="0">
      <alignment horizontal="center"/>
      <protection locked="0" hidden="0"/>
    </xf>
    <xf numFmtId="0" fontId="222" fillId="98" borderId="49" applyAlignment="1" applyProtection="1" pivotButton="0" quotePrefix="0" xfId="0">
      <alignment horizontal="center" vertical="center"/>
      <protection locked="0" hidden="0"/>
    </xf>
    <xf numFmtId="0" fontId="222" fillId="81" borderId="38" applyAlignment="1" applyProtection="1" pivotButton="0" quotePrefix="0" xfId="0">
      <alignment horizontal="center"/>
      <protection locked="0" hidden="0"/>
    </xf>
    <xf numFmtId="0" fontId="222" fillId="81" borderId="13" applyAlignment="1" applyProtection="1" pivotButton="0" quotePrefix="0" xfId="0">
      <alignment horizontal="center"/>
      <protection locked="0" hidden="0"/>
    </xf>
    <xf numFmtId="1" fontId="201" fillId="108" borderId="19" applyAlignment="1" applyProtection="1" pivotButton="0" quotePrefix="0" xfId="0">
      <alignment horizontal="center" vertical="center" wrapText="1"/>
      <protection locked="0" hidden="0"/>
    </xf>
    <xf numFmtId="3" fontId="201" fillId="108" borderId="19" applyAlignment="1" applyProtection="1" pivotButton="0" quotePrefix="0" xfId="0">
      <alignment horizontal="center" vertical="center" wrapText="1"/>
      <protection locked="0" hidden="0"/>
    </xf>
    <xf numFmtId="3" fontId="221" fillId="79" borderId="19" applyAlignment="1" applyProtection="1" pivotButton="0" quotePrefix="0" xfId="0">
      <alignment horizontal="center" vertical="center" wrapText="1"/>
      <protection locked="0" hidden="0"/>
    </xf>
    <xf numFmtId="3" fontId="221" fillId="101" borderId="15" applyAlignment="1" applyProtection="1" pivotButton="0" quotePrefix="0" xfId="0">
      <alignment horizontal="center" vertical="center" wrapText="1"/>
      <protection locked="0" hidden="0"/>
    </xf>
    <xf numFmtId="3" fontId="222" fillId="79" borderId="19" applyAlignment="1" applyProtection="1" pivotButton="0" quotePrefix="0" xfId="0">
      <alignment horizontal="center" vertical="center" wrapText="1"/>
      <protection locked="0" hidden="0"/>
    </xf>
    <xf numFmtId="3" fontId="221" fillId="81" borderId="19" applyAlignment="1" applyProtection="1" pivotButton="0" quotePrefix="0" xfId="0">
      <alignment horizontal="center" vertical="center" wrapText="1"/>
      <protection locked="0" hidden="0"/>
    </xf>
    <xf numFmtId="3" fontId="222" fillId="81" borderId="19" applyAlignment="1" applyProtection="1" pivotButton="0" quotePrefix="0" xfId="0">
      <alignment horizontal="center" vertical="center" wrapText="1"/>
      <protection locked="0" hidden="0"/>
    </xf>
    <xf numFmtId="3" fontId="202" fillId="103" borderId="19" applyAlignment="1" applyProtection="1" pivotButton="0" quotePrefix="0" xfId="0">
      <alignment horizontal="center" vertical="center" wrapText="1"/>
      <protection locked="0" hidden="0"/>
    </xf>
    <xf numFmtId="3" fontId="222" fillId="103" borderId="19" applyAlignment="1" applyProtection="1" pivotButton="0" quotePrefix="0" xfId="0">
      <alignment horizontal="center" vertical="center" wrapText="1"/>
      <protection locked="0" hidden="0"/>
    </xf>
    <xf numFmtId="0" fontId="1" fillId="82" borderId="19" applyAlignment="1" pivotButton="0" quotePrefix="0" xfId="0">
      <alignment horizontal="center" vertical="center" wrapText="1"/>
    </xf>
    <xf numFmtId="0" fontId="224" fillId="98" borderId="19" applyAlignment="1" applyProtection="1" pivotButton="0" quotePrefix="0" xfId="0">
      <alignment horizontal="center" vertical="center"/>
      <protection locked="0" hidden="0"/>
    </xf>
    <xf numFmtId="14" fontId="225" fillId="0" borderId="19" applyAlignment="1" applyProtection="1" pivotButton="0" quotePrefix="0" xfId="0">
      <alignment horizontal="center" vertical="center" wrapText="1"/>
      <protection locked="0" hidden="0"/>
    </xf>
    <xf numFmtId="0" fontId="225" fillId="98" borderId="19" applyAlignment="1" applyProtection="1" pivotButton="0" quotePrefix="0" xfId="0">
      <alignment horizontal="center" vertical="center"/>
      <protection locked="0" hidden="0"/>
    </xf>
    <xf numFmtId="0" fontId="226" fillId="98" borderId="19" applyAlignment="1" applyProtection="1" pivotButton="0" quotePrefix="0" xfId="0">
      <alignment horizontal="center" vertical="center"/>
      <protection locked="0" hidden="0"/>
    </xf>
    <xf numFmtId="0" fontId="227" fillId="98" borderId="19" applyAlignment="1" applyProtection="1" pivotButton="0" quotePrefix="0" xfId="0">
      <alignment horizontal="center" vertical="center"/>
      <protection locked="0" hidden="0"/>
    </xf>
    <xf numFmtId="0" fontId="199" fillId="109" borderId="19" applyAlignment="1" applyProtection="1" pivotButton="0" quotePrefix="0" xfId="0">
      <alignment horizontal="center" vertical="center"/>
      <protection locked="0" hidden="0"/>
    </xf>
    <xf numFmtId="0" fontId="201" fillId="107" borderId="19" applyAlignment="1" applyProtection="1" pivotButton="0" quotePrefix="0" xfId="0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center" vertical="center" wrapText="1"/>
      <protection locked="0" hidden="0"/>
    </xf>
    <xf numFmtId="0" fontId="199" fillId="81" borderId="19" applyAlignment="1" applyProtection="1" pivotButton="0" quotePrefix="0" xfId="0">
      <alignment horizontal="center" vertical="center"/>
      <protection locked="0" hidden="0"/>
    </xf>
    <xf numFmtId="0" fontId="199" fillId="109" borderId="19" applyAlignment="1" applyProtection="1" pivotButton="0" quotePrefix="0" xfId="0">
      <alignment horizontal="center" vertical="center"/>
      <protection locked="0" hidden="0"/>
    </xf>
    <xf numFmtId="0" fontId="199" fillId="109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 wrapText="1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199" fillId="0" borderId="19" applyAlignment="1" applyProtection="1" pivotButton="0" quotePrefix="0" xfId="0">
      <alignment horizontal="center" vertical="center" wrapText="1"/>
      <protection locked="0" hidden="0"/>
    </xf>
    <xf numFmtId="0" fontId="199" fillId="0" borderId="18" applyAlignment="1" applyProtection="1" pivotButton="0" quotePrefix="0" xfId="0">
      <alignment horizontal="center" vertical="center" wrapText="1"/>
      <protection locked="0" hidden="0"/>
    </xf>
    <xf numFmtId="0" fontId="199" fillId="0" borderId="51" applyAlignment="1" applyProtection="1" pivotButton="0" quotePrefix="0" xfId="0">
      <alignment horizontal="center" vertical="center" wrapText="1"/>
      <protection locked="0" hidden="0"/>
    </xf>
    <xf numFmtId="0" fontId="199" fillId="109" borderId="51" applyAlignment="1" applyProtection="1" pivotButton="0" quotePrefix="0" xfId="0">
      <alignment horizontal="center" vertical="center"/>
      <protection locked="0" hidden="0"/>
    </xf>
    <xf numFmtId="0" fontId="199" fillId="109" borderId="50" applyAlignment="1" applyProtection="1" pivotButton="0" quotePrefix="0" xfId="0">
      <alignment horizontal="center" vertical="center"/>
      <protection locked="0" hidden="0"/>
    </xf>
    <xf numFmtId="0" fontId="0" fillId="0" borderId="51" applyAlignment="1" applyProtection="1" pivotButton="0" quotePrefix="0" xfId="0">
      <alignment horizontal="center" vertical="center" wrapText="1"/>
      <protection locked="0" hidden="0"/>
    </xf>
    <xf numFmtId="0" fontId="0" fillId="0" borderId="50" applyAlignment="1" applyProtection="1" pivotButton="0" quotePrefix="0" xfId="0">
      <alignment horizontal="center" vertical="center" wrapText="1"/>
      <protection locked="0" hidden="0"/>
    </xf>
    <xf numFmtId="0" fontId="199" fillId="107" borderId="18" applyAlignment="1" applyProtection="1" pivotButton="0" quotePrefix="0" xfId="0">
      <alignment horizontal="center" vertical="center" wrapText="1"/>
      <protection locked="0" hidden="0"/>
    </xf>
    <xf numFmtId="0" fontId="199" fillId="107" borderId="51" applyAlignment="1" applyProtection="1" pivotButton="0" quotePrefix="0" xfId="0">
      <alignment horizontal="center" vertical="center" wrapText="1"/>
      <protection locked="0" hidden="0"/>
    </xf>
    <xf numFmtId="0" fontId="199" fillId="107" borderId="50" applyAlignment="1" applyProtection="1" pivotButton="0" quotePrefix="0" xfId="0">
      <alignment horizontal="center" vertical="center" wrapText="1"/>
      <protection locked="0" hidden="0"/>
    </xf>
    <xf numFmtId="0" fontId="199" fillId="0" borderId="50" applyAlignment="1" applyProtection="1" pivotButton="0" quotePrefix="0" xfId="0">
      <alignment horizontal="center" vertical="center" wrapText="1"/>
      <protection locked="0" hidden="0"/>
    </xf>
    <xf numFmtId="164" fontId="199" fillId="93" borderId="15" applyAlignment="1" applyProtection="1" pivotButton="0" quotePrefix="0" xfId="0">
      <alignment horizontal="center" vertical="center"/>
      <protection locked="0" hidden="0"/>
    </xf>
    <xf numFmtId="164" fontId="199" fillId="93" borderId="21" applyAlignment="1" applyProtection="1" pivotButton="0" quotePrefix="0" xfId="0">
      <alignment horizontal="center" vertical="center"/>
      <protection locked="0" hidden="0"/>
    </xf>
    <xf numFmtId="0" fontId="199" fillId="94" borderId="19" applyAlignment="1" applyProtection="1" pivotButton="0" quotePrefix="0" xfId="0">
      <alignment horizontal="center"/>
      <protection locked="0" hidden="0"/>
    </xf>
    <xf numFmtId="0" fontId="199" fillId="92" borderId="19" applyAlignment="1" applyProtection="1" pivotButton="0" quotePrefix="0" xfId="0">
      <alignment horizontal="center"/>
      <protection locked="0" hidden="0"/>
    </xf>
    <xf numFmtId="164" fontId="199" fillId="91" borderId="15" applyAlignment="1" applyProtection="1" pivotButton="0" quotePrefix="0" xfId="0">
      <alignment horizontal="center" vertical="center"/>
      <protection locked="0" hidden="0"/>
    </xf>
    <xf numFmtId="164" fontId="199" fillId="91" borderId="21" applyAlignment="1" applyProtection="1" pivotButton="0" quotePrefix="0" xfId="0">
      <alignment horizontal="center" vertical="center"/>
      <protection locked="0" hidden="0"/>
    </xf>
    <xf numFmtId="164" fontId="199" fillId="89" borderId="15" applyAlignment="1" applyProtection="1" pivotButton="0" quotePrefix="0" xfId="0">
      <alignment horizontal="center" vertical="center"/>
      <protection locked="0" hidden="0"/>
    </xf>
    <xf numFmtId="164" fontId="199" fillId="89" borderId="21" applyAlignment="1" applyProtection="1" pivotButton="0" quotePrefix="0" xfId="0">
      <alignment horizontal="center" vertical="center"/>
      <protection locked="0" hidden="0"/>
    </xf>
    <xf numFmtId="0" fontId="199" fillId="90" borderId="19" applyAlignment="1" applyProtection="1" pivotButton="0" quotePrefix="0" xfId="0">
      <alignment horizontal="center"/>
      <protection locked="0" hidden="0"/>
    </xf>
    <xf numFmtId="164" fontId="199" fillId="87" borderId="15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0" fontId="199" fillId="88" borderId="19" applyAlignment="1" applyProtection="1" pivotButton="0" quotePrefix="0" xfId="0">
      <alignment horizontal="center" vertical="center"/>
      <protection locked="0" hidden="0"/>
    </xf>
    <xf numFmtId="49" fontId="199" fillId="87" borderId="15" applyAlignment="1" applyProtection="1" pivotButton="0" quotePrefix="0" xfId="0">
      <alignment horizontal="center" vertical="center"/>
      <protection locked="0" hidden="0"/>
    </xf>
    <xf numFmtId="49" fontId="199" fillId="87" borderId="21" applyAlignment="1" applyProtection="1" pivotButton="0" quotePrefix="0" xfId="0">
      <alignment horizontal="center" vertical="center"/>
      <protection locked="0" hidden="0"/>
    </xf>
    <xf numFmtId="0" fontId="199" fillId="88" borderId="19" applyAlignment="1" applyProtection="1" pivotButton="0" quotePrefix="0" xfId="0">
      <alignment horizontal="center"/>
      <protection locked="0" hidden="0"/>
    </xf>
    <xf numFmtId="0" fontId="199" fillId="83" borderId="19" applyAlignment="1" applyProtection="1" pivotButton="0" quotePrefix="0" xfId="0">
      <alignment horizontal="center" vertical="center"/>
      <protection locked="0" hidden="0"/>
    </xf>
    <xf numFmtId="0" fontId="199" fillId="83" borderId="15" applyAlignment="1" applyProtection="1" pivotButton="0" quotePrefix="0" xfId="0">
      <alignment horizontal="left" vertical="center"/>
      <protection locked="0" hidden="0"/>
    </xf>
    <xf numFmtId="0" fontId="199" fillId="83" borderId="21" applyAlignment="1" applyProtection="1" pivotButton="0" quotePrefix="0" xfId="0">
      <alignment horizontal="left" vertical="center"/>
      <protection locked="0" hidden="0"/>
    </xf>
    <xf numFmtId="0" fontId="199" fillId="83" borderId="49" applyAlignment="1" applyProtection="1" pivotButton="0" quotePrefix="0" xfId="0">
      <alignment horizontal="left" vertical="center"/>
      <protection locked="0" hidden="0"/>
    </xf>
    <xf numFmtId="0" fontId="199" fillId="84" borderId="15" applyAlignment="1" applyProtection="1" pivotButton="0" quotePrefix="0" xfId="0">
      <alignment horizontal="left" vertical="center"/>
      <protection locked="0" hidden="0"/>
    </xf>
    <xf numFmtId="0" fontId="199" fillId="84" borderId="21" applyAlignment="1" applyProtection="1" pivotButton="0" quotePrefix="0" xfId="0">
      <alignment horizontal="left" vertical="center"/>
      <protection locked="0" hidden="0"/>
    </xf>
    <xf numFmtId="0" fontId="199" fillId="84" borderId="49" applyAlignment="1" applyProtection="1" pivotButton="0" quotePrefix="0" xfId="0">
      <alignment horizontal="left" vertical="center"/>
      <protection locked="0" hidden="0"/>
    </xf>
    <xf numFmtId="0" fontId="199" fillId="85" borderId="15" applyAlignment="1" applyProtection="1" pivotButton="0" quotePrefix="0" xfId="0">
      <alignment horizontal="left" vertical="center"/>
      <protection locked="0" hidden="0"/>
    </xf>
    <xf numFmtId="0" fontId="199" fillId="85" borderId="21" applyAlignment="1" applyProtection="1" pivotButton="0" quotePrefix="0" xfId="0">
      <alignment horizontal="left" vertical="center"/>
      <protection locked="0" hidden="0"/>
    </xf>
    <xf numFmtId="0" fontId="199" fillId="85" borderId="49" applyAlignment="1" applyProtection="1" pivotButton="0" quotePrefix="0" xfId="0">
      <alignment horizontal="left" vertical="center"/>
      <protection locked="0" hidden="0"/>
    </xf>
    <xf numFmtId="0" fontId="199" fillId="86" borderId="15" applyAlignment="1" applyProtection="1" pivotButton="0" quotePrefix="0" xfId="0">
      <alignment horizontal="left" vertical="center"/>
      <protection locked="0" hidden="0"/>
    </xf>
    <xf numFmtId="0" fontId="199" fillId="86" borderId="21" applyAlignment="1" applyProtection="1" pivotButton="0" quotePrefix="0" xfId="0">
      <alignment horizontal="left" vertical="center"/>
      <protection locked="0" hidden="0"/>
    </xf>
    <xf numFmtId="0" fontId="199" fillId="86" borderId="49" applyAlignment="1" applyProtection="1" pivotButton="0" quotePrefix="0" xfId="0">
      <alignment horizontal="left" vertical="center"/>
      <protection locked="0" hidden="0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pivotButton="0" quotePrefix="0" xfId="0">
      <alignment horizontal="center" vertical="center" wrapText="1"/>
    </xf>
    <xf numFmtId="0" fontId="199" fillId="0" borderId="15" applyAlignment="1" applyProtection="1" pivotButton="0" quotePrefix="0" xfId="0">
      <alignment horizontal="center" vertical="center"/>
      <protection locked="0" hidden="0"/>
    </xf>
    <xf numFmtId="0" fontId="199" fillId="81" borderId="18" applyAlignment="1" pivotButton="0" quotePrefix="0" xfId="0">
      <alignment horizontal="center" vertical="center" wrapText="1"/>
    </xf>
    <xf numFmtId="0" fontId="199" fillId="81" borderId="50" applyAlignment="1" pivotButton="0" quotePrefix="0" xfId="0">
      <alignment horizontal="center" vertical="center" wrapText="1"/>
    </xf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99" fillId="83" borderId="19" applyAlignment="1" applyProtection="1" pivotButton="0" quotePrefix="0" xfId="0">
      <alignment horizontal="left" vertical="center"/>
      <protection locked="0" hidden="0"/>
    </xf>
    <xf numFmtId="0" fontId="199" fillId="84" borderId="19" applyAlignment="1" applyProtection="1" pivotButton="0" quotePrefix="0" xfId="0">
      <alignment horizontal="left" vertical="center"/>
      <protection locked="0" hidden="0"/>
    </xf>
    <xf numFmtId="0" fontId="199" fillId="85" borderId="19" applyAlignment="1" applyProtection="1" pivotButton="0" quotePrefix="0" xfId="0">
      <alignment horizontal="left" vertical="center"/>
      <protection locked="0" hidden="0"/>
    </xf>
    <xf numFmtId="0" fontId="199" fillId="86" borderId="19" applyAlignment="1" applyProtection="1" pivotButton="0" quotePrefix="0" xfId="0">
      <alignment horizontal="left" vertical="center"/>
      <protection locked="0" hidden="0"/>
    </xf>
    <xf numFmtId="0" fontId="199" fillId="81" borderId="19" applyAlignment="1" pivotButton="0" quotePrefix="0" xfId="0">
      <alignment horizontal="center" vertical="center" wrapText="1"/>
    </xf>
    <xf numFmtId="164" fontId="199" fillId="87" borderId="15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49" applyAlignment="1" applyProtection="1" pivotButton="0" quotePrefix="0" xfId="0">
      <alignment horizontal="center" vertical="center"/>
      <protection locked="0" hidden="0"/>
    </xf>
    <xf numFmtId="164" fontId="199" fillId="89" borderId="15" applyAlignment="1" applyProtection="1" pivotButton="0" quotePrefix="0" xfId="0">
      <alignment horizontal="center" vertical="center"/>
      <protection locked="0" hidden="0"/>
    </xf>
    <xf numFmtId="164" fontId="199" fillId="89" borderId="49" applyAlignment="1" applyProtection="1" pivotButton="0" quotePrefix="0" xfId="0">
      <alignment horizontal="center" vertical="center"/>
      <protection locked="0" hidden="0"/>
    </xf>
    <xf numFmtId="164" fontId="199" fillId="91" borderId="15" applyAlignment="1" applyProtection="1" pivotButton="0" quotePrefix="0" xfId="0">
      <alignment horizontal="center" vertical="center"/>
      <protection locked="0" hidden="0"/>
    </xf>
    <xf numFmtId="164" fontId="199" fillId="91" borderId="49" applyAlignment="1" applyProtection="1" pivotButton="0" quotePrefix="0" xfId="0">
      <alignment horizontal="center" vertical="center"/>
      <protection locked="0" hidden="0"/>
    </xf>
    <xf numFmtId="164" fontId="199" fillId="93" borderId="15" applyAlignment="1" applyProtection="1" pivotButton="0" quotePrefix="0" xfId="0">
      <alignment horizontal="center" vertical="center"/>
      <protection locked="0" hidden="0"/>
    </xf>
    <xf numFmtId="164" fontId="199" fillId="93" borderId="49" applyAlignment="1" applyProtection="1" pivotButton="0" quotePrefix="0" xfId="0">
      <alignment horizontal="center" vertical="center"/>
      <protection locked="0" hidden="0"/>
    </xf>
    <xf numFmtId="0" fontId="0" fillId="0" borderId="50" pivotButton="0" quotePrefix="0" xfId="0"/>
    <xf numFmtId="0" fontId="0" fillId="0" borderId="52" applyProtection="1" pivotButton="0" quotePrefix="0" xfId="0">
      <protection locked="0" hidden="0"/>
    </xf>
    <xf numFmtId="0" fontId="199" fillId="107" borderId="19" applyAlignment="1" applyProtection="1" pivotButton="0" quotePrefix="0" xfId="0">
      <alignment horizontal="center" vertical="center" wrapText="1"/>
      <protection locked="0" hidden="0"/>
    </xf>
    <xf numFmtId="165" fontId="201" fillId="97" borderId="15" applyAlignment="1" pivotButton="0" quotePrefix="0" xfId="25429">
      <alignment horizontal="center" vertical="center"/>
    </xf>
    <xf numFmtId="165" fontId="201" fillId="96" borderId="19" applyAlignment="1" applyProtection="1" pivotButton="0" quotePrefix="0" xfId="25429">
      <alignment horizontal="center" vertical="center"/>
      <protection locked="0" hidden="0"/>
    </xf>
    <xf numFmtId="165" fontId="206" fillId="97" borderId="15" applyAlignment="1" pivotButton="0" quotePrefix="0" xfId="25429">
      <alignment horizontal="center" vertical="center"/>
    </xf>
    <xf numFmtId="0" fontId="0" fillId="0" borderId="51" applyProtection="1" pivotButton="0" quotePrefix="0" xfId="0">
      <protection locked="0" hidden="0"/>
    </xf>
    <xf numFmtId="165" fontId="207" fillId="96" borderId="19" applyAlignment="1" applyProtection="1" pivotButton="0" quotePrefix="0" xfId="25429">
      <alignment horizontal="center" vertical="center"/>
      <protection locked="0" hidden="0"/>
    </xf>
    <xf numFmtId="165" fontId="199" fillId="97" borderId="19" applyAlignment="1" pivotButton="0" quotePrefix="0" xfId="0">
      <alignment horizontal="center" vertical="center"/>
    </xf>
    <xf numFmtId="165" fontId="206" fillId="96" borderId="19" applyAlignment="1" applyProtection="1" pivotButton="0" quotePrefix="0" xfId="25429">
      <alignment horizontal="center" vertical="center"/>
      <protection locked="0" hidden="0"/>
    </xf>
    <xf numFmtId="165" fontId="206" fillId="97" borderId="19" applyAlignment="1" pivotButton="0" quotePrefix="0" xfId="25429">
      <alignment horizontal="center" vertical="center"/>
    </xf>
    <xf numFmtId="165" fontId="201" fillId="97" borderId="19" applyAlignment="1" pivotButton="0" quotePrefix="0" xfId="25429">
      <alignment horizontal="center" vertical="center"/>
    </xf>
    <xf numFmtId="165" fontId="199" fillId="101" borderId="19" applyAlignment="1" pivotButton="0" quotePrefix="0" xfId="0">
      <alignment horizontal="center" vertical="center"/>
    </xf>
    <xf numFmtId="165" fontId="206" fillId="101" borderId="19" applyAlignment="1" applyProtection="1" pivotButton="0" quotePrefix="0" xfId="25429">
      <alignment horizontal="center" vertical="center"/>
      <protection locked="0" hidden="0"/>
    </xf>
    <xf numFmtId="165" fontId="206" fillId="101" borderId="15" applyAlignment="1" pivotButton="0" quotePrefix="0" xfId="25429">
      <alignment horizontal="center" vertical="center"/>
    </xf>
    <xf numFmtId="165" fontId="206" fillId="101" borderId="19" applyAlignment="1" pivotButton="0" quotePrefix="0" xfId="25429">
      <alignment horizontal="center" vertical="center"/>
    </xf>
    <xf numFmtId="165" fontId="207" fillId="96" borderId="0" applyAlignment="1" applyProtection="1" pivotButton="0" quotePrefix="0" xfId="25429">
      <alignment horizontal="center" vertical="center"/>
      <protection locked="0" hidden="0"/>
    </xf>
    <xf numFmtId="165" fontId="199" fillId="97" borderId="0" applyAlignment="1" pivotButton="0" quotePrefix="0" xfId="0">
      <alignment horizontal="center" vertical="center"/>
    </xf>
  </cellXfs>
  <cellStyles count="51649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3" xfId="30351"/>
    <cellStyle name="Обычный 23 2" xfId="30352"/>
    <cellStyle name="Обычный 23 2 2" xfId="30353"/>
    <cellStyle name="Обычный 23 2 2 2" xfId="30354"/>
    <cellStyle name="Обычный 23 2 2 3" xfId="30355"/>
    <cellStyle name="Обычный 23 2 3" xfId="30356"/>
    <cellStyle name="Обычный 23 3" xfId="30357"/>
    <cellStyle name="Обычный 23 3 2" xfId="30358"/>
    <cellStyle name="Обычный 23 4" xfId="30359"/>
    <cellStyle name="Обычный 24" xfId="30360"/>
    <cellStyle name="Обычный 24 2" xfId="30361"/>
    <cellStyle name="Обычный 25" xfId="30362"/>
    <cellStyle name="Обычный 25 2" xfId="30363"/>
    <cellStyle name="Обычный 25 3" xfId="30364"/>
    <cellStyle name="Обычный 26" xfId="30365"/>
    <cellStyle name="Обычный 26 2" xfId="30366"/>
    <cellStyle name="Обычный 26 3" xfId="30367"/>
    <cellStyle name="Обычный 27" xfId="30368"/>
    <cellStyle name="Обычный 27 2" xfId="30369"/>
    <cellStyle name="Обычный 27 3" xfId="30370"/>
    <cellStyle name="Обычный 28" xfId="30371"/>
    <cellStyle name="Обычный 28 2" xfId="30372"/>
    <cellStyle name="Обычный 29" xfId="30373"/>
    <cellStyle name="Обычный 3" xfId="30374"/>
    <cellStyle name="Обычный 3 2" xfId="30375"/>
    <cellStyle name="Обычный 3 2 2" xfId="30376"/>
    <cellStyle name="Обычный 3 2 3" xfId="30377"/>
    <cellStyle name="Обычный 3 2 4" xfId="30378"/>
    <cellStyle name="Обычный 3 3" xfId="30379"/>
    <cellStyle name="Обычный 3 3 2" xfId="30380"/>
    <cellStyle name="Обычный 3 3 3" xfId="30381"/>
    <cellStyle name="Обычный 3 3 4" xfId="30382"/>
    <cellStyle name="Обычный 3 4" xfId="30383"/>
    <cellStyle name="Обычный 3 4 2" xfId="30384"/>
    <cellStyle name="Обычный 3 4 3" xfId="30385"/>
    <cellStyle name="Обычный 3 4 4" xfId="30386"/>
    <cellStyle name="Обычный 3 5" xfId="30387"/>
    <cellStyle name="Обычный 3 5 2" xfId="30388"/>
    <cellStyle name="Обычный 3 6" xfId="30389"/>
    <cellStyle name="Обычный 3 7" xfId="30390"/>
    <cellStyle name="Обычный 30" xfId="30391"/>
    <cellStyle name="Обычный 31" xfId="30392"/>
    <cellStyle name="Обычный 32" xfId="30393"/>
    <cellStyle name="Обычный 33" xfId="30394"/>
    <cellStyle name="Обычный 4" xfId="30395"/>
    <cellStyle name="Обычный 4 2" xfId="30396"/>
    <cellStyle name="Обычный 4 2 2" xfId="30397"/>
    <cellStyle name="Обычный 4 2 3" xfId="30398"/>
    <cellStyle name="Обычный 4 3" xfId="30399"/>
    <cellStyle name="Обычный 4 3 2" xfId="30400"/>
    <cellStyle name="Обычный 4 4" xfId="30401"/>
    <cellStyle name="Обычный 4 4 2" xfId="30402"/>
    <cellStyle name="Обычный 5" xfId="30403"/>
    <cellStyle name="Обычный 5 2" xfId="30404"/>
    <cellStyle name="Обычный 5 2 2" xfId="30405"/>
    <cellStyle name="Обычный 5 2 2 2" xfId="30406"/>
    <cellStyle name="Обычный 5 2 3" xfId="30407"/>
    <cellStyle name="Обычный 5 2 3 2" xfId="30408"/>
    <cellStyle name="Обычный 5 2 4" xfId="30409"/>
    <cellStyle name="Обычный 5 2 4 2" xfId="30410"/>
    <cellStyle name="Обычный 5 3" xfId="30411"/>
    <cellStyle name="Обычный 5 3 2" xfId="30412"/>
    <cellStyle name="Обычный 5 3 2 2" xfId="30413"/>
    <cellStyle name="Обычный 5 3 3" xfId="30414"/>
    <cellStyle name="Обычный 5 4" xfId="30415"/>
    <cellStyle name="Обычный 5 4 2" xfId="30416"/>
    <cellStyle name="Обычный 5 5" xfId="30417"/>
    <cellStyle name="Обычный 5 5 2" xfId="30418"/>
    <cellStyle name="Обычный 5 6" xfId="30419"/>
    <cellStyle name="Обычный 5 6 2" xfId="30420"/>
    <cellStyle name="Обычный 6" xfId="30421"/>
    <cellStyle name="Обычный 6 2" xfId="30422"/>
    <cellStyle name="Обычный 6 2 2" xfId="30423"/>
    <cellStyle name="Обычный 6 2 2 2" xfId="30424"/>
    <cellStyle name="Обычный 6 2 3" xfId="30425"/>
    <cellStyle name="Обычный 6 2 3 2" xfId="30426"/>
    <cellStyle name="Обычный 6 2 4" xfId="30427"/>
    <cellStyle name="Обычный 6 2 4 2" xfId="30428"/>
    <cellStyle name="Обычный 6 3" xfId="30429"/>
    <cellStyle name="Обычный 6 3 2" xfId="30430"/>
    <cellStyle name="Обычный 6 3 2 2" xfId="30431"/>
    <cellStyle name="Обычный 6 3 3" xfId="30432"/>
    <cellStyle name="Обычный 6 4" xfId="30433"/>
    <cellStyle name="Обычный 6 4 2" xfId="30434"/>
    <cellStyle name="Обычный 6 5" xfId="30435"/>
    <cellStyle name="Обычный 6 5 2" xfId="30436"/>
    <cellStyle name="Обычный 6 6" xfId="30437"/>
    <cellStyle name="Обычный 6 6 2" xfId="30438"/>
    <cellStyle name="Обычный 7" xfId="30439"/>
    <cellStyle name="Обычный 7 2" xfId="30440"/>
    <cellStyle name="Обычный 7 2 2" xfId="30441"/>
    <cellStyle name="Обычный 7 2 2 2" xfId="30442"/>
    <cellStyle name="Обычный 7 2 3" xfId="30443"/>
    <cellStyle name="Обычный 7 2 3 2" xfId="30444"/>
    <cellStyle name="Обычный 7 2 4" xfId="30445"/>
    <cellStyle name="Обычный 7 2 4 2" xfId="30446"/>
    <cellStyle name="Обычный 7 3" xfId="30447"/>
    <cellStyle name="Обычный 7 3 2" xfId="30448"/>
    <cellStyle name="Обычный 7 3 2 2" xfId="30449"/>
    <cellStyle name="Обычный 7 3 3" xfId="30450"/>
    <cellStyle name="Обычный 7 4" xfId="30451"/>
    <cellStyle name="Обычный 7 4 2" xfId="30452"/>
    <cellStyle name="Обычный 7 5" xfId="30453"/>
    <cellStyle name="Обычный 7 5 2" xfId="30454"/>
    <cellStyle name="Обычный 7 6" xfId="30455"/>
    <cellStyle name="Обычный 7 6 2" xfId="30456"/>
    <cellStyle name="Обычный 8" xfId="30457"/>
    <cellStyle name="Обычный 8 2" xfId="30458"/>
    <cellStyle name="Обычный 8 2 2" xfId="30459"/>
    <cellStyle name="Обычный 8 2 2 2" xfId="30460"/>
    <cellStyle name="Обычный 8 2 3" xfId="30461"/>
    <cellStyle name="Обычный 8 2 3 2" xfId="30462"/>
    <cellStyle name="Обычный 8 2 4" xfId="30463"/>
    <cellStyle name="Обычный 8 2 4 2" xfId="30464"/>
    <cellStyle name="Обычный 8 3" xfId="30465"/>
    <cellStyle name="Обычный 8 3 2" xfId="30466"/>
    <cellStyle name="Обычный 8 3 2 2" xfId="30467"/>
    <cellStyle name="Обычный 8 3 3" xfId="30468"/>
    <cellStyle name="Обычный 8 4" xfId="30469"/>
    <cellStyle name="Обычный 8 4 2" xfId="30470"/>
    <cellStyle name="Обычный 8 5" xfId="30471"/>
    <cellStyle name="Обычный 8 5 2" xfId="30472"/>
    <cellStyle name="Обычный 8 6" xfId="30473"/>
    <cellStyle name="Обычный 8 6 2" xfId="30474"/>
    <cellStyle name="Обычный 9" xfId="30475"/>
    <cellStyle name="Обычный 9 2" xfId="30476"/>
    <cellStyle name="Обычный 9 2 2" xfId="30477"/>
    <cellStyle name="Обычный 9 2 2 2" xfId="30478"/>
    <cellStyle name="Обычный 9 2 3" xfId="30479"/>
    <cellStyle name="Обычный 9 2 3 2" xfId="30480"/>
    <cellStyle name="Обычный 9 2 4" xfId="30481"/>
    <cellStyle name="Обычный 9 2 4 2" xfId="30482"/>
    <cellStyle name="Обычный 9 3" xfId="30483"/>
    <cellStyle name="Обычный 9 3 2" xfId="30484"/>
    <cellStyle name="Обычный 9 3 2 2" xfId="30485"/>
    <cellStyle name="Обычный 9 3 3" xfId="30486"/>
    <cellStyle name="Обычный 9 4" xfId="30487"/>
    <cellStyle name="Обычный 9 4 2" xfId="30488"/>
    <cellStyle name="Обычный 9 5" xfId="30489"/>
    <cellStyle name="Обычный 9 5 2" xfId="30490"/>
    <cellStyle name="Обычный 9 6" xfId="30491"/>
    <cellStyle name="Обычный 9 6 2" xfId="30492"/>
    <cellStyle name="Обычный_КАМАЗ" xfId="30493"/>
    <cellStyle name="Плохой 2" xfId="30494"/>
    <cellStyle name="Пояснение 2" xfId="30495"/>
    <cellStyle name="Примечание 2" xfId="30496"/>
    <cellStyle name="Примечание 2 2" xfId="30497"/>
    <cellStyle name="Примечание 2 2 2" xfId="30498"/>
    <cellStyle name="Примечание 2 2 2 2" xfId="30499"/>
    <cellStyle name="Примечание 2 2 2 3" xfId="30500"/>
    <cellStyle name="Примечание 2 2 2 4" xfId="30501"/>
    <cellStyle name="Примечание 2 2 2 5" xfId="30502"/>
    <cellStyle name="Примечание 2 2 2 6" xfId="30503"/>
    <cellStyle name="Примечание 2 2 3" xfId="30504"/>
    <cellStyle name="Примечание 2 2 4" xfId="30505"/>
    <cellStyle name="Примечание 2 2 5" xfId="30506"/>
    <cellStyle name="Примечание 2 2 6" xfId="30507"/>
    <cellStyle name="Примечание 2 2 7" xfId="30508"/>
    <cellStyle name="Примечание 2 2 8" xfId="30509"/>
    <cellStyle name="Примечание 2 3" xfId="30510"/>
    <cellStyle name="Примечание 2 3 2" xfId="30511"/>
    <cellStyle name="Примечание 2 3 3" xfId="30512"/>
    <cellStyle name="Примечание 2 3 4" xfId="30513"/>
    <cellStyle name="Примечание 2 3 5" xfId="30514"/>
    <cellStyle name="Примечание 2 3 6" xfId="30515"/>
    <cellStyle name="Примечание 2 4" xfId="30516"/>
    <cellStyle name="Примечание 2 5" xfId="30517"/>
    <cellStyle name="Примечание 2 6" xfId="30518"/>
    <cellStyle name="Примечание 2 7" xfId="30519"/>
    <cellStyle name="Примечание 2 8" xfId="30520"/>
    <cellStyle name="Примечание 2 9" xfId="30521"/>
    <cellStyle name="Примечание 3" xfId="30522"/>
    <cellStyle name="Процентный 2" xfId="30523"/>
    <cellStyle name="Процентный 2 2" xfId="30524"/>
    <cellStyle name="Процентный 3" xfId="30525"/>
    <cellStyle name="Процентный 3 2" xfId="30526"/>
    <cellStyle name="Процентный 4" xfId="30527"/>
    <cellStyle name="Процентный 5" xfId="30528"/>
    <cellStyle name="Процентный 6" xfId="30529"/>
    <cellStyle name="Связанная ячейка 2" xfId="30530"/>
    <cellStyle name="Стиль 1" xfId="30531"/>
    <cellStyle name="Стиль 1 2" xfId="30532"/>
    <cellStyle name="Стиль 1 3" xfId="30533"/>
    <cellStyle name="Стиль 1 4" xfId="30534"/>
    <cellStyle name="Текст предупреждения 2" xfId="30535"/>
    <cellStyle name="Тысячи [0]_ UPL-98 Cherk" xfId="30536"/>
    <cellStyle name="Тысячи_ UPL-98 Cherk" xfId="30537"/>
    <cellStyle name="Финансовый 10" xfId="30538"/>
    <cellStyle name="Финансовый 10 2" xfId="30539"/>
    <cellStyle name="Финансовый 11" xfId="30540"/>
    <cellStyle name="Финансовый 11 2" xfId="30541"/>
    <cellStyle name="Финансовый 12" xfId="30542"/>
    <cellStyle name="Финансовый 12 2" xfId="30543"/>
    <cellStyle name="Финансовый 13" xfId="30544"/>
    <cellStyle name="Финансовый 2" xfId="30545"/>
    <cellStyle name="Финансовый 2 2" xfId="30546"/>
    <cellStyle name="Финансовый 2 2 2" xfId="30547"/>
    <cellStyle name="Финансовый 2 2 3" xfId="30548"/>
    <cellStyle name="Финансовый 2 3" xfId="30549"/>
    <cellStyle name="Финансовый 2 3 2" xfId="30550"/>
    <cellStyle name="Финансовый 2 4" xfId="30551"/>
    <cellStyle name="Финансовый 2 4 2" xfId="30552"/>
    <cellStyle name="Финансовый 3" xfId="30553"/>
    <cellStyle name="Финансовый 3 2" xfId="30554"/>
    <cellStyle name="Финансовый 3 2 2" xfId="30555"/>
    <cellStyle name="Финансовый 3 2 2 2" xfId="30556"/>
    <cellStyle name="Финансовый 3 2 3" xfId="30557"/>
    <cellStyle name="Финансовый 3 2 3 2" xfId="30558"/>
    <cellStyle name="Финансовый 3 2 4" xfId="30559"/>
    <cellStyle name="Финансовый 3 2 4 2" xfId="30560"/>
    <cellStyle name="Финансовый 3 3" xfId="30561"/>
    <cellStyle name="Финансовый 3 3 2" xfId="30562"/>
    <cellStyle name="Финансовый 3 3 2 2" xfId="30563"/>
    <cellStyle name="Финансовый 3 3 3" xfId="30564"/>
    <cellStyle name="Финансовый 3 4" xfId="30565"/>
    <cellStyle name="Финансовый 3 4 2" xfId="30566"/>
    <cellStyle name="Финансовый 3 5" xfId="30567"/>
    <cellStyle name="Финансовый 3 5 2" xfId="30568"/>
    <cellStyle name="Финансовый 3 6" xfId="30569"/>
    <cellStyle name="Финансовый 3 6 2" xfId="30570"/>
    <cellStyle name="Финансовый 4" xfId="30571"/>
    <cellStyle name="Финансовый 4 2" xfId="30572"/>
    <cellStyle name="Финансовый 4 2 2" xfId="30573"/>
    <cellStyle name="Финансовый 4 2 2 2" xfId="30574"/>
    <cellStyle name="Финансовый 4 2 2 2 2" xfId="30575"/>
    <cellStyle name="Финансовый 4 2 2 3" xfId="30576"/>
    <cellStyle name="Финансовый 4 2 2 4" xfId="30577"/>
    <cellStyle name="Финансовый 4 2 2 5" xfId="30578"/>
    <cellStyle name="Финансовый 4 2 2 6" xfId="30579"/>
    <cellStyle name="Финансовый 4 2 3" xfId="30580"/>
    <cellStyle name="Финансовый 4 2 3 2" xfId="30581"/>
    <cellStyle name="Финансовый 4 2 4" xfId="30582"/>
    <cellStyle name="Финансовый 4 2 5" xfId="30583"/>
    <cellStyle name="Финансовый 4 2 6" xfId="30584"/>
    <cellStyle name="Финансовый 4 2 7" xfId="30585"/>
    <cellStyle name="Финансовый 4 3" xfId="30586"/>
    <cellStyle name="Финансовый 4 3 2" xfId="30587"/>
    <cellStyle name="Финансовый 4 3 2 2" xfId="30588"/>
    <cellStyle name="Финансовый 4 3 3" xfId="30589"/>
    <cellStyle name="Финансовый 4 3 4" xfId="30590"/>
    <cellStyle name="Финансовый 4 3 5" xfId="30591"/>
    <cellStyle name="Финансовый 4 3 6" xfId="30592"/>
    <cellStyle name="Финансовый 4 4" xfId="30593"/>
    <cellStyle name="Финансовый 4 4 2" xfId="30594"/>
    <cellStyle name="Финансовый 4 4 3" xfId="30595"/>
    <cellStyle name="Финансовый 4 4 4" xfId="30596"/>
    <cellStyle name="Финансовый 4 4 5" xfId="30597"/>
    <cellStyle name="Финансовый 4 5" xfId="30598"/>
    <cellStyle name="Финансовый 4 5 2" xfId="30599"/>
    <cellStyle name="Финансовый 4 5 3" xfId="30600"/>
    <cellStyle name="Финансовый 4 6" xfId="30601"/>
    <cellStyle name="Финансовый 4 6 2" xfId="30602"/>
    <cellStyle name="Финансовый 4 6 3" xfId="30603"/>
    <cellStyle name="Финансовый 4 7" xfId="30604"/>
    <cellStyle name="Финансовый 4 7 2" xfId="30605"/>
    <cellStyle name="Финансовый 4 8" xfId="30606"/>
    <cellStyle name="Финансовый 4 9" xfId="30607"/>
    <cellStyle name="Финансовый 5" xfId="30608"/>
    <cellStyle name="Финансовый 5 2" xfId="30609"/>
    <cellStyle name="Финансовый 5 2 2" xfId="30610"/>
    <cellStyle name="Финансовый 5 2 2 2" xfId="30611"/>
    <cellStyle name="Финансовый 5 2 2 2 2" xfId="30612"/>
    <cellStyle name="Финансовый 5 2 2 3" xfId="30613"/>
    <cellStyle name="Финансовый 5 2 3" xfId="30614"/>
    <cellStyle name="Финансовый 5 2 3 2" xfId="30615"/>
    <cellStyle name="Финансовый 5 2 4" xfId="30616"/>
    <cellStyle name="Финансовый 5 2 5" xfId="30617"/>
    <cellStyle name="Финансовый 5 2 6" xfId="30618"/>
    <cellStyle name="Финансовый 5 2 7" xfId="30619"/>
    <cellStyle name="Финансовый 5 3" xfId="30620"/>
    <cellStyle name="Финансовый 5 3 2" xfId="30621"/>
    <cellStyle name="Финансовый 5 3 2 2" xfId="30622"/>
    <cellStyle name="Финансовый 5 3 3" xfId="30623"/>
    <cellStyle name="Финансовый 5 3 4" xfId="30624"/>
    <cellStyle name="Финансовый 5 3 5" xfId="30625"/>
    <cellStyle name="Финансовый 5 3 6" xfId="30626"/>
    <cellStyle name="Финансовый 5 4" xfId="30627"/>
    <cellStyle name="Финансовый 5 4 2" xfId="30628"/>
    <cellStyle name="Финансовый 5 5" xfId="30629"/>
    <cellStyle name="Финансовый 5 6" xfId="30630"/>
    <cellStyle name="Финансовый 5 7" xfId="30631"/>
    <cellStyle name="Финансовый 5 8" xfId="30632"/>
    <cellStyle name="Финансовый 6" xfId="30633"/>
    <cellStyle name="Финансовый 6 2" xfId="30634"/>
    <cellStyle name="Финансовый 6 2 2" xfId="30635"/>
    <cellStyle name="Финансовый 6 2 2 2" xfId="30636"/>
    <cellStyle name="Финансовый 6 2 3" xfId="30637"/>
    <cellStyle name="Финансовый 6 2 4" xfId="30638"/>
    <cellStyle name="Финансовый 6 2 5" xfId="30639"/>
    <cellStyle name="Финансовый 6 3" xfId="30640"/>
    <cellStyle name="Финансовый 6 3 2" xfId="30641"/>
    <cellStyle name="Финансовый 6 4" xfId="30642"/>
    <cellStyle name="Финансовый 6 5" xfId="30643"/>
    <cellStyle name="Финансовый 6 6" xfId="30644"/>
    <cellStyle name="Финансовый 6 7" xfId="30645"/>
    <cellStyle name="Финансовый 7" xfId="30646"/>
    <cellStyle name="Финансовый 7 2" xfId="30647"/>
    <cellStyle name="Финансовый 7 2 2" xfId="30648"/>
    <cellStyle name="Финансовый 7 2 2 2" xfId="30649"/>
    <cellStyle name="Финансовый 7 2 3" xfId="30650"/>
    <cellStyle name="Финансовый 7 3" xfId="30651"/>
    <cellStyle name="Финансовый 7 3 2" xfId="30652"/>
    <cellStyle name="Финансовый 7 4" xfId="30653"/>
    <cellStyle name="Финансовый 7 5" xfId="30654"/>
    <cellStyle name="Финансовый 7 6" xfId="30655"/>
    <cellStyle name="Финансовый 7 7" xfId="30656"/>
    <cellStyle name="Финансовый 8" xfId="30657"/>
    <cellStyle name="Финансовый 8 2" xfId="30658"/>
    <cellStyle name="Финансовый 8 3" xfId="30659"/>
    <cellStyle name="Финансовый 8 4" xfId="30660"/>
    <cellStyle name="Финансовый 9" xfId="30661"/>
    <cellStyle name="Финансовый 9 2" xfId="30662"/>
    <cellStyle name="Хороший 2" xfId="30663"/>
    <cellStyle name=" [0.00]_ Att. 1- Cover" xfId="30664"/>
    <cellStyle name="_ Att. 1- Cover" xfId="30665"/>
    <cellStyle name="?_ Att. 1- Cover" xfId="30666"/>
    <cellStyle name="똿뗦먛귟 [0.00]_PRODUCT DETAIL Q1" xfId="30667"/>
    <cellStyle name="똿뗦먛귟_PRODUCT DETAIL Q1" xfId="30668"/>
    <cellStyle name="믅됞 [0.00]_PRODUCT DETAIL Q1" xfId="30669"/>
    <cellStyle name="믅됞_PRODUCT DETAIL Q1" xfId="30670"/>
    <cellStyle name="백분율_95" xfId="30671"/>
    <cellStyle name="뷭?_BOOKSHIP" xfId="30672"/>
    <cellStyle name="쉼표 [0]_Apr AcFc_WKI" xfId="30673"/>
    <cellStyle name="콤마 [0]_1202" xfId="30674"/>
    <cellStyle name="콤마_1202" xfId="30675"/>
    <cellStyle name="통화 [0]_1202" xfId="30676"/>
    <cellStyle name="통화_1202" xfId="30677"/>
    <cellStyle name="표준_(정보부문)월별인원계획" xfId="30678"/>
    <cellStyle name="一般_060421-1(MONON)" xfId="30679"/>
    <cellStyle name="作业量为吨" xfId="30680"/>
    <cellStyle name="千位分隔 2" xfId="30681"/>
    <cellStyle name="千位分隔 2 10" xfId="30682"/>
    <cellStyle name="千位分隔 2 10 2" xfId="30683"/>
    <cellStyle name="千位分隔 2 11" xfId="30684"/>
    <cellStyle name="千位分隔 2 12" xfId="30685"/>
    <cellStyle name="千位分隔 2 2" xfId="30686"/>
    <cellStyle name="千位分隔 2 2 10" xfId="30687"/>
    <cellStyle name="千位分隔 2 2 2" xfId="30688"/>
    <cellStyle name="千位分隔 2 2 2 2" xfId="30689"/>
    <cellStyle name="千位分隔 2 2 2 2 2" xfId="30690"/>
    <cellStyle name="千位分隔 2 2 2 2 3" xfId="30691"/>
    <cellStyle name="千位分隔 2 2 2 2 4" xfId="30692"/>
    <cellStyle name="千位分隔 2 2 2 2 4 2" xfId="30693"/>
    <cellStyle name="千位分隔 2 2 2 3" xfId="30694"/>
    <cellStyle name="千位分隔 2 2 2 3 2" xfId="30695"/>
    <cellStyle name="千位分隔 2 2 2 3 2 2" xfId="30696"/>
    <cellStyle name="千位分隔 2 2 2 4" xfId="30697"/>
    <cellStyle name="千位分隔 2 2 2 5" xfId="30698"/>
    <cellStyle name="千位分隔 2 2 2 6" xfId="30699"/>
    <cellStyle name="千位分隔 2 2 2 7" xfId="30700"/>
    <cellStyle name="千位分隔 2 2 2 7 2" xfId="30701"/>
    <cellStyle name="千位分隔 2 2 3" xfId="30702"/>
    <cellStyle name="千位分隔 2 2 3 2" xfId="30703"/>
    <cellStyle name="千位分隔 2 2 3 3" xfId="30704"/>
    <cellStyle name="千位分隔 2 2 3 4" xfId="30705"/>
    <cellStyle name="千位分隔 2 2 3 4 2" xfId="30706"/>
    <cellStyle name="千位分隔 2 2 4" xfId="30707"/>
    <cellStyle name="千位分隔 2 2 4 2" xfId="30708"/>
    <cellStyle name="千位分隔 2 2 4 2 2" xfId="30709"/>
    <cellStyle name="千位分隔 2 2 5" xfId="30710"/>
    <cellStyle name="千位分隔 2 2 5 2" xfId="30711"/>
    <cellStyle name="千位分隔 2 2 5 2 2" xfId="30712"/>
    <cellStyle name="千位分隔 2 2 6" xfId="30713"/>
    <cellStyle name="千位分隔 2 2 6 2" xfId="30714"/>
    <cellStyle name="千位分隔 2 2 6 2 2" xfId="30715"/>
    <cellStyle name="千位分隔 2 2 7" xfId="30716"/>
    <cellStyle name="千位分隔 2 2 7 2" xfId="30717"/>
    <cellStyle name="千位分隔 2 2 7 3" xfId="30718"/>
    <cellStyle name="千位分隔 2 2 8" xfId="30719"/>
    <cellStyle name="千位分隔 2 2 8 2" xfId="30720"/>
    <cellStyle name="千位分隔 2 2 8 3" xfId="30721"/>
    <cellStyle name="千位分隔 2 2 9" xfId="30722"/>
    <cellStyle name="千位分隔 2 3" xfId="30723"/>
    <cellStyle name="千位分隔 2 3 2" xfId="30724"/>
    <cellStyle name="千位分隔 2 3 2 2" xfId="30725"/>
    <cellStyle name="千位分隔 2 3 2 2 2" xfId="30726"/>
    <cellStyle name="千位分隔 2 3 2 2 3" xfId="30727"/>
    <cellStyle name="千位分隔 2 3 2 3" xfId="30728"/>
    <cellStyle name="千位分隔 2 3 2 4" xfId="30729"/>
    <cellStyle name="千位分隔 2 3 2 5" xfId="30730"/>
    <cellStyle name="千位分隔 2 3 2 6" xfId="30731"/>
    <cellStyle name="千位分隔 2 3 2 7" xfId="30732"/>
    <cellStyle name="千位分隔 2 3 2 7 2" xfId="30733"/>
    <cellStyle name="千位分隔 2 3 3" xfId="30734"/>
    <cellStyle name="千位分隔 2 3 3 2" xfId="30735"/>
    <cellStyle name="千位分隔 2 3 3 3" xfId="30736"/>
    <cellStyle name="千位分隔 2 3 3 4" xfId="30737"/>
    <cellStyle name="千位分隔 2 3 3 4 2" xfId="30738"/>
    <cellStyle name="千位分隔 2 3 4" xfId="30739"/>
    <cellStyle name="千位分隔 2 3 4 2" xfId="30740"/>
    <cellStyle name="千位分隔 2 3 4 2 2" xfId="30741"/>
    <cellStyle name="千位分隔 2 3 5" xfId="30742"/>
    <cellStyle name="千位分隔 2 3 5 2" xfId="30743"/>
    <cellStyle name="千位分隔 2 3 5 2 2" xfId="30744"/>
    <cellStyle name="千位分隔 2 3 5 2 3" xfId="30745"/>
    <cellStyle name="千位分隔 2 3 5 3" xfId="30746"/>
    <cellStyle name="千位分隔 2 3 5 3 2" xfId="30747"/>
    <cellStyle name="千位分隔 2 3 6" xfId="30748"/>
    <cellStyle name="千位分隔 2 3 6 2" xfId="30749"/>
    <cellStyle name="千位分隔 2 3 6 2 2" xfId="30750"/>
    <cellStyle name="千位分隔 2 3 7" xfId="30751"/>
    <cellStyle name="千位分隔 2 3 7 2" xfId="30752"/>
    <cellStyle name="千位分隔 2 3 7 3" xfId="30753"/>
    <cellStyle name="千位分隔 2 3 8" xfId="30754"/>
    <cellStyle name="千位分隔 2 3 8 2" xfId="30755"/>
    <cellStyle name="千位分隔 2 3 8 3" xfId="30756"/>
    <cellStyle name="千位分隔 2 3 9" xfId="30757"/>
    <cellStyle name="千位分隔 2 4" xfId="30758"/>
    <cellStyle name="千位分隔 2 4 2" xfId="30759"/>
    <cellStyle name="千位分隔 2 4 2 2" xfId="30760"/>
    <cellStyle name="千位分隔 2 4 2 3" xfId="30761"/>
    <cellStyle name="千位分隔 2 4 3" xfId="30762"/>
    <cellStyle name="千位分隔 2 4 4" xfId="30763"/>
    <cellStyle name="千位分隔 2 4 5" xfId="30764"/>
    <cellStyle name="千位分隔 2 4 6" xfId="30765"/>
    <cellStyle name="千位分隔 2 4 7" xfId="30766"/>
    <cellStyle name="千位分隔 2 4 7 2" xfId="30767"/>
    <cellStyle name="千位分隔 2 5" xfId="30768"/>
    <cellStyle name="千位分隔 2 5 2" xfId="30769"/>
    <cellStyle name="千位分隔 2 5 3" xfId="30770"/>
    <cellStyle name="千位分隔 2 5 4" xfId="30771"/>
    <cellStyle name="千位分隔 2 5 4 2" xfId="30772"/>
    <cellStyle name="千位分隔 2 6" xfId="30773"/>
    <cellStyle name="千位分隔 2 6 2" xfId="30774"/>
    <cellStyle name="千位分隔 2 6 2 2" xfId="30775"/>
    <cellStyle name="千位分隔 2 7" xfId="30776"/>
    <cellStyle name="千位分隔 2 7 2" xfId="30777"/>
    <cellStyle name="千位分隔 2 7 2 2" xfId="30778"/>
    <cellStyle name="千位分隔 2 8" xfId="30779"/>
    <cellStyle name="千位分隔 2 8 2" xfId="30780"/>
    <cellStyle name="千位分隔 2 8 3" xfId="30781"/>
    <cellStyle name="千位分隔 2 9" xfId="30782"/>
    <cellStyle name="千位分隔 2 9 2" xfId="30783"/>
    <cellStyle name="千位分隔 3" xfId="30784"/>
    <cellStyle name="千位分隔 3 2" xfId="30785"/>
    <cellStyle name="千位分隔 3 2 2" xfId="30786"/>
    <cellStyle name="千位分隔 3 2 2 2" xfId="30787"/>
    <cellStyle name="千位分隔 3 2 2 3" xfId="30788"/>
    <cellStyle name="千位分隔 3 2 3" xfId="30789"/>
    <cellStyle name="千位分隔 3 2 4" xfId="30790"/>
    <cellStyle name="千位分隔 3 2 5" xfId="30791"/>
    <cellStyle name="千位分隔 3 2 6" xfId="30792"/>
    <cellStyle name="千位分隔 3 3" xfId="30793"/>
    <cellStyle name="千位分隔 3 3 2" xfId="30794"/>
    <cellStyle name="千位分隔 3 3 3" xfId="30795"/>
    <cellStyle name="千位分隔 3 4" xfId="30796"/>
    <cellStyle name="千位分隔 3 5" xfId="30797"/>
    <cellStyle name="千位分隔 3 6" xfId="30798"/>
    <cellStyle name="千位分隔 3 7" xfId="30799"/>
    <cellStyle name="千位分隔[0]_061 explanation" xfId="30800"/>
    <cellStyle name="千位分隔_061 explanation" xfId="30801"/>
    <cellStyle name="千分位[0]_DrayageRevenueWorking" xfId="30802"/>
    <cellStyle name="千分位_6sigma" xfId="30803"/>
    <cellStyle name="后继超级链接_Ji Fa - SOICT Pd 023 Mgmt Report" xfId="30804"/>
    <cellStyle name="好 2" xfId="30805"/>
    <cellStyle name="好 2 10" xfId="30806"/>
    <cellStyle name="好 2 11" xfId="30807"/>
    <cellStyle name="好 2 2" xfId="30808"/>
    <cellStyle name="好 2 2 10" xfId="30809"/>
    <cellStyle name="好 2 2 11" xfId="30810"/>
    <cellStyle name="好 2 2 2" xfId="30811"/>
    <cellStyle name="好 2 2 2 2" xfId="30812"/>
    <cellStyle name="好 2 2 2 2 2" xfId="30813"/>
    <cellStyle name="好 2 2 2 2 2 2" xfId="30814"/>
    <cellStyle name="好 2 2 2 2 2 3" xfId="30815"/>
    <cellStyle name="好 2 2 2 2 2 3 2" xfId="30816"/>
    <cellStyle name="好 2 2 2 2 2 3 2 2" xfId="30817"/>
    <cellStyle name="好 2 2 2 2 2 4" xfId="30818"/>
    <cellStyle name="好 2 2 2 2 2 4 2" xfId="30819"/>
    <cellStyle name="好 2 2 2 2 3" xfId="30820"/>
    <cellStyle name="好 2 2 2 2 3 2" xfId="30821"/>
    <cellStyle name="好 2 2 2 2 3 2 2" xfId="30822"/>
    <cellStyle name="好 2 2 2 2 3 2 2 2" xfId="30823"/>
    <cellStyle name="好 2 2 2 2 3 3" xfId="30824"/>
    <cellStyle name="好 2 2 2 2 3 3 2" xfId="30825"/>
    <cellStyle name="好 2 2 2 2 4" xfId="30826"/>
    <cellStyle name="好 2 2 2 2 5" xfId="30827"/>
    <cellStyle name="好 2 2 2 2 6" xfId="30828"/>
    <cellStyle name="好 2 2 2 3" xfId="30829"/>
    <cellStyle name="好 2 2 2 3 2" xfId="30830"/>
    <cellStyle name="好 2 2 2 3 3" xfId="30831"/>
    <cellStyle name="好 2 2 2 3 3 2" xfId="30832"/>
    <cellStyle name="好 2 2 2 3 3 2 2" xfId="30833"/>
    <cellStyle name="好 2 2 2 3 4" xfId="30834"/>
    <cellStyle name="好 2 2 2 3 4 2" xfId="30835"/>
    <cellStyle name="好 2 2 2 4" xfId="30836"/>
    <cellStyle name="好 2 2 2 4 2" xfId="30837"/>
    <cellStyle name="好 2 2 2 4 2 2" xfId="30838"/>
    <cellStyle name="好 2 2 2 4 2 2 2" xfId="30839"/>
    <cellStyle name="好 2 2 2 4 3" xfId="30840"/>
    <cellStyle name="好 2 2 2 4 3 2" xfId="30841"/>
    <cellStyle name="好 2 2 2 5" xfId="30842"/>
    <cellStyle name="好 2 2 2 6" xfId="30843"/>
    <cellStyle name="好 2 2 2 7" xfId="30844"/>
    <cellStyle name="好 2 2 3" xfId="30845"/>
    <cellStyle name="好 2 2 3 2" xfId="30846"/>
    <cellStyle name="好 2 2 3 2 2" xfId="30847"/>
    <cellStyle name="好 2 2 3 2 3" xfId="30848"/>
    <cellStyle name="好 2 2 3 2 3 2" xfId="30849"/>
    <cellStyle name="好 2 2 3 2 3 2 2" xfId="30850"/>
    <cellStyle name="好 2 2 3 2 4" xfId="30851"/>
    <cellStyle name="好 2 2 3 2 4 2" xfId="30852"/>
    <cellStyle name="好 2 2 3 3" xfId="30853"/>
    <cellStyle name="好 2 2 3 3 2" xfId="30854"/>
    <cellStyle name="好 2 2 3 3 2 2" xfId="30855"/>
    <cellStyle name="好 2 2 3 3 2 2 2" xfId="30856"/>
    <cellStyle name="好 2 2 3 3 3" xfId="30857"/>
    <cellStyle name="好 2 2 3 3 3 2" xfId="30858"/>
    <cellStyle name="好 2 2 3 4" xfId="30859"/>
    <cellStyle name="好 2 2 3 5" xfId="30860"/>
    <cellStyle name="好 2 2 3 6" xfId="30861"/>
    <cellStyle name="好 2 2 4" xfId="30862"/>
    <cellStyle name="好 2 2 4 2" xfId="30863"/>
    <cellStyle name="好 2 2 4 2 2" xfId="30864"/>
    <cellStyle name="好 2 2 4 2 3" xfId="30865"/>
    <cellStyle name="好 2 2 4 2 3 2" xfId="30866"/>
    <cellStyle name="好 2 2 4 2 3 2 2" xfId="30867"/>
    <cellStyle name="好 2 2 4 2 4" xfId="30868"/>
    <cellStyle name="好 2 2 4 2 4 2" xfId="30869"/>
    <cellStyle name="好 2 2 4 3" xfId="30870"/>
    <cellStyle name="好 2 2 4 4" xfId="30871"/>
    <cellStyle name="好 2 2 4 5" xfId="30872"/>
    <cellStyle name="好 2 2 4 6" xfId="30873"/>
    <cellStyle name="好 2 2 5" xfId="30874"/>
    <cellStyle name="好 2 2 5 2" xfId="30875"/>
    <cellStyle name="好 2 2 5 2 2" xfId="30876"/>
    <cellStyle name="好 2 2 5 2 2 2" xfId="30877"/>
    <cellStyle name="好 2 2 5 2 2 2 2" xfId="30878"/>
    <cellStyle name="好 2 2 5 2 3" xfId="30879"/>
    <cellStyle name="好 2 2 5 2 3 2" xfId="30880"/>
    <cellStyle name="好 2 2 5 3" xfId="30881"/>
    <cellStyle name="好 2 2 5 3 2" xfId="30882"/>
    <cellStyle name="好 2 2 5 3 2 2" xfId="30883"/>
    <cellStyle name="好 2 2 5 4" xfId="30884"/>
    <cellStyle name="好 2 2 5 4 2" xfId="30885"/>
    <cellStyle name="好 2 2 6" xfId="30886"/>
    <cellStyle name="好 2 2 6 2" xfId="30887"/>
    <cellStyle name="好 2 2 6 2 2" xfId="30888"/>
    <cellStyle name="好 2 2 6 2 2 2" xfId="30889"/>
    <cellStyle name="好 2 2 6 2 2 2 2" xfId="30890"/>
    <cellStyle name="好 2 2 6 2 3" xfId="30891"/>
    <cellStyle name="好 2 2 6 2 3 2" xfId="30892"/>
    <cellStyle name="好 2 2 6 3" xfId="30893"/>
    <cellStyle name="好 2 2 6 3 2" xfId="30894"/>
    <cellStyle name="好 2 2 6 3 2 2" xfId="30895"/>
    <cellStyle name="好 2 2 6 4" xfId="30896"/>
    <cellStyle name="好 2 2 6 4 2" xfId="30897"/>
    <cellStyle name="好 2 2 7" xfId="30898"/>
    <cellStyle name="好 2 2 7 2" xfId="30899"/>
    <cellStyle name="好 2 2 7 2 2" xfId="30900"/>
    <cellStyle name="好 2 2 7 2 2 2" xfId="30901"/>
    <cellStyle name="好 2 2 7 2 2 2 2" xfId="30902"/>
    <cellStyle name="好 2 2 7 2 3" xfId="30903"/>
    <cellStyle name="好 2 2 7 2 3 2" xfId="30904"/>
    <cellStyle name="好 2 2 7 3" xfId="30905"/>
    <cellStyle name="好 2 2 7 3 2" xfId="30906"/>
    <cellStyle name="好 2 2 7 3 2 2" xfId="30907"/>
    <cellStyle name="好 2 2 7 4" xfId="30908"/>
    <cellStyle name="好 2 2 7 4 2" xfId="30909"/>
    <cellStyle name="好 2 2 8" xfId="30910"/>
    <cellStyle name="好 2 2 8 2" xfId="30911"/>
    <cellStyle name="好 2 2 8 2 2" xfId="30912"/>
    <cellStyle name="好 2 2 8 2 2 2" xfId="30913"/>
    <cellStyle name="好 2 2 8 3" xfId="30914"/>
    <cellStyle name="好 2 2 8 3 2" xfId="30915"/>
    <cellStyle name="好 2 2 9" xfId="30916"/>
    <cellStyle name="好 2 2 9 2" xfId="30917"/>
    <cellStyle name="好 2 2 9 2 2" xfId="30918"/>
    <cellStyle name="好 2 2 9 2 2 2" xfId="30919"/>
    <cellStyle name="好 2 2 9 3" xfId="30920"/>
    <cellStyle name="好 2 2 9 3 2" xfId="30921"/>
    <cellStyle name="好 2 3" xfId="30922"/>
    <cellStyle name="好 2 3 2" xfId="30923"/>
    <cellStyle name="好 2 3 2 2" xfId="30924"/>
    <cellStyle name="好 2 3 2 2 2" xfId="30925"/>
    <cellStyle name="好 2 3 2 2 2 2" xfId="30926"/>
    <cellStyle name="好 2 3 2 2 2 3" xfId="30927"/>
    <cellStyle name="好 2 3 2 2 2 3 2" xfId="30928"/>
    <cellStyle name="好 2 3 2 2 2 3 2 2" xfId="30929"/>
    <cellStyle name="好 2 3 2 2 2 4" xfId="30930"/>
    <cellStyle name="好 2 3 2 2 2 4 2" xfId="30931"/>
    <cellStyle name="好 2 3 2 2 3" xfId="30932"/>
    <cellStyle name="好 2 3 2 2 3 2" xfId="30933"/>
    <cellStyle name="好 2 3 2 2 3 2 2" xfId="30934"/>
    <cellStyle name="好 2 3 2 2 3 2 2 2" xfId="30935"/>
    <cellStyle name="好 2 3 2 2 3 3" xfId="30936"/>
    <cellStyle name="好 2 3 2 2 3 3 2" xfId="30937"/>
    <cellStyle name="好 2 3 2 2 4" xfId="30938"/>
    <cellStyle name="好 2 3 2 2 5" xfId="30939"/>
    <cellStyle name="好 2 3 2 2 6" xfId="30940"/>
    <cellStyle name="好 2 3 2 3" xfId="30941"/>
    <cellStyle name="好 2 3 2 3 2" xfId="30942"/>
    <cellStyle name="好 2 3 2 3 3" xfId="30943"/>
    <cellStyle name="好 2 3 2 3 3 2" xfId="30944"/>
    <cellStyle name="好 2 3 2 3 3 2 2" xfId="30945"/>
    <cellStyle name="好 2 3 2 3 4" xfId="30946"/>
    <cellStyle name="好 2 3 2 3 4 2" xfId="30947"/>
    <cellStyle name="好 2 3 2 4" xfId="30948"/>
    <cellStyle name="好 2 3 2 4 2" xfId="30949"/>
    <cellStyle name="好 2 3 2 4 2 2" xfId="30950"/>
    <cellStyle name="好 2 3 2 4 2 2 2" xfId="30951"/>
    <cellStyle name="好 2 3 2 4 3" xfId="30952"/>
    <cellStyle name="好 2 3 2 4 3 2" xfId="30953"/>
    <cellStyle name="好 2 3 2 5" xfId="30954"/>
    <cellStyle name="好 2 3 2 6" xfId="30955"/>
    <cellStyle name="好 2 3 2 7" xfId="30956"/>
    <cellStyle name="好 2 3 3" xfId="30957"/>
    <cellStyle name="好 2 3 3 2" xfId="30958"/>
    <cellStyle name="好 2 3 3 2 2" xfId="30959"/>
    <cellStyle name="好 2 3 3 2 3" xfId="30960"/>
    <cellStyle name="好 2 3 3 2 3 2" xfId="30961"/>
    <cellStyle name="好 2 3 3 2 3 2 2" xfId="30962"/>
    <cellStyle name="好 2 3 3 2 4" xfId="30963"/>
    <cellStyle name="好 2 3 3 2 4 2" xfId="30964"/>
    <cellStyle name="好 2 3 3 3" xfId="30965"/>
    <cellStyle name="好 2 3 3 3 2" xfId="30966"/>
    <cellStyle name="好 2 3 3 3 2 2" xfId="30967"/>
    <cellStyle name="好 2 3 3 3 2 2 2" xfId="30968"/>
    <cellStyle name="好 2 3 3 3 3" xfId="30969"/>
    <cellStyle name="好 2 3 3 3 3 2" xfId="30970"/>
    <cellStyle name="好 2 3 3 4" xfId="30971"/>
    <cellStyle name="好 2 3 3 5" xfId="30972"/>
    <cellStyle name="好 2 3 3 6" xfId="30973"/>
    <cellStyle name="好 2 3 4" xfId="30974"/>
    <cellStyle name="好 2 3 4 2" xfId="30975"/>
    <cellStyle name="好 2 3 4 2 2" xfId="30976"/>
    <cellStyle name="好 2 3 4 2 3" xfId="30977"/>
    <cellStyle name="好 2 3 4 2 3 2" xfId="30978"/>
    <cellStyle name="好 2 3 4 2 3 2 2" xfId="30979"/>
    <cellStyle name="好 2 3 4 2 4" xfId="30980"/>
    <cellStyle name="好 2 3 4 2 4 2" xfId="30981"/>
    <cellStyle name="好 2 3 4 3" xfId="30982"/>
    <cellStyle name="好 2 3 4 4" xfId="30983"/>
    <cellStyle name="好 2 3 4 5" xfId="30984"/>
    <cellStyle name="好 2 3 4 6" xfId="30985"/>
    <cellStyle name="好 2 3 5" xfId="30986"/>
    <cellStyle name="好 2 3 5 2" xfId="30987"/>
    <cellStyle name="好 2 3 5 2 2" xfId="30988"/>
    <cellStyle name="好 2 3 5 2 2 2" xfId="30989"/>
    <cellStyle name="好 2 3 5 2 2 2 2" xfId="30990"/>
    <cellStyle name="好 2 3 5 2 3" xfId="30991"/>
    <cellStyle name="好 2 3 5 2 3 2" xfId="30992"/>
    <cellStyle name="好 2 3 5 3" xfId="30993"/>
    <cellStyle name="好 2 3 5 3 2" xfId="30994"/>
    <cellStyle name="好 2 3 5 3 2 2" xfId="30995"/>
    <cellStyle name="好 2 3 5 4" xfId="30996"/>
    <cellStyle name="好 2 3 5 4 2" xfId="30997"/>
    <cellStyle name="好 2 3 6" xfId="30998"/>
    <cellStyle name="好 2 3 6 2" xfId="30999"/>
    <cellStyle name="好 2 3 6 2 2" xfId="31000"/>
    <cellStyle name="好 2 3 6 2 2 2" xfId="31001"/>
    <cellStyle name="好 2 3 6 3" xfId="31002"/>
    <cellStyle name="好 2 3 6 3 2" xfId="31003"/>
    <cellStyle name="好 2 3 7" xfId="31004"/>
    <cellStyle name="好 2 3 7 2" xfId="31005"/>
    <cellStyle name="好 2 3 7 2 2" xfId="31006"/>
    <cellStyle name="好 2 3 7 2 2 2" xfId="31007"/>
    <cellStyle name="好 2 3 7 3" xfId="31008"/>
    <cellStyle name="好 2 3 7 3 2" xfId="31009"/>
    <cellStyle name="好 2 3 8" xfId="31010"/>
    <cellStyle name="好 2 3 9" xfId="31011"/>
    <cellStyle name="好 2 4" xfId="31012"/>
    <cellStyle name="好 2 4 2" xfId="31013"/>
    <cellStyle name="好 2 4 2 2" xfId="31014"/>
    <cellStyle name="好 2 4 2 3" xfId="31015"/>
    <cellStyle name="好 2 4 2 3 2" xfId="31016"/>
    <cellStyle name="好 2 4 2 3 2 2" xfId="31017"/>
    <cellStyle name="好 2 4 2 4" xfId="31018"/>
    <cellStyle name="好 2 4 2 4 2" xfId="31019"/>
    <cellStyle name="好 2 4 3" xfId="31020"/>
    <cellStyle name="好 2 4 3 2" xfId="31021"/>
    <cellStyle name="好 2 4 3 2 2" xfId="31022"/>
    <cellStyle name="好 2 4 3 2 2 2" xfId="31023"/>
    <cellStyle name="好 2 4 3 3" xfId="31024"/>
    <cellStyle name="好 2 4 3 3 2" xfId="31025"/>
    <cellStyle name="好 2 4 4" xfId="31026"/>
    <cellStyle name="好 2 4 5" xfId="31027"/>
    <cellStyle name="好 2 4 6" xfId="31028"/>
    <cellStyle name="好 2 5" xfId="31029"/>
    <cellStyle name="好 2 5 2" xfId="31030"/>
    <cellStyle name="好 2 5 2 2" xfId="31031"/>
    <cellStyle name="好 2 5 2 3" xfId="31032"/>
    <cellStyle name="好 2 5 2 3 2" xfId="31033"/>
    <cellStyle name="好 2 5 2 3 2 2" xfId="31034"/>
    <cellStyle name="好 2 5 2 4" xfId="31035"/>
    <cellStyle name="好 2 5 2 4 2" xfId="31036"/>
    <cellStyle name="好 2 5 3" xfId="31037"/>
    <cellStyle name="好 2 5 4" xfId="31038"/>
    <cellStyle name="好 2 5 5" xfId="31039"/>
    <cellStyle name="好 2 5 6" xfId="31040"/>
    <cellStyle name="好 2 6" xfId="31041"/>
    <cellStyle name="好 2 6 2" xfId="31042"/>
    <cellStyle name="好 2 6 2 2" xfId="31043"/>
    <cellStyle name="好 2 6 2 2 2" xfId="31044"/>
    <cellStyle name="好 2 6 2 2 2 2" xfId="31045"/>
    <cellStyle name="好 2 6 2 3" xfId="31046"/>
    <cellStyle name="好 2 6 2 3 2" xfId="31047"/>
    <cellStyle name="好 2 6 3" xfId="31048"/>
    <cellStyle name="好 2 6 3 2" xfId="31049"/>
    <cellStyle name="好 2 6 3 2 2" xfId="31050"/>
    <cellStyle name="好 2 6 4" xfId="31051"/>
    <cellStyle name="好 2 6 4 2" xfId="31052"/>
    <cellStyle name="好 2 7" xfId="31053"/>
    <cellStyle name="好 2 7 2" xfId="31054"/>
    <cellStyle name="好 2 7 2 2" xfId="31055"/>
    <cellStyle name="好 2 7 2 2 2" xfId="31056"/>
    <cellStyle name="好 2 7 2 2 2 2" xfId="31057"/>
    <cellStyle name="好 2 7 2 3" xfId="31058"/>
    <cellStyle name="好 2 7 2 3 2" xfId="31059"/>
    <cellStyle name="好 2 7 3" xfId="31060"/>
    <cellStyle name="好 2 7 3 2" xfId="31061"/>
    <cellStyle name="好 2 7 3 2 2" xfId="31062"/>
    <cellStyle name="好 2 7 4" xfId="31063"/>
    <cellStyle name="好 2 7 4 2" xfId="31064"/>
    <cellStyle name="好 2 8" xfId="31065"/>
    <cellStyle name="好 2 8 2" xfId="31066"/>
    <cellStyle name="好 2 8 2 2" xfId="31067"/>
    <cellStyle name="好 2 8 2 2 2" xfId="31068"/>
    <cellStyle name="好 2 8 2 2 2 2" xfId="31069"/>
    <cellStyle name="好 2 8 2 3" xfId="31070"/>
    <cellStyle name="好 2 8 2 3 2" xfId="31071"/>
    <cellStyle name="好 2 8 3" xfId="31072"/>
    <cellStyle name="好 2 8 3 2" xfId="31073"/>
    <cellStyle name="好 2 8 3 2 2" xfId="31074"/>
    <cellStyle name="好 2 8 4" xfId="31075"/>
    <cellStyle name="好 2 8 4 2" xfId="31076"/>
    <cellStyle name="好 2 9" xfId="31077"/>
    <cellStyle name="好 2 9 2" xfId="31078"/>
    <cellStyle name="好 2 9 2 2" xfId="31079"/>
    <cellStyle name="好 2 9 2 2 2" xfId="31080"/>
    <cellStyle name="好 2 9 3" xfId="31081"/>
    <cellStyle name="好 2 9 3 2" xfId="31082"/>
    <cellStyle name="好 3" xfId="31083"/>
    <cellStyle name="好 3 2" xfId="31084"/>
    <cellStyle name="好 3 2 2" xfId="31085"/>
    <cellStyle name="好 3 2 2 2" xfId="31086"/>
    <cellStyle name="好 3 2 2 2 2" xfId="31087"/>
    <cellStyle name="好 3 2 2 2 3" xfId="31088"/>
    <cellStyle name="好 3 2 2 2 3 2" xfId="31089"/>
    <cellStyle name="好 3 2 2 2 3 2 2" xfId="31090"/>
    <cellStyle name="好 3 2 2 2 4" xfId="31091"/>
    <cellStyle name="好 3 2 2 2 4 2" xfId="31092"/>
    <cellStyle name="好 3 2 2 3" xfId="31093"/>
    <cellStyle name="好 3 2 2 3 2" xfId="31094"/>
    <cellStyle name="好 3 2 2 3 2 2" xfId="31095"/>
    <cellStyle name="好 3 2 2 3 2 2 2" xfId="31096"/>
    <cellStyle name="好 3 2 2 3 3" xfId="31097"/>
    <cellStyle name="好 3 2 2 3 3 2" xfId="31098"/>
    <cellStyle name="好 3 2 2 4" xfId="31099"/>
    <cellStyle name="好 3 2 2 5" xfId="31100"/>
    <cellStyle name="好 3 2 2 6" xfId="31101"/>
    <cellStyle name="好 3 2 3" xfId="31102"/>
    <cellStyle name="好 3 2 3 2" xfId="31103"/>
    <cellStyle name="好 3 2 3 3" xfId="31104"/>
    <cellStyle name="好 3 2 3 3 2" xfId="31105"/>
    <cellStyle name="好 3 2 3 3 2 2" xfId="31106"/>
    <cellStyle name="好 3 2 3 4" xfId="31107"/>
    <cellStyle name="好 3 2 3 4 2" xfId="31108"/>
    <cellStyle name="好 3 2 4" xfId="31109"/>
    <cellStyle name="好 3 2 4 2" xfId="31110"/>
    <cellStyle name="好 3 2 4 2 2" xfId="31111"/>
    <cellStyle name="好 3 2 4 2 2 2" xfId="31112"/>
    <cellStyle name="好 3 2 4 3" xfId="31113"/>
    <cellStyle name="好 3 2 4 3 2" xfId="31114"/>
    <cellStyle name="好 3 2 5" xfId="31115"/>
    <cellStyle name="好 3 2 6" xfId="31116"/>
    <cellStyle name="好 3 2 7" xfId="31117"/>
    <cellStyle name="好 3 3" xfId="31118"/>
    <cellStyle name="好 3 3 2" xfId="31119"/>
    <cellStyle name="好 3 3 2 2" xfId="31120"/>
    <cellStyle name="好 3 3 2 3" xfId="31121"/>
    <cellStyle name="好 3 3 2 3 2" xfId="31122"/>
    <cellStyle name="好 3 3 2 3 2 2" xfId="31123"/>
    <cellStyle name="好 3 3 2 4" xfId="31124"/>
    <cellStyle name="好 3 3 2 4 2" xfId="31125"/>
    <cellStyle name="好 3 3 3" xfId="31126"/>
    <cellStyle name="好 3 3 3 2" xfId="31127"/>
    <cellStyle name="好 3 3 3 2 2" xfId="31128"/>
    <cellStyle name="好 3 3 3 2 2 2" xfId="31129"/>
    <cellStyle name="好 3 3 3 3" xfId="31130"/>
    <cellStyle name="好 3 3 3 3 2" xfId="31131"/>
    <cellStyle name="好 3 3 4" xfId="31132"/>
    <cellStyle name="好 3 3 5" xfId="31133"/>
    <cellStyle name="好 3 3 6" xfId="31134"/>
    <cellStyle name="好 3 4" xfId="31135"/>
    <cellStyle name="好 3 4 2" xfId="31136"/>
    <cellStyle name="好 3 4 2 2" xfId="31137"/>
    <cellStyle name="好 3 4 2 3" xfId="31138"/>
    <cellStyle name="好 3 4 2 3 2" xfId="31139"/>
    <cellStyle name="好 3 4 2 3 2 2" xfId="31140"/>
    <cellStyle name="好 3 4 2 4" xfId="31141"/>
    <cellStyle name="好 3 4 2 4 2" xfId="31142"/>
    <cellStyle name="好 3 4 3" xfId="31143"/>
    <cellStyle name="好 3 4 4" xfId="31144"/>
    <cellStyle name="好 3 4 5" xfId="31145"/>
    <cellStyle name="好 3 4 6" xfId="31146"/>
    <cellStyle name="好 3 5" xfId="31147"/>
    <cellStyle name="好 3 5 2" xfId="31148"/>
    <cellStyle name="好 3 5 2 2" xfId="31149"/>
    <cellStyle name="好 3 5 2 2 2" xfId="31150"/>
    <cellStyle name="好 3 5 2 2 2 2" xfId="31151"/>
    <cellStyle name="好 3 5 2 3" xfId="31152"/>
    <cellStyle name="好 3 5 2 3 2" xfId="31153"/>
    <cellStyle name="好 3 5 3" xfId="31154"/>
    <cellStyle name="好 3 5 3 2" xfId="31155"/>
    <cellStyle name="好 3 5 3 2 2" xfId="31156"/>
    <cellStyle name="好 3 5 4" xfId="31157"/>
    <cellStyle name="好 3 5 4 2" xfId="31158"/>
    <cellStyle name="好 3 6" xfId="31159"/>
    <cellStyle name="好 3 6 2" xfId="31160"/>
    <cellStyle name="好 3 6 2 2" xfId="31161"/>
    <cellStyle name="好 3 6 2 2 2" xfId="31162"/>
    <cellStyle name="好 3 6 3" xfId="31163"/>
    <cellStyle name="好 3 6 3 2" xfId="31164"/>
    <cellStyle name="好 3 7" xfId="31165"/>
    <cellStyle name="好 3 8" xfId="31166"/>
    <cellStyle name="好_报关单" xfId="31167"/>
    <cellStyle name="好_报关单 2" xfId="31168"/>
    <cellStyle name="好_报关单 3" xfId="31169"/>
    <cellStyle name="差 2" xfId="31170"/>
    <cellStyle name="差 2 10" xfId="31171"/>
    <cellStyle name="差 2 11" xfId="31172"/>
    <cellStyle name="差 2 2" xfId="31173"/>
    <cellStyle name="差 2 2 10" xfId="31174"/>
    <cellStyle name="差 2 2 11" xfId="31175"/>
    <cellStyle name="差 2 2 2" xfId="31176"/>
    <cellStyle name="差 2 2 2 2" xfId="31177"/>
    <cellStyle name="差 2 2 2 2 2" xfId="31178"/>
    <cellStyle name="差 2 2 2 2 2 2" xfId="31179"/>
    <cellStyle name="差 2 2 2 2 2 3" xfId="31180"/>
    <cellStyle name="差 2 2 2 2 2 3 2" xfId="31181"/>
    <cellStyle name="差 2 2 2 2 2 3 2 2" xfId="31182"/>
    <cellStyle name="差 2 2 2 2 2 4" xfId="31183"/>
    <cellStyle name="差 2 2 2 2 2 4 2" xfId="31184"/>
    <cellStyle name="差 2 2 2 2 3" xfId="31185"/>
    <cellStyle name="差 2 2 2 2 3 2" xfId="31186"/>
    <cellStyle name="差 2 2 2 2 3 2 2" xfId="31187"/>
    <cellStyle name="差 2 2 2 2 3 2 2 2" xfId="31188"/>
    <cellStyle name="差 2 2 2 2 3 3" xfId="31189"/>
    <cellStyle name="差 2 2 2 2 3 3 2" xfId="31190"/>
    <cellStyle name="差 2 2 2 2 4" xfId="31191"/>
    <cellStyle name="差 2 2 2 2 5" xfId="31192"/>
    <cellStyle name="差 2 2 2 2 6" xfId="31193"/>
    <cellStyle name="差 2 2 2 3" xfId="31194"/>
    <cellStyle name="差 2 2 2 3 2" xfId="31195"/>
    <cellStyle name="差 2 2 2 3 3" xfId="31196"/>
    <cellStyle name="差 2 2 2 3 3 2" xfId="31197"/>
    <cellStyle name="差 2 2 2 3 3 2 2" xfId="31198"/>
    <cellStyle name="差 2 2 2 3 4" xfId="31199"/>
    <cellStyle name="差 2 2 2 3 4 2" xfId="31200"/>
    <cellStyle name="差 2 2 2 4" xfId="31201"/>
    <cellStyle name="差 2 2 2 4 2" xfId="31202"/>
    <cellStyle name="差 2 2 2 4 2 2" xfId="31203"/>
    <cellStyle name="差 2 2 2 4 2 2 2" xfId="31204"/>
    <cellStyle name="差 2 2 2 4 3" xfId="31205"/>
    <cellStyle name="差 2 2 2 4 3 2" xfId="31206"/>
    <cellStyle name="差 2 2 2 5" xfId="31207"/>
    <cellStyle name="差 2 2 2 6" xfId="31208"/>
    <cellStyle name="差 2 2 2 7" xfId="31209"/>
    <cellStyle name="差 2 2 3" xfId="31210"/>
    <cellStyle name="差 2 2 3 2" xfId="31211"/>
    <cellStyle name="差 2 2 3 2 2" xfId="31212"/>
    <cellStyle name="差 2 2 3 2 3" xfId="31213"/>
    <cellStyle name="差 2 2 3 2 3 2" xfId="31214"/>
    <cellStyle name="差 2 2 3 2 3 2 2" xfId="31215"/>
    <cellStyle name="差 2 2 3 2 4" xfId="31216"/>
    <cellStyle name="差 2 2 3 2 4 2" xfId="31217"/>
    <cellStyle name="差 2 2 3 3" xfId="31218"/>
    <cellStyle name="差 2 2 3 3 2" xfId="31219"/>
    <cellStyle name="差 2 2 3 3 2 2" xfId="31220"/>
    <cellStyle name="差 2 2 3 3 2 2 2" xfId="31221"/>
    <cellStyle name="差 2 2 3 3 3" xfId="31222"/>
    <cellStyle name="差 2 2 3 3 3 2" xfId="31223"/>
    <cellStyle name="差 2 2 3 4" xfId="31224"/>
    <cellStyle name="差 2 2 3 5" xfId="31225"/>
    <cellStyle name="差 2 2 3 6" xfId="31226"/>
    <cellStyle name="差 2 2 4" xfId="31227"/>
    <cellStyle name="差 2 2 4 2" xfId="31228"/>
    <cellStyle name="差 2 2 4 2 2" xfId="31229"/>
    <cellStyle name="差 2 2 4 2 3" xfId="31230"/>
    <cellStyle name="差 2 2 4 2 3 2" xfId="31231"/>
    <cellStyle name="差 2 2 4 2 3 2 2" xfId="31232"/>
    <cellStyle name="差 2 2 4 2 4" xfId="31233"/>
    <cellStyle name="差 2 2 4 2 4 2" xfId="31234"/>
    <cellStyle name="差 2 2 4 3" xfId="31235"/>
    <cellStyle name="差 2 2 4 4" xfId="31236"/>
    <cellStyle name="差 2 2 4 5" xfId="31237"/>
    <cellStyle name="差 2 2 4 6" xfId="31238"/>
    <cellStyle name="差 2 2 5" xfId="31239"/>
    <cellStyle name="差 2 2 5 2" xfId="31240"/>
    <cellStyle name="差 2 2 5 2 2" xfId="31241"/>
    <cellStyle name="差 2 2 5 2 2 2" xfId="31242"/>
    <cellStyle name="差 2 2 5 2 2 2 2" xfId="31243"/>
    <cellStyle name="差 2 2 5 2 3" xfId="31244"/>
    <cellStyle name="差 2 2 5 2 3 2" xfId="31245"/>
    <cellStyle name="差 2 2 5 3" xfId="31246"/>
    <cellStyle name="差 2 2 5 3 2" xfId="31247"/>
    <cellStyle name="差 2 2 5 3 2 2" xfId="31248"/>
    <cellStyle name="差 2 2 5 4" xfId="31249"/>
    <cellStyle name="差 2 2 5 4 2" xfId="31250"/>
    <cellStyle name="差 2 2 6" xfId="31251"/>
    <cellStyle name="差 2 2 6 2" xfId="31252"/>
    <cellStyle name="差 2 2 6 2 2" xfId="31253"/>
    <cellStyle name="差 2 2 6 2 2 2" xfId="31254"/>
    <cellStyle name="差 2 2 6 2 2 2 2" xfId="31255"/>
    <cellStyle name="差 2 2 6 2 3" xfId="31256"/>
    <cellStyle name="差 2 2 6 2 3 2" xfId="31257"/>
    <cellStyle name="差 2 2 6 3" xfId="31258"/>
    <cellStyle name="差 2 2 6 3 2" xfId="31259"/>
    <cellStyle name="差 2 2 6 3 2 2" xfId="31260"/>
    <cellStyle name="差 2 2 6 4" xfId="31261"/>
    <cellStyle name="差 2 2 6 4 2" xfId="31262"/>
    <cellStyle name="差 2 2 7" xfId="31263"/>
    <cellStyle name="差 2 2 7 2" xfId="31264"/>
    <cellStyle name="差 2 2 7 2 2" xfId="31265"/>
    <cellStyle name="差 2 2 7 2 2 2" xfId="31266"/>
    <cellStyle name="差 2 2 7 2 2 2 2" xfId="31267"/>
    <cellStyle name="差 2 2 7 2 3" xfId="31268"/>
    <cellStyle name="差 2 2 7 2 3 2" xfId="31269"/>
    <cellStyle name="差 2 2 7 3" xfId="31270"/>
    <cellStyle name="差 2 2 7 3 2" xfId="31271"/>
    <cellStyle name="差 2 2 7 3 2 2" xfId="31272"/>
    <cellStyle name="差 2 2 7 4" xfId="31273"/>
    <cellStyle name="差 2 2 7 4 2" xfId="31274"/>
    <cellStyle name="差 2 2 8" xfId="31275"/>
    <cellStyle name="差 2 2 8 2" xfId="31276"/>
    <cellStyle name="差 2 2 8 2 2" xfId="31277"/>
    <cellStyle name="差 2 2 8 2 2 2" xfId="31278"/>
    <cellStyle name="差 2 2 8 3" xfId="31279"/>
    <cellStyle name="差 2 2 8 3 2" xfId="31280"/>
    <cellStyle name="差 2 2 9" xfId="31281"/>
    <cellStyle name="差 2 2 9 2" xfId="31282"/>
    <cellStyle name="差 2 2 9 2 2" xfId="31283"/>
    <cellStyle name="差 2 2 9 2 2 2" xfId="31284"/>
    <cellStyle name="差 2 2 9 3" xfId="31285"/>
    <cellStyle name="差 2 2 9 3 2" xfId="31286"/>
    <cellStyle name="差 2 3" xfId="31287"/>
    <cellStyle name="差 2 3 2" xfId="31288"/>
    <cellStyle name="差 2 3 2 2" xfId="31289"/>
    <cellStyle name="差 2 3 2 2 2" xfId="31290"/>
    <cellStyle name="差 2 3 2 2 2 2" xfId="31291"/>
    <cellStyle name="差 2 3 2 2 2 3" xfId="31292"/>
    <cellStyle name="差 2 3 2 2 2 3 2" xfId="31293"/>
    <cellStyle name="差 2 3 2 2 2 3 2 2" xfId="31294"/>
    <cellStyle name="差 2 3 2 2 2 4" xfId="31295"/>
    <cellStyle name="差 2 3 2 2 2 4 2" xfId="31296"/>
    <cellStyle name="差 2 3 2 2 3" xfId="31297"/>
    <cellStyle name="差 2 3 2 2 3 2" xfId="31298"/>
    <cellStyle name="差 2 3 2 2 3 2 2" xfId="31299"/>
    <cellStyle name="差 2 3 2 2 3 2 2 2" xfId="31300"/>
    <cellStyle name="差 2 3 2 2 3 3" xfId="31301"/>
    <cellStyle name="差 2 3 2 2 3 3 2" xfId="31302"/>
    <cellStyle name="差 2 3 2 2 4" xfId="31303"/>
    <cellStyle name="差 2 3 2 2 5" xfId="31304"/>
    <cellStyle name="差 2 3 2 2 6" xfId="31305"/>
    <cellStyle name="差 2 3 2 3" xfId="31306"/>
    <cellStyle name="差 2 3 2 3 2" xfId="31307"/>
    <cellStyle name="差 2 3 2 3 3" xfId="31308"/>
    <cellStyle name="差 2 3 2 3 3 2" xfId="31309"/>
    <cellStyle name="差 2 3 2 3 3 2 2" xfId="31310"/>
    <cellStyle name="差 2 3 2 3 4" xfId="31311"/>
    <cellStyle name="差 2 3 2 3 4 2" xfId="31312"/>
    <cellStyle name="差 2 3 2 4" xfId="31313"/>
    <cellStyle name="差 2 3 2 4 2" xfId="31314"/>
    <cellStyle name="差 2 3 2 4 2 2" xfId="31315"/>
    <cellStyle name="差 2 3 2 4 2 2 2" xfId="31316"/>
    <cellStyle name="差 2 3 2 4 3" xfId="31317"/>
    <cellStyle name="差 2 3 2 4 3 2" xfId="31318"/>
    <cellStyle name="差 2 3 2 5" xfId="31319"/>
    <cellStyle name="差 2 3 2 6" xfId="31320"/>
    <cellStyle name="差 2 3 2 7" xfId="31321"/>
    <cellStyle name="差 2 3 3" xfId="31322"/>
    <cellStyle name="差 2 3 3 2" xfId="31323"/>
    <cellStyle name="差 2 3 3 2 2" xfId="31324"/>
    <cellStyle name="差 2 3 3 2 3" xfId="31325"/>
    <cellStyle name="差 2 3 3 2 3 2" xfId="31326"/>
    <cellStyle name="差 2 3 3 2 3 2 2" xfId="31327"/>
    <cellStyle name="差 2 3 3 2 4" xfId="31328"/>
    <cellStyle name="差 2 3 3 2 4 2" xfId="31329"/>
    <cellStyle name="差 2 3 3 3" xfId="31330"/>
    <cellStyle name="差 2 3 3 3 2" xfId="31331"/>
    <cellStyle name="差 2 3 3 3 2 2" xfId="31332"/>
    <cellStyle name="差 2 3 3 3 2 2 2" xfId="31333"/>
    <cellStyle name="差 2 3 3 3 3" xfId="31334"/>
    <cellStyle name="差 2 3 3 3 3 2" xfId="31335"/>
    <cellStyle name="差 2 3 3 4" xfId="31336"/>
    <cellStyle name="差 2 3 3 5" xfId="31337"/>
    <cellStyle name="差 2 3 3 6" xfId="31338"/>
    <cellStyle name="差 2 3 4" xfId="31339"/>
    <cellStyle name="差 2 3 4 2" xfId="31340"/>
    <cellStyle name="差 2 3 4 2 2" xfId="31341"/>
    <cellStyle name="差 2 3 4 2 3" xfId="31342"/>
    <cellStyle name="差 2 3 4 2 3 2" xfId="31343"/>
    <cellStyle name="差 2 3 4 2 3 2 2" xfId="31344"/>
    <cellStyle name="差 2 3 4 2 4" xfId="31345"/>
    <cellStyle name="差 2 3 4 2 4 2" xfId="31346"/>
    <cellStyle name="差 2 3 4 3" xfId="31347"/>
    <cellStyle name="差 2 3 4 4" xfId="31348"/>
    <cellStyle name="差 2 3 4 5" xfId="31349"/>
    <cellStyle name="差 2 3 4 6" xfId="31350"/>
    <cellStyle name="差 2 3 5" xfId="31351"/>
    <cellStyle name="差 2 3 5 2" xfId="31352"/>
    <cellStyle name="差 2 3 5 2 2" xfId="31353"/>
    <cellStyle name="差 2 3 5 2 2 2" xfId="31354"/>
    <cellStyle name="差 2 3 5 2 2 2 2" xfId="31355"/>
    <cellStyle name="差 2 3 5 2 3" xfId="31356"/>
    <cellStyle name="差 2 3 5 2 3 2" xfId="31357"/>
    <cellStyle name="差 2 3 5 3" xfId="31358"/>
    <cellStyle name="差 2 3 5 3 2" xfId="31359"/>
    <cellStyle name="差 2 3 5 3 2 2" xfId="31360"/>
    <cellStyle name="差 2 3 5 4" xfId="31361"/>
    <cellStyle name="差 2 3 5 4 2" xfId="31362"/>
    <cellStyle name="差 2 3 6" xfId="31363"/>
    <cellStyle name="差 2 3 6 2" xfId="31364"/>
    <cellStyle name="差 2 3 6 2 2" xfId="31365"/>
    <cellStyle name="差 2 3 6 2 2 2" xfId="31366"/>
    <cellStyle name="差 2 3 6 3" xfId="31367"/>
    <cellStyle name="差 2 3 6 3 2" xfId="31368"/>
    <cellStyle name="差 2 3 7" xfId="31369"/>
    <cellStyle name="差 2 3 7 2" xfId="31370"/>
    <cellStyle name="差 2 3 7 2 2" xfId="31371"/>
    <cellStyle name="差 2 3 7 2 2 2" xfId="31372"/>
    <cellStyle name="差 2 3 7 3" xfId="31373"/>
    <cellStyle name="差 2 3 7 3 2" xfId="31374"/>
    <cellStyle name="差 2 3 8" xfId="31375"/>
    <cellStyle name="差 2 3 9" xfId="31376"/>
    <cellStyle name="差 2 4" xfId="31377"/>
    <cellStyle name="差 2 4 2" xfId="31378"/>
    <cellStyle name="差 2 4 2 2" xfId="31379"/>
    <cellStyle name="差 2 4 2 3" xfId="31380"/>
    <cellStyle name="差 2 4 2 3 2" xfId="31381"/>
    <cellStyle name="差 2 4 2 3 2 2" xfId="31382"/>
    <cellStyle name="差 2 4 2 4" xfId="31383"/>
    <cellStyle name="差 2 4 2 4 2" xfId="31384"/>
    <cellStyle name="差 2 4 3" xfId="31385"/>
    <cellStyle name="差 2 4 3 2" xfId="31386"/>
    <cellStyle name="差 2 4 3 2 2" xfId="31387"/>
    <cellStyle name="差 2 4 3 2 2 2" xfId="31388"/>
    <cellStyle name="差 2 4 3 3" xfId="31389"/>
    <cellStyle name="差 2 4 3 3 2" xfId="31390"/>
    <cellStyle name="差 2 4 4" xfId="31391"/>
    <cellStyle name="差 2 4 5" xfId="31392"/>
    <cellStyle name="差 2 4 6" xfId="31393"/>
    <cellStyle name="差 2 5" xfId="31394"/>
    <cellStyle name="差 2 5 2" xfId="31395"/>
    <cellStyle name="差 2 5 2 2" xfId="31396"/>
    <cellStyle name="差 2 5 2 3" xfId="31397"/>
    <cellStyle name="差 2 5 2 3 2" xfId="31398"/>
    <cellStyle name="差 2 5 2 3 2 2" xfId="31399"/>
    <cellStyle name="差 2 5 2 4" xfId="31400"/>
    <cellStyle name="差 2 5 2 4 2" xfId="31401"/>
    <cellStyle name="差 2 5 3" xfId="31402"/>
    <cellStyle name="差 2 5 4" xfId="31403"/>
    <cellStyle name="差 2 5 5" xfId="31404"/>
    <cellStyle name="差 2 5 6" xfId="31405"/>
    <cellStyle name="差 2 6" xfId="31406"/>
    <cellStyle name="差 2 6 2" xfId="31407"/>
    <cellStyle name="差 2 6 2 2" xfId="31408"/>
    <cellStyle name="差 2 6 2 2 2" xfId="31409"/>
    <cellStyle name="差 2 6 2 2 2 2" xfId="31410"/>
    <cellStyle name="差 2 6 2 3" xfId="31411"/>
    <cellStyle name="差 2 6 2 3 2" xfId="31412"/>
    <cellStyle name="差 2 6 3" xfId="31413"/>
    <cellStyle name="差 2 6 3 2" xfId="31414"/>
    <cellStyle name="差 2 6 3 2 2" xfId="31415"/>
    <cellStyle name="差 2 6 4" xfId="31416"/>
    <cellStyle name="差 2 6 4 2" xfId="31417"/>
    <cellStyle name="差 2 7" xfId="31418"/>
    <cellStyle name="差 2 7 2" xfId="31419"/>
    <cellStyle name="差 2 7 2 2" xfId="31420"/>
    <cellStyle name="差 2 7 2 2 2" xfId="31421"/>
    <cellStyle name="差 2 7 2 2 2 2" xfId="31422"/>
    <cellStyle name="差 2 7 2 3" xfId="31423"/>
    <cellStyle name="差 2 7 2 3 2" xfId="31424"/>
    <cellStyle name="差 2 7 3" xfId="31425"/>
    <cellStyle name="差 2 7 3 2" xfId="31426"/>
    <cellStyle name="差 2 7 3 2 2" xfId="31427"/>
    <cellStyle name="差 2 7 4" xfId="31428"/>
    <cellStyle name="差 2 7 4 2" xfId="31429"/>
    <cellStyle name="差 2 8" xfId="31430"/>
    <cellStyle name="差 2 8 2" xfId="31431"/>
    <cellStyle name="差 2 8 2 2" xfId="31432"/>
    <cellStyle name="差 2 8 2 2 2" xfId="31433"/>
    <cellStyle name="差 2 8 2 2 2 2" xfId="31434"/>
    <cellStyle name="差 2 8 2 3" xfId="31435"/>
    <cellStyle name="差 2 8 2 3 2" xfId="31436"/>
    <cellStyle name="差 2 8 3" xfId="31437"/>
    <cellStyle name="差 2 8 3 2" xfId="31438"/>
    <cellStyle name="差 2 8 3 2 2" xfId="31439"/>
    <cellStyle name="差 2 8 4" xfId="31440"/>
    <cellStyle name="差 2 8 4 2" xfId="31441"/>
    <cellStyle name="差 2 9" xfId="31442"/>
    <cellStyle name="差 2 9 2" xfId="31443"/>
    <cellStyle name="差 2 9 2 2" xfId="31444"/>
    <cellStyle name="差 2 9 2 2 2" xfId="31445"/>
    <cellStyle name="差 2 9 3" xfId="31446"/>
    <cellStyle name="差 2 9 3 2" xfId="31447"/>
    <cellStyle name="差 3" xfId="31448"/>
    <cellStyle name="差 3 2" xfId="31449"/>
    <cellStyle name="差 3 2 2" xfId="31450"/>
    <cellStyle name="差 3 2 2 2" xfId="31451"/>
    <cellStyle name="差 3 2 2 2 2" xfId="31452"/>
    <cellStyle name="差 3 2 2 2 3" xfId="31453"/>
    <cellStyle name="差 3 2 2 2 3 2" xfId="31454"/>
    <cellStyle name="差 3 2 2 2 3 2 2" xfId="31455"/>
    <cellStyle name="差 3 2 2 2 4" xfId="31456"/>
    <cellStyle name="差 3 2 2 2 4 2" xfId="31457"/>
    <cellStyle name="差 3 2 2 3" xfId="31458"/>
    <cellStyle name="差 3 2 2 3 2" xfId="31459"/>
    <cellStyle name="差 3 2 2 3 2 2" xfId="31460"/>
    <cellStyle name="差 3 2 2 3 2 2 2" xfId="31461"/>
    <cellStyle name="差 3 2 2 3 3" xfId="31462"/>
    <cellStyle name="差 3 2 2 3 3 2" xfId="31463"/>
    <cellStyle name="差 3 2 2 4" xfId="31464"/>
    <cellStyle name="差 3 2 2 5" xfId="31465"/>
    <cellStyle name="差 3 2 2 6" xfId="31466"/>
    <cellStyle name="差 3 2 3" xfId="31467"/>
    <cellStyle name="差 3 2 3 2" xfId="31468"/>
    <cellStyle name="差 3 2 3 3" xfId="31469"/>
    <cellStyle name="差 3 2 3 3 2" xfId="31470"/>
    <cellStyle name="差 3 2 3 3 2 2" xfId="31471"/>
    <cellStyle name="差 3 2 3 4" xfId="31472"/>
    <cellStyle name="差 3 2 3 4 2" xfId="31473"/>
    <cellStyle name="差 3 2 4" xfId="31474"/>
    <cellStyle name="差 3 2 4 2" xfId="31475"/>
    <cellStyle name="差 3 2 4 2 2" xfId="31476"/>
    <cellStyle name="差 3 2 4 2 2 2" xfId="31477"/>
    <cellStyle name="差 3 2 4 3" xfId="31478"/>
    <cellStyle name="差 3 2 4 3 2" xfId="31479"/>
    <cellStyle name="差 3 2 5" xfId="31480"/>
    <cellStyle name="差 3 2 6" xfId="31481"/>
    <cellStyle name="差 3 2 7" xfId="31482"/>
    <cellStyle name="差 3 3" xfId="31483"/>
    <cellStyle name="差 3 3 2" xfId="31484"/>
    <cellStyle name="差 3 3 2 2" xfId="31485"/>
    <cellStyle name="差 3 3 2 3" xfId="31486"/>
    <cellStyle name="差 3 3 2 3 2" xfId="31487"/>
    <cellStyle name="差 3 3 2 3 2 2" xfId="31488"/>
    <cellStyle name="差 3 3 2 4" xfId="31489"/>
    <cellStyle name="差 3 3 2 4 2" xfId="31490"/>
    <cellStyle name="差 3 3 3" xfId="31491"/>
    <cellStyle name="差 3 3 3 2" xfId="31492"/>
    <cellStyle name="差 3 3 3 2 2" xfId="31493"/>
    <cellStyle name="差 3 3 3 2 2 2" xfId="31494"/>
    <cellStyle name="差 3 3 3 3" xfId="31495"/>
    <cellStyle name="差 3 3 3 3 2" xfId="31496"/>
    <cellStyle name="差 3 3 4" xfId="31497"/>
    <cellStyle name="差 3 3 5" xfId="31498"/>
    <cellStyle name="差 3 3 6" xfId="31499"/>
    <cellStyle name="差 3 4" xfId="31500"/>
    <cellStyle name="差 3 4 2" xfId="31501"/>
    <cellStyle name="差 3 4 2 2" xfId="31502"/>
    <cellStyle name="差 3 4 2 3" xfId="31503"/>
    <cellStyle name="差 3 4 2 3 2" xfId="31504"/>
    <cellStyle name="差 3 4 2 3 2 2" xfId="31505"/>
    <cellStyle name="差 3 4 2 4" xfId="31506"/>
    <cellStyle name="差 3 4 2 4 2" xfId="31507"/>
    <cellStyle name="差 3 4 3" xfId="31508"/>
    <cellStyle name="差 3 4 4" xfId="31509"/>
    <cellStyle name="差 3 4 5" xfId="31510"/>
    <cellStyle name="差 3 4 6" xfId="31511"/>
    <cellStyle name="差 3 5" xfId="31512"/>
    <cellStyle name="差 3 5 2" xfId="31513"/>
    <cellStyle name="差 3 5 2 2" xfId="31514"/>
    <cellStyle name="差 3 5 2 2 2" xfId="31515"/>
    <cellStyle name="差 3 5 2 2 2 2" xfId="31516"/>
    <cellStyle name="差 3 5 2 3" xfId="31517"/>
    <cellStyle name="差 3 5 2 3 2" xfId="31518"/>
    <cellStyle name="差 3 5 3" xfId="31519"/>
    <cellStyle name="差 3 5 3 2" xfId="31520"/>
    <cellStyle name="差 3 5 3 2 2" xfId="31521"/>
    <cellStyle name="差 3 5 4" xfId="31522"/>
    <cellStyle name="差 3 5 4 2" xfId="31523"/>
    <cellStyle name="差 3 6" xfId="31524"/>
    <cellStyle name="差 3 6 2" xfId="31525"/>
    <cellStyle name="差 3 6 2 2" xfId="31526"/>
    <cellStyle name="差 3 6 2 2 2" xfId="31527"/>
    <cellStyle name="差 3 6 3" xfId="31528"/>
    <cellStyle name="差 3 6 3 2" xfId="31529"/>
    <cellStyle name="差 3 7" xfId="31530"/>
    <cellStyle name="差 3 8" xfId="31531"/>
    <cellStyle name="差_报关单" xfId="31532"/>
    <cellStyle name="常规 10" xfId="31533"/>
    <cellStyle name="常规 10 10" xfId="31534"/>
    <cellStyle name="常规 10 10 2" xfId="31535"/>
    <cellStyle name="常规 10 10 3" xfId="31536"/>
    <cellStyle name="常规 10 13" xfId="31537"/>
    <cellStyle name="常规 10 2" xfId="31538"/>
    <cellStyle name="常规 10 2 2" xfId="31539"/>
    <cellStyle name="常规 10 2 2 2" xfId="31540"/>
    <cellStyle name="常规 10 2 2 2 2" xfId="31541"/>
    <cellStyle name="常规 10 2 2 2 3" xfId="31542"/>
    <cellStyle name="常规 10 2 2 2 4" xfId="31543"/>
    <cellStyle name="常规 10 2 2 2 5" xfId="31544"/>
    <cellStyle name="常规 10 2 2 2 5 2" xfId="31545"/>
    <cellStyle name="常规 10 2 2 3" xfId="31546"/>
    <cellStyle name="常规 10 2 2 3 2" xfId="31547"/>
    <cellStyle name="常规 10 2 2 3 2 2" xfId="31548"/>
    <cellStyle name="常规 10 2 2 4" xfId="31549"/>
    <cellStyle name="常规 10 2 2 4 2" xfId="31550"/>
    <cellStyle name="常规 10 2 2 4 2 2" xfId="31551"/>
    <cellStyle name="常规 10 2 2 5" xfId="31552"/>
    <cellStyle name="常规 10 2 2 5 2" xfId="31553"/>
    <cellStyle name="常规 10 2 2 5 3" xfId="31554"/>
    <cellStyle name="常规 10 2 2 6" xfId="31555"/>
    <cellStyle name="常规 10 2 2 6 2" xfId="31556"/>
    <cellStyle name="常规 10 2 2 7" xfId="31557"/>
    <cellStyle name="常规 10 2 3" xfId="31558"/>
    <cellStyle name="常规 10 2 3 2" xfId="31559"/>
    <cellStyle name="常规 10 2 3 2 2" xfId="31560"/>
    <cellStyle name="常规 10 2 3 2 3" xfId="31561"/>
    <cellStyle name="常规 10 2 3 2 4" xfId="31562"/>
    <cellStyle name="常规 10 2 3 3" xfId="31563"/>
    <cellStyle name="常规 10 2 3 4" xfId="31564"/>
    <cellStyle name="常规 10 2 3 5" xfId="31565"/>
    <cellStyle name="常规 10 2 3 6" xfId="31566"/>
    <cellStyle name="常规 10 2 3 6 2" xfId="31567"/>
    <cellStyle name="常规 10 2 4" xfId="31568"/>
    <cellStyle name="常规 10 2 4 2" xfId="31569"/>
    <cellStyle name="常规 10 2 4 3" xfId="31570"/>
    <cellStyle name="常规 10 2 4 4" xfId="31571"/>
    <cellStyle name="常规 10 2 4 5" xfId="31572"/>
    <cellStyle name="常规 10 2 4 5 2" xfId="31573"/>
    <cellStyle name="常规 10 2 5" xfId="31574"/>
    <cellStyle name="常规 10 2 5 2" xfId="31575"/>
    <cellStyle name="常规 10 2 5 2 2" xfId="31576"/>
    <cellStyle name="常规 10 2 6" xfId="31577"/>
    <cellStyle name="常规 10 2 6 2" xfId="31578"/>
    <cellStyle name="常规 10 2 6 2 2" xfId="31579"/>
    <cellStyle name="常规 10 2 7" xfId="31580"/>
    <cellStyle name="常规 10 2 7 2" xfId="31581"/>
    <cellStyle name="常规 10 2 7 2 2" xfId="31582"/>
    <cellStyle name="常规 10 2 8" xfId="31583"/>
    <cellStyle name="常规 10 2 8 2" xfId="31584"/>
    <cellStyle name="常规 10 2 8 3" xfId="31585"/>
    <cellStyle name="常规 10 2 9" xfId="31586"/>
    <cellStyle name="常规 10 3" xfId="31587"/>
    <cellStyle name="常规 10 3 2" xfId="31588"/>
    <cellStyle name="常规 10 3 2 2" xfId="31589"/>
    <cellStyle name="常规 10 3 2 2 2" xfId="31590"/>
    <cellStyle name="常规 10 3 2 2 2 2" xfId="31591"/>
    <cellStyle name="常规 10 3 2 3" xfId="31592"/>
    <cellStyle name="常规 10 3 2 3 2" xfId="31593"/>
    <cellStyle name="常规 10 3 2 3 2 2" xfId="31594"/>
    <cellStyle name="常规 10 3 2 4" xfId="31595"/>
    <cellStyle name="常规 10 3 2 4 2" xfId="31596"/>
    <cellStyle name="常规 10 3 2 4 2 2" xfId="31597"/>
    <cellStyle name="常规 10 3 2 5" xfId="31598"/>
    <cellStyle name="常规 10 3 2 5 2" xfId="31599"/>
    <cellStyle name="常规 10 3 2 5 3" xfId="31600"/>
    <cellStyle name="常规 10 3 2 6" xfId="31601"/>
    <cellStyle name="常规 10 3 3" xfId="31602"/>
    <cellStyle name="常规 10 3 3 2" xfId="31603"/>
    <cellStyle name="常规 10 3 3 2 2" xfId="31604"/>
    <cellStyle name="常规 10 3 3 2 2 2" xfId="31605"/>
    <cellStyle name="常规 10 3 3 3" xfId="31606"/>
    <cellStyle name="常规 10 3 3 3 2" xfId="31607"/>
    <cellStyle name="常规 10 3 3 3 2 2" xfId="31608"/>
    <cellStyle name="常规 10 3 3 4" xfId="31609"/>
    <cellStyle name="常规 10 3 3 4 2" xfId="31610"/>
    <cellStyle name="常规 10 3 3 5" xfId="31611"/>
    <cellStyle name="常规 10 3 4" xfId="31612"/>
    <cellStyle name="常规 10 3 4 2" xfId="31613"/>
    <cellStyle name="常规 10 3 4 2 2" xfId="31614"/>
    <cellStyle name="常规 10 3 5" xfId="31615"/>
    <cellStyle name="常规 10 3 5 2" xfId="31616"/>
    <cellStyle name="常规 10 3 5 2 2" xfId="31617"/>
    <cellStyle name="常规 10 3 6" xfId="31618"/>
    <cellStyle name="常规 10 3 7" xfId="31619"/>
    <cellStyle name="常规 10 3 7 2" xfId="31620"/>
    <cellStyle name="常规 10 3 7 3" xfId="31621"/>
    <cellStyle name="常规 10 3 8" xfId="31622"/>
    <cellStyle name="常规 10 3 8 2" xfId="31623"/>
    <cellStyle name="常规 10 4" xfId="31624"/>
    <cellStyle name="常规 10 4 2" xfId="31625"/>
    <cellStyle name="常规 10 4 2 2" xfId="31626"/>
    <cellStyle name="常规 10 4 2 3" xfId="31627"/>
    <cellStyle name="常规 10 4 2 4" xfId="31628"/>
    <cellStyle name="常规 10 4 2 5" xfId="31629"/>
    <cellStyle name="常规 10 4 2 5 2" xfId="31630"/>
    <cellStyle name="常规 10 4 3" xfId="31631"/>
    <cellStyle name="常规 10 4 3 2" xfId="31632"/>
    <cellStyle name="常规 10 4 3 2 2" xfId="31633"/>
    <cellStyle name="常规 10 4 4" xfId="31634"/>
    <cellStyle name="常规 10 4 4 2" xfId="31635"/>
    <cellStyle name="常规 10 4 4 2 2" xfId="31636"/>
    <cellStyle name="常规 10 4 5" xfId="31637"/>
    <cellStyle name="常规 10 4 5 2" xfId="31638"/>
    <cellStyle name="常规 10 4 5 3" xfId="31639"/>
    <cellStyle name="常规 10 4 6" xfId="31640"/>
    <cellStyle name="常规 10 4 6 2" xfId="31641"/>
    <cellStyle name="常规 10 4 7" xfId="31642"/>
    <cellStyle name="常规 10 5" xfId="31643"/>
    <cellStyle name="常规 10 5 2" xfId="31644"/>
    <cellStyle name="常规 10 5 3" xfId="31645"/>
    <cellStyle name="常规 10 5 4" xfId="31646"/>
    <cellStyle name="常规 10 5 5" xfId="31647"/>
    <cellStyle name="常规 10 5 5 2" xfId="31648"/>
    <cellStyle name="常规 10 6" xfId="31649"/>
    <cellStyle name="常规 10 6 2" xfId="31650"/>
    <cellStyle name="常规 10 6 2 2" xfId="31651"/>
    <cellStyle name="常规 10 7" xfId="31652"/>
    <cellStyle name="常规 10 7 2" xfId="31653"/>
    <cellStyle name="常规 10 7 2 2" xfId="31654"/>
    <cellStyle name="常规 10 8" xfId="31655"/>
    <cellStyle name="常规 10 8 2" xfId="31656"/>
    <cellStyle name="常规 10 8 2 2" xfId="31657"/>
    <cellStyle name="常规 10 9" xfId="31658"/>
    <cellStyle name="常规 10 9 2" xfId="31659"/>
    <cellStyle name="常规 10 9 3" xfId="31660"/>
    <cellStyle name="常规 11" xfId="31661"/>
    <cellStyle name="常规 11 10" xfId="31662"/>
    <cellStyle name="常规 11 2" xfId="31663"/>
    <cellStyle name="常规 11 2 2" xfId="31664"/>
    <cellStyle name="常规 11 2 2 2" xfId="31665"/>
    <cellStyle name="常规 11 2 2 2 2" xfId="31666"/>
    <cellStyle name="常规 11 2 2 2 3" xfId="31667"/>
    <cellStyle name="常规 11 2 2 2 4" xfId="31668"/>
    <cellStyle name="常规 11 2 2 2 5" xfId="31669"/>
    <cellStyle name="常规 11 2 2 2 5 2" xfId="31670"/>
    <cellStyle name="常规 11 2 2 3" xfId="31671"/>
    <cellStyle name="常规 11 2 2 3 2" xfId="31672"/>
    <cellStyle name="常规 11 2 2 3 2 2" xfId="31673"/>
    <cellStyle name="常规 11 2 2 4" xfId="31674"/>
    <cellStyle name="常规 11 2 2 4 2" xfId="31675"/>
    <cellStyle name="常规 11 2 2 4 2 2" xfId="31676"/>
    <cellStyle name="常规 11 2 2 5" xfId="31677"/>
    <cellStyle name="常规 11 2 2 5 2" xfId="31678"/>
    <cellStyle name="常规 11 2 2 5 3" xfId="31679"/>
    <cellStyle name="常规 11 2 2 6" xfId="31680"/>
    <cellStyle name="常规 11 2 2 6 2" xfId="31681"/>
    <cellStyle name="常规 11 2 2 7" xfId="31682"/>
    <cellStyle name="常规 11 2 3" xfId="31683"/>
    <cellStyle name="常规 11 2 3 2" xfId="31684"/>
    <cellStyle name="常规 11 2 3 2 2" xfId="31685"/>
    <cellStyle name="常规 11 2 3 2 3" xfId="31686"/>
    <cellStyle name="常规 11 2 3 2 4" xfId="31687"/>
    <cellStyle name="常规 11 2 3 3" xfId="31688"/>
    <cellStyle name="常规 11 2 3 4" xfId="31689"/>
    <cellStyle name="常规 11 2 3 5" xfId="31690"/>
    <cellStyle name="常规 11 2 3 6" xfId="31691"/>
    <cellStyle name="常规 11 2 3 6 2" xfId="31692"/>
    <cellStyle name="常规 11 2 4" xfId="31693"/>
    <cellStyle name="常规 11 2 4 2" xfId="31694"/>
    <cellStyle name="常规 11 2 4 3" xfId="31695"/>
    <cellStyle name="常规 11 2 4 4" xfId="31696"/>
    <cellStyle name="常规 11 2 4 5" xfId="31697"/>
    <cellStyle name="常规 11 2 4 5 2" xfId="31698"/>
    <cellStyle name="常规 11 2 5" xfId="31699"/>
    <cellStyle name="常规 11 2 5 2" xfId="31700"/>
    <cellStyle name="常规 11 2 5 2 2" xfId="31701"/>
    <cellStyle name="常规 11 2 6" xfId="31702"/>
    <cellStyle name="常规 11 2 6 2" xfId="31703"/>
    <cellStyle name="常规 11 2 6 2 2" xfId="31704"/>
    <cellStyle name="常规 11 2 7" xfId="31705"/>
    <cellStyle name="常规 11 2 7 2" xfId="31706"/>
    <cellStyle name="常规 11 2 7 2 2" xfId="31707"/>
    <cellStyle name="常规 11 2 8" xfId="31708"/>
    <cellStyle name="常规 11 2 8 2" xfId="31709"/>
    <cellStyle name="常规 11 2 8 3" xfId="31710"/>
    <cellStyle name="常规 11 2 9" xfId="31711"/>
    <cellStyle name="常规 11 3" xfId="31712"/>
    <cellStyle name="常规 11 3 2" xfId="31713"/>
    <cellStyle name="常规 11 3 2 2" xfId="31714"/>
    <cellStyle name="常规 11 3 2 2 2" xfId="31715"/>
    <cellStyle name="常规 11 3 2 2 2 2" xfId="31716"/>
    <cellStyle name="常规 11 3 2 3" xfId="31717"/>
    <cellStyle name="常规 11 3 2 3 2" xfId="31718"/>
    <cellStyle name="常规 11 3 2 3 2 2" xfId="31719"/>
    <cellStyle name="常规 11 3 2 4" xfId="31720"/>
    <cellStyle name="常规 11 3 2 4 2" xfId="31721"/>
    <cellStyle name="常规 11 3 2 4 2 2" xfId="31722"/>
    <cellStyle name="常规 11 3 2 5" xfId="31723"/>
    <cellStyle name="常规 11 3 2 5 2" xfId="31724"/>
    <cellStyle name="常规 11 3 2 5 3" xfId="31725"/>
    <cellStyle name="常规 11 3 2 6" xfId="31726"/>
    <cellStyle name="常规 11 3 3" xfId="31727"/>
    <cellStyle name="常规 11 3 3 2" xfId="31728"/>
    <cellStyle name="常规 11 3 3 2 2" xfId="31729"/>
    <cellStyle name="常规 11 3 3 2 2 2" xfId="31730"/>
    <cellStyle name="常规 11 3 3 3" xfId="31731"/>
    <cellStyle name="常规 11 3 3 3 2" xfId="31732"/>
    <cellStyle name="常规 11 3 3 3 2 2" xfId="31733"/>
    <cellStyle name="常规 11 3 3 4" xfId="31734"/>
    <cellStyle name="常规 11 3 3 4 2" xfId="31735"/>
    <cellStyle name="常规 11 3 3 5" xfId="31736"/>
    <cellStyle name="常规 11 3 4" xfId="31737"/>
    <cellStyle name="常规 11 3 4 2" xfId="31738"/>
    <cellStyle name="常规 11 3 4 2 2" xfId="31739"/>
    <cellStyle name="常规 11 3 5" xfId="31740"/>
    <cellStyle name="常规 11 3 5 2" xfId="31741"/>
    <cellStyle name="常规 11 3 5 2 2" xfId="31742"/>
    <cellStyle name="常规 11 3 6" xfId="31743"/>
    <cellStyle name="常规 11 3 7" xfId="31744"/>
    <cellStyle name="常规 11 3 7 2" xfId="31745"/>
    <cellStyle name="常规 11 3 7 3" xfId="31746"/>
    <cellStyle name="常规 11 3 8" xfId="31747"/>
    <cellStyle name="常规 11 3 8 2" xfId="31748"/>
    <cellStyle name="常规 11 4" xfId="31749"/>
    <cellStyle name="常规 11 4 2" xfId="31750"/>
    <cellStyle name="常规 11 4 2 2" xfId="31751"/>
    <cellStyle name="常规 11 4 2 2 2" xfId="31752"/>
    <cellStyle name="常规 11 4 2 2 2 2" xfId="31753"/>
    <cellStyle name="常规 11 4 2 2 3" xfId="31754"/>
    <cellStyle name="常规 11 4 2 3" xfId="31755"/>
    <cellStyle name="常规 11 4 2 3 2" xfId="31756"/>
    <cellStyle name="常规 11 4 2 3 2 2" xfId="31757"/>
    <cellStyle name="常规 11 4 2 4" xfId="31758"/>
    <cellStyle name="常规 11 4 2 4 2" xfId="31759"/>
    <cellStyle name="常规 11 4 2 4 3" xfId="31760"/>
    <cellStyle name="常规 11 4 2 5" xfId="31761"/>
    <cellStyle name="常规 11 4 2 5 2" xfId="31762"/>
    <cellStyle name="常规 11 4 2 6" xfId="31763"/>
    <cellStyle name="常规 11 4 3" xfId="31764"/>
    <cellStyle name="常规 11 4 3 2" xfId="31765"/>
    <cellStyle name="常规 11 4 3 2 2" xfId="31766"/>
    <cellStyle name="常规 11 4 4" xfId="31767"/>
    <cellStyle name="常规 11 4 4 2" xfId="31768"/>
    <cellStyle name="常规 11 4 4 2 2" xfId="31769"/>
    <cellStyle name="常规 11 4 5" xfId="31770"/>
    <cellStyle name="常规 11 4 5 2" xfId="31771"/>
    <cellStyle name="常规 11 4 5 2 2" xfId="31772"/>
    <cellStyle name="常规 11 4 6" xfId="31773"/>
    <cellStyle name="常规 11 4 6 2" xfId="31774"/>
    <cellStyle name="常规 11 4 6 3" xfId="31775"/>
    <cellStyle name="常规 11 4 7" xfId="31776"/>
    <cellStyle name="常规 11 5" xfId="31777"/>
    <cellStyle name="常规 11 5 2" xfId="31778"/>
    <cellStyle name="常规 11 5 2 2" xfId="31779"/>
    <cellStyle name="常规 11 5 2 2 2" xfId="31780"/>
    <cellStyle name="常规 11 5 2 3" xfId="31781"/>
    <cellStyle name="常规 11 5 3" xfId="31782"/>
    <cellStyle name="常规 11 5 3 2" xfId="31783"/>
    <cellStyle name="常规 11 5 3 2 2" xfId="31784"/>
    <cellStyle name="常规 11 5 4" xfId="31785"/>
    <cellStyle name="常规 11 5 4 2" xfId="31786"/>
    <cellStyle name="常规 11 5 4 3" xfId="31787"/>
    <cellStyle name="常规 11 5 5" xfId="31788"/>
    <cellStyle name="常规 11 5 5 2" xfId="31789"/>
    <cellStyle name="常规 11 5 6" xfId="31790"/>
    <cellStyle name="常规 11 6" xfId="31791"/>
    <cellStyle name="常规 11 6 2" xfId="31792"/>
    <cellStyle name="常规 11 6 2 2" xfId="31793"/>
    <cellStyle name="常规 11 7" xfId="31794"/>
    <cellStyle name="常规 11 7 2" xfId="31795"/>
    <cellStyle name="常规 11 7 2 2" xfId="31796"/>
    <cellStyle name="常规 11 8" xfId="31797"/>
    <cellStyle name="常规 11 8 2" xfId="31798"/>
    <cellStyle name="常规 11 8 2 2" xfId="31799"/>
    <cellStyle name="常规 11 9" xfId="31800"/>
    <cellStyle name="常规 11 9 2" xfId="31801"/>
    <cellStyle name="常规 11 9 3" xfId="31802"/>
    <cellStyle name="常规 12" xfId="31803"/>
    <cellStyle name="常规 12 10" xfId="31804"/>
    <cellStyle name="常规 12 10 2" xfId="31805"/>
    <cellStyle name="常规 12 11" xfId="31806"/>
    <cellStyle name="常规 12 2" xfId="31807"/>
    <cellStyle name="常规 12 2 10" xfId="31808"/>
    <cellStyle name="常规 12 2 2" xfId="31809"/>
    <cellStyle name="常规 12 2 2 2" xfId="31810"/>
    <cellStyle name="常规 12 2 2 2 2" xfId="31811"/>
    <cellStyle name="常规 12 2 2 2 2 2" xfId="31812"/>
    <cellStyle name="常规 12 2 2 2 2 3" xfId="31813"/>
    <cellStyle name="常规 12 2 2 2 2 4" xfId="31814"/>
    <cellStyle name="常规 12 2 2 2 3" xfId="31815"/>
    <cellStyle name="常规 12 2 2 2 4" xfId="31816"/>
    <cellStyle name="常规 12 2 2 2 5" xfId="31817"/>
    <cellStyle name="常规 12 2 2 3" xfId="31818"/>
    <cellStyle name="常规 12 2 2 3 2" xfId="31819"/>
    <cellStyle name="常规 12 2 2 3 2 2" xfId="31820"/>
    <cellStyle name="常规 12 2 2 3 2 3" xfId="31821"/>
    <cellStyle name="常规 12 2 2 3 2 4" xfId="31822"/>
    <cellStyle name="常规 12 2 2 3 3" xfId="31823"/>
    <cellStyle name="常规 12 2 2 3 4" xfId="31824"/>
    <cellStyle name="常规 12 2 2 3 5" xfId="31825"/>
    <cellStyle name="常规 12 2 2 4" xfId="31826"/>
    <cellStyle name="常规 12 2 2 4 2" xfId="31827"/>
    <cellStyle name="常规 12 2 2 4 3" xfId="31828"/>
    <cellStyle name="常规 12 2 2 4 4" xfId="31829"/>
    <cellStyle name="常规 12 2 2 5" xfId="31830"/>
    <cellStyle name="常规 12 2 2 6" xfId="31831"/>
    <cellStyle name="常规 12 2 2 7" xfId="31832"/>
    <cellStyle name="常规 12 2 2 8" xfId="31833"/>
    <cellStyle name="常规 12 2 2 8 2" xfId="31834"/>
    <cellStyle name="常规 12 2 3" xfId="31835"/>
    <cellStyle name="常规 12 2 3 2" xfId="31836"/>
    <cellStyle name="常规 12 2 3 2 2" xfId="31837"/>
    <cellStyle name="常规 12 2 3 2 3" xfId="31838"/>
    <cellStyle name="常规 12 2 3 2 4" xfId="31839"/>
    <cellStyle name="常规 12 2 3 3" xfId="31840"/>
    <cellStyle name="常规 12 2 3 4" xfId="31841"/>
    <cellStyle name="常规 12 2 3 5" xfId="31842"/>
    <cellStyle name="常规 12 2 3 6" xfId="31843"/>
    <cellStyle name="常规 12 2 3 6 2" xfId="31844"/>
    <cellStyle name="常规 12 2 4" xfId="31845"/>
    <cellStyle name="常规 12 2 4 2" xfId="31846"/>
    <cellStyle name="常规 12 2 4 2 2" xfId="31847"/>
    <cellStyle name="常规 12 2 4 2 3" xfId="31848"/>
    <cellStyle name="常规 12 2 4 2 4" xfId="31849"/>
    <cellStyle name="常规 12 2 4 2 5" xfId="31850"/>
    <cellStyle name="常规 12 2 4 3" xfId="31851"/>
    <cellStyle name="常规 12 2 4 4" xfId="31852"/>
    <cellStyle name="常规 12 2 4 5" xfId="31853"/>
    <cellStyle name="常规 12 2 4 6" xfId="31854"/>
    <cellStyle name="常规 12 2 5" xfId="31855"/>
    <cellStyle name="常规 12 2 5 2" xfId="31856"/>
    <cellStyle name="常规 12 2 5 2 2" xfId="31857"/>
    <cellStyle name="常规 12 2 5 3" xfId="31858"/>
    <cellStyle name="常规 12 2 5 4" xfId="31859"/>
    <cellStyle name="常规 12 2 5 5" xfId="31860"/>
    <cellStyle name="常规 12 2 6" xfId="31861"/>
    <cellStyle name="常规 12 2 7" xfId="31862"/>
    <cellStyle name="常规 12 2 8" xfId="31863"/>
    <cellStyle name="常规 12 2 9" xfId="31864"/>
    <cellStyle name="常规 12 2 9 2" xfId="31865"/>
    <cellStyle name="常规 12 3" xfId="31866"/>
    <cellStyle name="常规 12 3 2" xfId="31867"/>
    <cellStyle name="常规 12 3 2 2" xfId="31868"/>
    <cellStyle name="常规 12 3 2 2 2" xfId="31869"/>
    <cellStyle name="常规 12 3 2 2 3" xfId="31870"/>
    <cellStyle name="常规 12 3 2 2 4" xfId="31871"/>
    <cellStyle name="常规 12 3 2 2 5" xfId="31872"/>
    <cellStyle name="常规 12 3 2 3" xfId="31873"/>
    <cellStyle name="常规 12 3 2 4" xfId="31874"/>
    <cellStyle name="常规 12 3 2 5" xfId="31875"/>
    <cellStyle name="常规 12 3 2 6" xfId="31876"/>
    <cellStyle name="常规 12 3 2 6 2" xfId="31877"/>
    <cellStyle name="常规 12 3 2 7" xfId="31878"/>
    <cellStyle name="常规 12 3 3" xfId="31879"/>
    <cellStyle name="常规 12 3 3 2" xfId="31880"/>
    <cellStyle name="常规 12 3 3 2 2" xfId="31881"/>
    <cellStyle name="常规 12 3 3 2 3" xfId="31882"/>
    <cellStyle name="常规 12 3 3 2 4" xfId="31883"/>
    <cellStyle name="常规 12 3 3 2 5" xfId="31884"/>
    <cellStyle name="常规 12 3 3 3" xfId="31885"/>
    <cellStyle name="常规 12 3 3 4" xfId="31886"/>
    <cellStyle name="常规 12 3 3 5" xfId="31887"/>
    <cellStyle name="常规 12 3 3 6" xfId="31888"/>
    <cellStyle name="常规 12 3 4" xfId="31889"/>
    <cellStyle name="常规 12 3 4 2" xfId="31890"/>
    <cellStyle name="常规 12 3 4 2 2" xfId="31891"/>
    <cellStyle name="常规 12 3 4 3" xfId="31892"/>
    <cellStyle name="常规 12 3 4 4" xfId="31893"/>
    <cellStyle name="常规 12 3 4 5" xfId="31894"/>
    <cellStyle name="常规 12 3 5" xfId="31895"/>
    <cellStyle name="常规 12 3 5 2" xfId="31896"/>
    <cellStyle name="常规 12 3 6" xfId="31897"/>
    <cellStyle name="常规 12 3 7" xfId="31898"/>
    <cellStyle name="常规 12 3 8" xfId="31899"/>
    <cellStyle name="常规 12 3 8 2" xfId="31900"/>
    <cellStyle name="常规 12 3 9" xfId="31901"/>
    <cellStyle name="常规 12 4" xfId="31902"/>
    <cellStyle name="常规 12 4 2" xfId="31903"/>
    <cellStyle name="常规 12 4 2 2" xfId="31904"/>
    <cellStyle name="常规 12 4 2 3" xfId="31905"/>
    <cellStyle name="常规 12 4 2 4" xfId="31906"/>
    <cellStyle name="常规 12 4 3" xfId="31907"/>
    <cellStyle name="常规 12 4 4" xfId="31908"/>
    <cellStyle name="常规 12 4 5" xfId="31909"/>
    <cellStyle name="常规 12 4 6" xfId="31910"/>
    <cellStyle name="常规 12 4 6 2" xfId="31911"/>
    <cellStyle name="常规 12 5" xfId="31912"/>
    <cellStyle name="常规 12 5 2" xfId="31913"/>
    <cellStyle name="常规 12 5 2 2" xfId="31914"/>
    <cellStyle name="常规 12 5 2 3" xfId="31915"/>
    <cellStyle name="常规 12 5 2 4" xfId="31916"/>
    <cellStyle name="常规 12 5 3" xfId="31917"/>
    <cellStyle name="常规 12 5 4" xfId="31918"/>
    <cellStyle name="常规 12 5 5" xfId="31919"/>
    <cellStyle name="常规 12 5 6" xfId="31920"/>
    <cellStyle name="常规 12 5 6 2" xfId="31921"/>
    <cellStyle name="常规 12 6" xfId="31922"/>
    <cellStyle name="常规 12 6 2" xfId="31923"/>
    <cellStyle name="常规 12 6 3" xfId="31924"/>
    <cellStyle name="常规 12 6 4" xfId="31925"/>
    <cellStyle name="常规 12 6 5" xfId="31926"/>
    <cellStyle name="常规 12 6 5 2" xfId="31927"/>
    <cellStyle name="常规 12 7" xfId="31928"/>
    <cellStyle name="常规 12 7 2" xfId="31929"/>
    <cellStyle name="常规 12 7 2 2" xfId="31930"/>
    <cellStyle name="常规 12 8" xfId="31931"/>
    <cellStyle name="常规 12 8 2" xfId="31932"/>
    <cellStyle name="常规 12 8 3" xfId="31933"/>
    <cellStyle name="常规 12 9" xfId="31934"/>
    <cellStyle name="常规 13" xfId="31935"/>
    <cellStyle name="常规 13 2" xfId="31936"/>
    <cellStyle name="常规 13 2 2" xfId="31937"/>
    <cellStyle name="常规 13 2 2 2" xfId="31938"/>
    <cellStyle name="常规 13 2 2 3" xfId="31939"/>
    <cellStyle name="常规 13 2 2 4" xfId="31940"/>
    <cellStyle name="常规 13 2 2 5" xfId="31941"/>
    <cellStyle name="常规 13 2 2 5 2" xfId="31942"/>
    <cellStyle name="常规 13 2 3" xfId="31943"/>
    <cellStyle name="常规 13 2 3 2" xfId="31944"/>
    <cellStyle name="常规 13 2 3 2 2" xfId="31945"/>
    <cellStyle name="常规 13 2 4" xfId="31946"/>
    <cellStyle name="常规 13 2 4 2" xfId="31947"/>
    <cellStyle name="常规 13 2 4 2 2" xfId="31948"/>
    <cellStyle name="常规 13 2 5" xfId="31949"/>
    <cellStyle name="常规 13 2 5 2" xfId="31950"/>
    <cellStyle name="常规 13 2 5 3" xfId="31951"/>
    <cellStyle name="常规 13 2 6" xfId="31952"/>
    <cellStyle name="常规 13 2 6 2" xfId="31953"/>
    <cellStyle name="常规 13 2 7" xfId="31954"/>
    <cellStyle name="常规 13 3" xfId="31955"/>
    <cellStyle name="常规 13 3 2" xfId="31956"/>
    <cellStyle name="常规 13 3 2 2" xfId="31957"/>
    <cellStyle name="常规 13 3 2 3" xfId="31958"/>
    <cellStyle name="常规 13 3 2 4" xfId="31959"/>
    <cellStyle name="常规 13 3 3" xfId="31960"/>
    <cellStyle name="常规 13 3 4" xfId="31961"/>
    <cellStyle name="常规 13 3 5" xfId="31962"/>
    <cellStyle name="常规 13 3 6" xfId="31963"/>
    <cellStyle name="常规 13 3 6 2" xfId="31964"/>
    <cellStyle name="常规 13 4" xfId="31965"/>
    <cellStyle name="常规 13 4 2" xfId="31966"/>
    <cellStyle name="常规 13 4 3" xfId="31967"/>
    <cellStyle name="常规 13 4 4" xfId="31968"/>
    <cellStyle name="常规 13 4 5" xfId="31969"/>
    <cellStyle name="常规 13 4 5 2" xfId="31970"/>
    <cellStyle name="常规 13 5" xfId="31971"/>
    <cellStyle name="常规 13 5 2" xfId="31972"/>
    <cellStyle name="常规 13 5 2 2" xfId="31973"/>
    <cellStyle name="常规 13 6" xfId="31974"/>
    <cellStyle name="常规 13 6 2" xfId="31975"/>
    <cellStyle name="常规 13 6 2 2" xfId="31976"/>
    <cellStyle name="常规 13 7" xfId="31977"/>
    <cellStyle name="常规 13 7 2" xfId="31978"/>
    <cellStyle name="常规 13 7 2 2" xfId="31979"/>
    <cellStyle name="常规 13 8" xfId="31980"/>
    <cellStyle name="常规 13 8 2" xfId="31981"/>
    <cellStyle name="常规 13 8 3" xfId="31982"/>
    <cellStyle name="常规 13 9" xfId="31983"/>
    <cellStyle name="常规 14" xfId="31984"/>
    <cellStyle name="常规 14 2" xfId="31985"/>
    <cellStyle name="常规 14 2 2" xfId="31986"/>
    <cellStyle name="常规 14 2 2 2" xfId="31987"/>
    <cellStyle name="常规 14 2 2 3" xfId="31988"/>
    <cellStyle name="常规 14 2 2 4" xfId="31989"/>
    <cellStyle name="常规 14 2 2 5" xfId="31990"/>
    <cellStyle name="常规 14 2 2 5 2" xfId="31991"/>
    <cellStyle name="常规 14 2 3" xfId="31992"/>
    <cellStyle name="常规 14 2 3 2" xfId="31993"/>
    <cellStyle name="常规 14 2 3 2 2" xfId="31994"/>
    <cellStyle name="常规 14 2 4" xfId="31995"/>
    <cellStyle name="常规 14 2 4 2" xfId="31996"/>
    <cellStyle name="常规 14 2 4 2 2" xfId="31997"/>
    <cellStyle name="常规 14 2 5" xfId="31998"/>
    <cellStyle name="常规 14 2 5 2" xfId="31999"/>
    <cellStyle name="常规 14 2 5 3" xfId="32000"/>
    <cellStyle name="常规 14 2 6" xfId="32001"/>
    <cellStyle name="常规 14 2 6 2" xfId="32002"/>
    <cellStyle name="常规 14 2 7" xfId="32003"/>
    <cellStyle name="常规 14 3" xfId="32004"/>
    <cellStyle name="常规 14 3 2" xfId="32005"/>
    <cellStyle name="常规 14 3 2 2" xfId="32006"/>
    <cellStyle name="常规 14 3 2 3" xfId="32007"/>
    <cellStyle name="常规 14 3 2 4" xfId="32008"/>
    <cellStyle name="常规 14 3 3" xfId="32009"/>
    <cellStyle name="常规 14 3 4" xfId="32010"/>
    <cellStyle name="常规 14 3 5" xfId="32011"/>
    <cellStyle name="常规 14 3 6" xfId="32012"/>
    <cellStyle name="常规 14 3 6 2" xfId="32013"/>
    <cellStyle name="常规 14 4" xfId="32014"/>
    <cellStyle name="常规 14 4 2" xfId="32015"/>
    <cellStyle name="常规 14 4 3" xfId="32016"/>
    <cellStyle name="常规 14 4 4" xfId="32017"/>
    <cellStyle name="常规 14 4 5" xfId="32018"/>
    <cellStyle name="常规 14 4 5 2" xfId="32019"/>
    <cellStyle name="常规 14 5" xfId="32020"/>
    <cellStyle name="常规 14 5 2" xfId="32021"/>
    <cellStyle name="常规 14 5 2 2" xfId="32022"/>
    <cellStyle name="常规 14 6" xfId="32023"/>
    <cellStyle name="常规 14 6 2" xfId="32024"/>
    <cellStyle name="常规 14 6 2 2" xfId="32025"/>
    <cellStyle name="常规 14 7" xfId="32026"/>
    <cellStyle name="常规 14 7 2" xfId="32027"/>
    <cellStyle name="常规 14 7 2 2" xfId="32028"/>
    <cellStyle name="常规 14 8" xfId="32029"/>
    <cellStyle name="常规 14 8 2" xfId="32030"/>
    <cellStyle name="常规 14 8 3" xfId="32031"/>
    <cellStyle name="常规 14 9" xfId="32032"/>
    <cellStyle name="常规 15" xfId="32033"/>
    <cellStyle name="常规 15 2" xfId="32034"/>
    <cellStyle name="常规 15 2 2" xfId="32035"/>
    <cellStyle name="常规 15 2 2 2" xfId="32036"/>
    <cellStyle name="常规 15 2 2 3" xfId="32037"/>
    <cellStyle name="常规 15 2 2 4" xfId="32038"/>
    <cellStyle name="常规 15 2 2 5" xfId="32039"/>
    <cellStyle name="常规 15 2 2 5 2" xfId="32040"/>
    <cellStyle name="常规 15 2 3" xfId="32041"/>
    <cellStyle name="常规 15 2 3 2" xfId="32042"/>
    <cellStyle name="常规 15 2 3 2 2" xfId="32043"/>
    <cellStyle name="常规 15 2 4" xfId="32044"/>
    <cellStyle name="常规 15 2 4 2" xfId="32045"/>
    <cellStyle name="常规 15 2 4 2 2" xfId="32046"/>
    <cellStyle name="常规 15 2 5" xfId="32047"/>
    <cellStyle name="常规 15 2 5 2" xfId="32048"/>
    <cellStyle name="常规 15 2 5 3" xfId="32049"/>
    <cellStyle name="常规 15 2 6" xfId="32050"/>
    <cellStyle name="常规 15 2 6 2" xfId="32051"/>
    <cellStyle name="常规 15 2 7" xfId="32052"/>
    <cellStyle name="常规 15 3" xfId="32053"/>
    <cellStyle name="常规 15 3 2" xfId="32054"/>
    <cellStyle name="常规 15 3 2 2" xfId="32055"/>
    <cellStyle name="常规 15 3 2 3" xfId="32056"/>
    <cellStyle name="常规 15 3 2 4" xfId="32057"/>
    <cellStyle name="常规 15 3 3" xfId="32058"/>
    <cellStyle name="常规 15 3 4" xfId="32059"/>
    <cellStyle name="常规 15 3 5" xfId="32060"/>
    <cellStyle name="常规 15 3 6" xfId="32061"/>
    <cellStyle name="常规 15 3 6 2" xfId="32062"/>
    <cellStyle name="常规 15 4" xfId="32063"/>
    <cellStyle name="常规 15 4 2" xfId="32064"/>
    <cellStyle name="常规 15 4 3" xfId="32065"/>
    <cellStyle name="常规 15 4 4" xfId="32066"/>
    <cellStyle name="常规 15 4 5" xfId="32067"/>
    <cellStyle name="常规 15 4 5 2" xfId="32068"/>
    <cellStyle name="常规 15 5" xfId="32069"/>
    <cellStyle name="常规 15 5 2" xfId="32070"/>
    <cellStyle name="常规 15 5 2 2" xfId="32071"/>
    <cellStyle name="常规 15 6" xfId="32072"/>
    <cellStyle name="常规 15 6 2" xfId="32073"/>
    <cellStyle name="常规 15 6 2 2" xfId="32074"/>
    <cellStyle name="常规 15 7" xfId="32075"/>
    <cellStyle name="常规 15 7 2" xfId="32076"/>
    <cellStyle name="常规 15 7 2 2" xfId="32077"/>
    <cellStyle name="常规 15 8" xfId="32078"/>
    <cellStyle name="常规 15 8 2" xfId="32079"/>
    <cellStyle name="常规 15 8 3" xfId="32080"/>
    <cellStyle name="常规 15 9" xfId="32081"/>
    <cellStyle name="常规 16" xfId="32082"/>
    <cellStyle name="常规 16 2" xfId="32083"/>
    <cellStyle name="常规 16 2 2" xfId="32084"/>
    <cellStyle name="常规 16 2 2 2" xfId="32085"/>
    <cellStyle name="常规 16 2 2 2 2" xfId="32086"/>
    <cellStyle name="常规 16 2 3" xfId="32087"/>
    <cellStyle name="常规 16 2 3 2" xfId="32088"/>
    <cellStyle name="常规 16 2 3 2 2" xfId="32089"/>
    <cellStyle name="常规 16 2 4" xfId="32090"/>
    <cellStyle name="常规 16 2 4 2" xfId="32091"/>
    <cellStyle name="常规 16 2 4 2 2" xfId="32092"/>
    <cellStyle name="常规 16 2 5" xfId="32093"/>
    <cellStyle name="常规 16 2 5 2" xfId="32094"/>
    <cellStyle name="常规 16 2 5 3" xfId="32095"/>
    <cellStyle name="常规 16 2 6" xfId="32096"/>
    <cellStyle name="常规 16 3" xfId="32097"/>
    <cellStyle name="常规 16 3 2" xfId="32098"/>
    <cellStyle name="常规 16 3 2 2" xfId="32099"/>
    <cellStyle name="常规 16 4" xfId="32100"/>
    <cellStyle name="常规 16 4 2" xfId="32101"/>
    <cellStyle name="常规 16 4 2 2" xfId="32102"/>
    <cellStyle name="常规 16 5" xfId="32103"/>
    <cellStyle name="常规 16 5 2" xfId="32104"/>
    <cellStyle name="常规 16 5 2 2" xfId="32105"/>
    <cellStyle name="常规 16 6" xfId="32106"/>
    <cellStyle name="常规 16 6 2" xfId="32107"/>
    <cellStyle name="常规 16 6 3" xfId="32108"/>
    <cellStyle name="常规 16 7" xfId="32109"/>
    <cellStyle name="常规 16 7 2" xfId="32110"/>
    <cellStyle name="常规 17" xfId="32111"/>
    <cellStyle name="常规 17 2" xfId="32112"/>
    <cellStyle name="常规 17 2 2" xfId="32113"/>
    <cellStyle name="常规 17 2 3" xfId="32114"/>
    <cellStyle name="常规 17 2 3 2" xfId="32115"/>
    <cellStyle name="常规 17 2 3 2 2" xfId="32116"/>
    <cellStyle name="常规 17 2 3 3" xfId="32117"/>
    <cellStyle name="常规 17 2 4" xfId="32118"/>
    <cellStyle name="常规 17 2 4 2" xfId="32119"/>
    <cellStyle name="常规 17 2 4 2 2" xfId="32120"/>
    <cellStyle name="常规 17 2 5" xfId="32121"/>
    <cellStyle name="常规 17 2 5 2" xfId="32122"/>
    <cellStyle name="常规 17 2 6" xfId="32123"/>
    <cellStyle name="常规 17 3" xfId="32124"/>
    <cellStyle name="常规 17 3 2" xfId="32125"/>
    <cellStyle name="常规 17 3 2 2" xfId="32126"/>
    <cellStyle name="常规 17 4" xfId="32127"/>
    <cellStyle name="常规 17 4 2" xfId="32128"/>
    <cellStyle name="常规 17 4 2 2" xfId="32129"/>
    <cellStyle name="常规 17 5" xfId="32130"/>
    <cellStyle name="常规 17 5 2" xfId="32131"/>
    <cellStyle name="常规 17 5 2 2" xfId="32132"/>
    <cellStyle name="常规 17 6" xfId="32133"/>
    <cellStyle name="常规 17 6 2" xfId="32134"/>
    <cellStyle name="常规 17 6 2 2" xfId="32135"/>
    <cellStyle name="常规 17 6 3" xfId="32136"/>
    <cellStyle name="常规 17 7" xfId="32137"/>
    <cellStyle name="常规 17 7 2" xfId="32138"/>
    <cellStyle name="常规 17 8" xfId="32139"/>
    <cellStyle name="常规 18" xfId="32140"/>
    <cellStyle name="常规 18 2" xfId="32141"/>
    <cellStyle name="常规 18 2 2" xfId="32142"/>
    <cellStyle name="常规 18 2 2 2" xfId="32143"/>
    <cellStyle name="常规 18 3" xfId="32144"/>
    <cellStyle name="常规 18 3 2" xfId="32145"/>
    <cellStyle name="常规 18 3 2 2" xfId="32146"/>
    <cellStyle name="常规 18 4" xfId="32147"/>
    <cellStyle name="常规 18 5" xfId="32148"/>
    <cellStyle name="常规 18 5 2" xfId="32149"/>
    <cellStyle name="常规 18 5 2 2" xfId="32150"/>
    <cellStyle name="常规 18 5 3" xfId="32151"/>
    <cellStyle name="常规 18 6" xfId="32152"/>
    <cellStyle name="常规 18 6 2" xfId="32153"/>
    <cellStyle name="常规 18 7" xfId="32154"/>
    <cellStyle name="常规 18 7 2" xfId="32155"/>
    <cellStyle name="常规 19" xfId="32156"/>
    <cellStyle name="常规 19 2" xfId="32157"/>
    <cellStyle name="常规 19 2 2" xfId="32158"/>
    <cellStyle name="常规 19 2 2 2" xfId="32159"/>
    <cellStyle name="常规 19 2 2 3" xfId="32160"/>
    <cellStyle name="常规 19 2 3" xfId="32161"/>
    <cellStyle name="常规 19 2 3 2" xfId="32162"/>
    <cellStyle name="常规 19 2 4" xfId="32163"/>
    <cellStyle name="常规 19 2 5" xfId="32164"/>
    <cellStyle name="常规 19 3" xfId="32165"/>
    <cellStyle name="常规 19 3 2" xfId="32166"/>
    <cellStyle name="常规 19 3 2 2" xfId="32167"/>
    <cellStyle name="常规 19 4" xfId="32168"/>
    <cellStyle name="常规 19 4 2" xfId="32169"/>
    <cellStyle name="常规 19 4 2 2" xfId="32170"/>
    <cellStyle name="常规 19 4 3" xfId="32171"/>
    <cellStyle name="常规 19 5" xfId="32172"/>
    <cellStyle name="常规 19 5 2" xfId="32173"/>
    <cellStyle name="常规 19 5 3" xfId="32174"/>
    <cellStyle name="常规 19 6" xfId="32175"/>
    <cellStyle name="常规 19 7" xfId="32176"/>
    <cellStyle name="常规 2" xfId="32177"/>
    <cellStyle name="常规 2 10" xfId="32178"/>
    <cellStyle name="常规 2 10 10" xfId="32179"/>
    <cellStyle name="常规 2 10 2" xfId="32180"/>
    <cellStyle name="常规 2 10 2 2" xfId="32181"/>
    <cellStyle name="常规 2 10 2 2 2" xfId="32182"/>
    <cellStyle name="常规 2 10 2 2 2 2" xfId="32183"/>
    <cellStyle name="常规 2 10 2 2 2 3" xfId="32184"/>
    <cellStyle name="常规 2 10 2 2 2 4" xfId="32185"/>
    <cellStyle name="常规 2 10 2 2 2 5" xfId="32186"/>
    <cellStyle name="常规 2 10 2 2 2 5 2" xfId="32187"/>
    <cellStyle name="常规 2 10 2 2 3" xfId="32188"/>
    <cellStyle name="常规 2 10 2 2 3 2" xfId="32189"/>
    <cellStyle name="常规 2 10 2 2 3 2 2" xfId="32190"/>
    <cellStyle name="常规 2 10 2 2 4" xfId="32191"/>
    <cellStyle name="常规 2 10 2 2 4 2" xfId="32192"/>
    <cellStyle name="常规 2 10 2 2 4 2 2" xfId="32193"/>
    <cellStyle name="常规 2 10 2 2 5" xfId="32194"/>
    <cellStyle name="常规 2 10 2 2 5 2" xfId="32195"/>
    <cellStyle name="常规 2 10 2 2 5 3" xfId="32196"/>
    <cellStyle name="常规 2 10 2 2 6" xfId="32197"/>
    <cellStyle name="常规 2 10 2 2 6 2" xfId="32198"/>
    <cellStyle name="常规 2 10 2 2 7" xfId="32199"/>
    <cellStyle name="常规 2 10 2 3" xfId="32200"/>
    <cellStyle name="常规 2 10 2 3 2" xfId="32201"/>
    <cellStyle name="常规 2 10 2 3 2 2" xfId="32202"/>
    <cellStyle name="常规 2 10 2 3 2 2 2" xfId="32203"/>
    <cellStyle name="常规 2 10 2 3 2 3" xfId="32204"/>
    <cellStyle name="常规 2 10 2 3 2 4" xfId="32205"/>
    <cellStyle name="常规 2 10 2 3 2 5" xfId="32206"/>
    <cellStyle name="常规 2 10 2 3 2 5 2" xfId="32207"/>
    <cellStyle name="常规 2 10 2 3 2 6" xfId="32208"/>
    <cellStyle name="常规 2 10 2 3 3" xfId="32209"/>
    <cellStyle name="常规 2 10 2 3 3 2" xfId="32210"/>
    <cellStyle name="常规 2 10 2 3 3 2 2" xfId="32211"/>
    <cellStyle name="常规 2 10 2 3 4" xfId="32212"/>
    <cellStyle name="常规 2 10 2 3 4 2" xfId="32213"/>
    <cellStyle name="常规 2 10 2 3 4 3" xfId="32214"/>
    <cellStyle name="常规 2 10 2 3 5" xfId="32215"/>
    <cellStyle name="常规 2 10 2 3 5 2" xfId="32216"/>
    <cellStyle name="常规 2 10 2 3 6" xfId="32217"/>
    <cellStyle name="常规 2 10 2 3 6 2" xfId="32218"/>
    <cellStyle name="常规 2 10 2 3 7" xfId="32219"/>
    <cellStyle name="常规 2 10 2 4" xfId="32220"/>
    <cellStyle name="常规 2 10 2 4 2" xfId="32221"/>
    <cellStyle name="常规 2 10 2 4 3" xfId="32222"/>
    <cellStyle name="常规 2 10 2 4 4" xfId="32223"/>
    <cellStyle name="常规 2 10 2 4 5" xfId="32224"/>
    <cellStyle name="常规 2 10 2 4 5 2" xfId="32225"/>
    <cellStyle name="常规 2 10 2 5" xfId="32226"/>
    <cellStyle name="常规 2 10 2 5 2" xfId="32227"/>
    <cellStyle name="常规 2 10 2 5 2 2" xfId="32228"/>
    <cellStyle name="常规 2 10 2 6" xfId="32229"/>
    <cellStyle name="常规 2 10 2 6 2" xfId="32230"/>
    <cellStyle name="常规 2 10 2 6 2 2" xfId="32231"/>
    <cellStyle name="常规 2 10 2 7" xfId="32232"/>
    <cellStyle name="常规 2 10 2 7 2" xfId="32233"/>
    <cellStyle name="常规 2 10 2 7 2 2" xfId="32234"/>
    <cellStyle name="常规 2 10 2 8" xfId="32235"/>
    <cellStyle name="常规 2 10 2 8 2" xfId="32236"/>
    <cellStyle name="常规 2 10 2 8 3" xfId="32237"/>
    <cellStyle name="常规 2 10 2 9" xfId="32238"/>
    <cellStyle name="常规 2 10 3" xfId="32239"/>
    <cellStyle name="常规 2 10 3 2" xfId="32240"/>
    <cellStyle name="常规 2 10 3 2 2" xfId="32241"/>
    <cellStyle name="常规 2 10 3 2 3" xfId="32242"/>
    <cellStyle name="常规 2 10 3 2 4" xfId="32243"/>
    <cellStyle name="常规 2 10 3 2 5" xfId="32244"/>
    <cellStyle name="常规 2 10 3 2 5 2" xfId="32245"/>
    <cellStyle name="常规 2 10 3 3" xfId="32246"/>
    <cellStyle name="常规 2 10 3 3 2" xfId="32247"/>
    <cellStyle name="常规 2 10 3 3 2 2" xfId="32248"/>
    <cellStyle name="常规 2 10 3 4" xfId="32249"/>
    <cellStyle name="常规 2 10 3 4 2" xfId="32250"/>
    <cellStyle name="常规 2 10 3 4 2 2" xfId="32251"/>
    <cellStyle name="常规 2 10 3 5" xfId="32252"/>
    <cellStyle name="常规 2 10 3 5 2" xfId="32253"/>
    <cellStyle name="常规 2 10 3 5 3" xfId="32254"/>
    <cellStyle name="常规 2 10 3 6" xfId="32255"/>
    <cellStyle name="常规 2 10 3 6 2" xfId="32256"/>
    <cellStyle name="常规 2 10 3 7" xfId="32257"/>
    <cellStyle name="常规 2 10 4" xfId="32258"/>
    <cellStyle name="常规 2 10 4 2" xfId="32259"/>
    <cellStyle name="常规 2 10 4 2 2" xfId="32260"/>
    <cellStyle name="常规 2 10 4 2 3" xfId="32261"/>
    <cellStyle name="常规 2 10 4 2 4" xfId="32262"/>
    <cellStyle name="常规 2 10 4 3" xfId="32263"/>
    <cellStyle name="常规 2 10 4 4" xfId="32264"/>
    <cellStyle name="常规 2 10 4 5" xfId="32265"/>
    <cellStyle name="常规 2 10 4 6" xfId="32266"/>
    <cellStyle name="常规 2 10 4 6 2" xfId="32267"/>
    <cellStyle name="常规 2 10 5" xfId="32268"/>
    <cellStyle name="常规 2 10 5 2" xfId="32269"/>
    <cellStyle name="常规 2 10 5 3" xfId="32270"/>
    <cellStyle name="常规 2 10 5 4" xfId="32271"/>
    <cellStyle name="常规 2 10 5 5" xfId="32272"/>
    <cellStyle name="常规 2 10 5 5 2" xfId="32273"/>
    <cellStyle name="常规 2 10 6" xfId="32274"/>
    <cellStyle name="常规 2 10 6 2" xfId="32275"/>
    <cellStyle name="常规 2 10 6 2 2" xfId="32276"/>
    <cellStyle name="常规 2 10 7" xfId="32277"/>
    <cellStyle name="常规 2 10 7 2" xfId="32278"/>
    <cellStyle name="常规 2 10 7 2 2" xfId="32279"/>
    <cellStyle name="常规 2 10 8" xfId="32280"/>
    <cellStyle name="常规 2 10 8 2" xfId="32281"/>
    <cellStyle name="常规 2 10 8 2 2" xfId="32282"/>
    <cellStyle name="常规 2 10 9" xfId="32283"/>
    <cellStyle name="常规 2 10 9 2" xfId="32284"/>
    <cellStyle name="常规 2 10 9 3" xfId="32285"/>
    <cellStyle name="常规 2 11" xfId="32286"/>
    <cellStyle name="常规 2 11 10" xfId="32287"/>
    <cellStyle name="常规 2 11 2" xfId="32288"/>
    <cellStyle name="常规 2 11 2 2" xfId="32289"/>
    <cellStyle name="常规 2 11 2 2 2" xfId="32290"/>
    <cellStyle name="常规 2 11 2 2 2 2" xfId="32291"/>
    <cellStyle name="常规 2 11 2 2 2 3" xfId="32292"/>
    <cellStyle name="常规 2 11 2 2 2 4" xfId="32293"/>
    <cellStyle name="常规 2 11 2 2 3" xfId="32294"/>
    <cellStyle name="常规 2 11 2 2 4" xfId="32295"/>
    <cellStyle name="常规 2 11 2 2 5" xfId="32296"/>
    <cellStyle name="常规 2 11 2 2 6" xfId="32297"/>
    <cellStyle name="常规 2 11 2 2 6 2" xfId="32298"/>
    <cellStyle name="常规 2 11 2 3" xfId="32299"/>
    <cellStyle name="常规 2 11 2 3 2" xfId="32300"/>
    <cellStyle name="常规 2 11 2 3 2 2" xfId="32301"/>
    <cellStyle name="常规 2 11 2 3 2 3" xfId="32302"/>
    <cellStyle name="常规 2 11 2 3 2 4" xfId="32303"/>
    <cellStyle name="常规 2 11 2 3 3" xfId="32304"/>
    <cellStyle name="常规 2 11 2 3 4" xfId="32305"/>
    <cellStyle name="常规 2 11 2 3 5" xfId="32306"/>
    <cellStyle name="常规 2 11 2 3 6" xfId="32307"/>
    <cellStyle name="常规 2 11 2 3 6 2" xfId="32308"/>
    <cellStyle name="常规 2 11 2 4" xfId="32309"/>
    <cellStyle name="常规 2 11 2 4 2" xfId="32310"/>
    <cellStyle name="常规 2 11 2 4 2 2" xfId="32311"/>
    <cellStyle name="常规 2 11 2 4 3" xfId="32312"/>
    <cellStyle name="常规 2 11 2 4 4" xfId="32313"/>
    <cellStyle name="常规 2 11 2 4 5" xfId="32314"/>
    <cellStyle name="常规 2 11 2 5" xfId="32315"/>
    <cellStyle name="常规 2 11 2 5 2" xfId="32316"/>
    <cellStyle name="常规 2 11 2 5 3" xfId="32317"/>
    <cellStyle name="常规 2 11 2 6" xfId="32318"/>
    <cellStyle name="常规 2 11 2 7" xfId="32319"/>
    <cellStyle name="常规 2 11 2 8" xfId="32320"/>
    <cellStyle name="常规 2 11 2 8 2" xfId="32321"/>
    <cellStyle name="常规 2 11 2 9" xfId="32322"/>
    <cellStyle name="常规 2 11 3" xfId="32323"/>
    <cellStyle name="常规 2 11 3 2" xfId="32324"/>
    <cellStyle name="常规 2 11 3 2 2" xfId="32325"/>
    <cellStyle name="常规 2 11 3 2 2 2" xfId="32326"/>
    <cellStyle name="常规 2 11 3 2 3" xfId="32327"/>
    <cellStyle name="常规 2 11 3 2 4" xfId="32328"/>
    <cellStyle name="常规 2 11 3 2 5" xfId="32329"/>
    <cellStyle name="常规 2 11 3 2 5 2" xfId="32330"/>
    <cellStyle name="常规 2 11 3 2 6" xfId="32331"/>
    <cellStyle name="常规 2 11 3 3" xfId="32332"/>
    <cellStyle name="常规 2 11 3 3 2" xfId="32333"/>
    <cellStyle name="常规 2 11 3 3 2 2" xfId="32334"/>
    <cellStyle name="常规 2 11 3 4" xfId="32335"/>
    <cellStyle name="常规 2 11 3 4 2" xfId="32336"/>
    <cellStyle name="常规 2 11 3 4 3" xfId="32337"/>
    <cellStyle name="常规 2 11 3 5" xfId="32338"/>
    <cellStyle name="常规 2 11 3 5 2" xfId="32339"/>
    <cellStyle name="常规 2 11 3 6" xfId="32340"/>
    <cellStyle name="常规 2 11 3 6 2" xfId="32341"/>
    <cellStyle name="常规 2 11 3 7" xfId="32342"/>
    <cellStyle name="常规 2 11 4" xfId="32343"/>
    <cellStyle name="常规 2 11 4 2" xfId="32344"/>
    <cellStyle name="常规 2 11 4 2 2" xfId="32345"/>
    <cellStyle name="常规 2 11 4 2 3" xfId="32346"/>
    <cellStyle name="常规 2 11 4 2 4" xfId="32347"/>
    <cellStyle name="常规 2 11 4 3" xfId="32348"/>
    <cellStyle name="常规 2 11 4 4" xfId="32349"/>
    <cellStyle name="常规 2 11 4 5" xfId="32350"/>
    <cellStyle name="常规 2 11 4 6" xfId="32351"/>
    <cellStyle name="常规 2 11 4 6 2" xfId="32352"/>
    <cellStyle name="常规 2 11 5" xfId="32353"/>
    <cellStyle name="常规 2 11 5 2" xfId="32354"/>
    <cellStyle name="常规 2 11 5 3" xfId="32355"/>
    <cellStyle name="常规 2 11 5 4" xfId="32356"/>
    <cellStyle name="常规 2 11 5 5" xfId="32357"/>
    <cellStyle name="常规 2 11 5 5 2" xfId="32358"/>
    <cellStyle name="常规 2 11 6" xfId="32359"/>
    <cellStyle name="常规 2 11 6 2" xfId="32360"/>
    <cellStyle name="常规 2 11 6 2 2" xfId="32361"/>
    <cellStyle name="常规 2 11 7" xfId="32362"/>
    <cellStyle name="常规 2 11 7 2" xfId="32363"/>
    <cellStyle name="常规 2 11 7 2 2" xfId="32364"/>
    <cellStyle name="常规 2 11 8" xfId="32365"/>
    <cellStyle name="常规 2 11 8 2" xfId="32366"/>
    <cellStyle name="常规 2 11 8 3" xfId="32367"/>
    <cellStyle name="常规 2 11 9" xfId="32368"/>
    <cellStyle name="常规 2 11 9 2" xfId="32369"/>
    <cellStyle name="常规 2 12" xfId="32370"/>
    <cellStyle name="常规 2 12 2" xfId="32371"/>
    <cellStyle name="常规 2 12 2 2" xfId="32372"/>
    <cellStyle name="常规 2 12 2 2 2" xfId="32373"/>
    <cellStyle name="常规 2 12 2 2 3" xfId="32374"/>
    <cellStyle name="常规 2 12 2 2 4" xfId="32375"/>
    <cellStyle name="常规 2 12 2 2 5" xfId="32376"/>
    <cellStyle name="常规 2 12 2 2 5 2" xfId="32377"/>
    <cellStyle name="常规 2 12 2 3" xfId="32378"/>
    <cellStyle name="常规 2 12 2 3 2" xfId="32379"/>
    <cellStyle name="常规 2 12 2 3 2 2" xfId="32380"/>
    <cellStyle name="常规 2 12 2 4" xfId="32381"/>
    <cellStyle name="常规 2 12 2 4 2" xfId="32382"/>
    <cellStyle name="常规 2 12 2 4 2 2" xfId="32383"/>
    <cellStyle name="常规 2 12 2 5" xfId="32384"/>
    <cellStyle name="常规 2 12 2 5 2" xfId="32385"/>
    <cellStyle name="常规 2 12 2 5 3" xfId="32386"/>
    <cellStyle name="常规 2 12 2 6" xfId="32387"/>
    <cellStyle name="常规 2 12 2 6 2" xfId="32388"/>
    <cellStyle name="常规 2 12 2 7" xfId="32389"/>
    <cellStyle name="常规 2 12 3" xfId="32390"/>
    <cellStyle name="常规 2 12 3 2" xfId="32391"/>
    <cellStyle name="常规 2 12 3 2 2" xfId="32392"/>
    <cellStyle name="常规 2 12 3 2 3" xfId="32393"/>
    <cellStyle name="常规 2 12 3 2 4" xfId="32394"/>
    <cellStyle name="常规 2 12 3 3" xfId="32395"/>
    <cellStyle name="常规 2 12 3 4" xfId="32396"/>
    <cellStyle name="常规 2 12 3 5" xfId="32397"/>
    <cellStyle name="常规 2 12 3 6" xfId="32398"/>
    <cellStyle name="常规 2 12 3 6 2" xfId="32399"/>
    <cellStyle name="常规 2 12 4" xfId="32400"/>
    <cellStyle name="常规 2 12 4 2" xfId="32401"/>
    <cellStyle name="常规 2 12 4 3" xfId="32402"/>
    <cellStyle name="常规 2 12 4 4" xfId="32403"/>
    <cellStyle name="常规 2 12 4 5" xfId="32404"/>
    <cellStyle name="常规 2 12 4 5 2" xfId="32405"/>
    <cellStyle name="常规 2 12 5" xfId="32406"/>
    <cellStyle name="常规 2 12 5 2" xfId="32407"/>
    <cellStyle name="常规 2 12 5 2 2" xfId="32408"/>
    <cellStyle name="常规 2 12 6" xfId="32409"/>
    <cellStyle name="常规 2 12 6 2" xfId="32410"/>
    <cellStyle name="常规 2 12 6 2 2" xfId="32411"/>
    <cellStyle name="常规 2 12 7" xfId="32412"/>
    <cellStyle name="常规 2 12 7 2" xfId="32413"/>
    <cellStyle name="常规 2 12 7 2 2" xfId="32414"/>
    <cellStyle name="常规 2 12 8" xfId="32415"/>
    <cellStyle name="常规 2 12 8 2" xfId="32416"/>
    <cellStyle name="常规 2 12 8 3" xfId="32417"/>
    <cellStyle name="常规 2 12 9" xfId="32418"/>
    <cellStyle name="常规 2 13" xfId="32419"/>
    <cellStyle name="常规 2 13 2" xfId="32420"/>
    <cellStyle name="常规 2 13 2 2" xfId="32421"/>
    <cellStyle name="常规 2 13 2 2 2" xfId="32422"/>
    <cellStyle name="常规 2 13 2 2 2 2" xfId="32423"/>
    <cellStyle name="常规 2 13 2 3" xfId="32424"/>
    <cellStyle name="常规 2 13 2 3 2" xfId="32425"/>
    <cellStyle name="常规 2 13 2 3 2 2" xfId="32426"/>
    <cellStyle name="常规 2 13 2 4" xfId="32427"/>
    <cellStyle name="常规 2 13 2 4 2" xfId="32428"/>
    <cellStyle name="常规 2 13 2 4 2 2" xfId="32429"/>
    <cellStyle name="常规 2 13 2 5" xfId="32430"/>
    <cellStyle name="常规 2 13 2 5 2" xfId="32431"/>
    <cellStyle name="常规 2 13 2 5 3" xfId="32432"/>
    <cellStyle name="常规 2 13 2 6" xfId="32433"/>
    <cellStyle name="常规 2 13 3" xfId="32434"/>
    <cellStyle name="常规 2 13 3 2" xfId="32435"/>
    <cellStyle name="常规 2 13 3 2 2" xfId="32436"/>
    <cellStyle name="常规 2 13 4" xfId="32437"/>
    <cellStyle name="常规 2 13 4 2" xfId="32438"/>
    <cellStyle name="常规 2 13 4 2 2" xfId="32439"/>
    <cellStyle name="常规 2 13 5" xfId="32440"/>
    <cellStyle name="常规 2 13 5 2" xfId="32441"/>
    <cellStyle name="常规 2 13 5 2 2" xfId="32442"/>
    <cellStyle name="常规 2 13 6" xfId="32443"/>
    <cellStyle name="常规 2 13 7" xfId="32444"/>
    <cellStyle name="常规 2 13 7 2" xfId="32445"/>
    <cellStyle name="常规 2 13 7 3" xfId="32446"/>
    <cellStyle name="常规 2 13 8" xfId="32447"/>
    <cellStyle name="常规 2 13 8 2" xfId="32448"/>
    <cellStyle name="常规 2 14" xfId="32449"/>
    <cellStyle name="常规 2 14 2" xfId="32450"/>
    <cellStyle name="常规 2 14 2 2" xfId="32451"/>
    <cellStyle name="常规 2 14 2 2 2" xfId="32452"/>
    <cellStyle name="常规 2 14 2 2 2 2" xfId="32453"/>
    <cellStyle name="常规 2 14 2 3" xfId="32454"/>
    <cellStyle name="常规 2 14 2 4" xfId="32455"/>
    <cellStyle name="常规 2 14 2 5" xfId="32456"/>
    <cellStyle name="常规 2 14 2 5 2" xfId="32457"/>
    <cellStyle name="常规 2 14 3" xfId="32458"/>
    <cellStyle name="常规 2 14 3 2" xfId="32459"/>
    <cellStyle name="常规 2 14 3 2 2" xfId="32460"/>
    <cellStyle name="常规 2 14 4" xfId="32461"/>
    <cellStyle name="常规 2 14 4 2" xfId="32462"/>
    <cellStyle name="常规 2 14 4 2 2" xfId="32463"/>
    <cellStyle name="常规 2 14 5" xfId="32464"/>
    <cellStyle name="常规 2 14 6" xfId="32465"/>
    <cellStyle name="常规 2 14 6 2" xfId="32466"/>
    <cellStyle name="常规 2 14 7" xfId="32467"/>
    <cellStyle name="常规 2 15" xfId="32468"/>
    <cellStyle name="常规 2 15 2" xfId="32469"/>
    <cellStyle name="常规 2 15 2 2" xfId="32470"/>
    <cellStyle name="常规 2 15 2 2 2" xfId="32471"/>
    <cellStyle name="常规 2 15 2 2 2 2" xfId="32472"/>
    <cellStyle name="常规 2 15 2 3" xfId="32473"/>
    <cellStyle name="常规 2 15 2 3 2" xfId="32474"/>
    <cellStyle name="常规 2 15 2 3 2 2" xfId="32475"/>
    <cellStyle name="常规 2 15 2 4" xfId="32476"/>
    <cellStyle name="常规 2 15 2 4 2" xfId="32477"/>
    <cellStyle name="常规 2 15 2 4 2 2" xfId="32478"/>
    <cellStyle name="常规 2 15 2 5" xfId="32479"/>
    <cellStyle name="常规 2 15 2 5 2" xfId="32480"/>
    <cellStyle name="常规 2 15 2 5 3" xfId="32481"/>
    <cellStyle name="常规 2 15 2 6" xfId="32482"/>
    <cellStyle name="常规 2 15 3" xfId="32483"/>
    <cellStyle name="常规 2 15 3 2" xfId="32484"/>
    <cellStyle name="常规 2 15 3 2 2" xfId="32485"/>
    <cellStyle name="常规 2 15 4" xfId="32486"/>
    <cellStyle name="常规 2 15 4 2" xfId="32487"/>
    <cellStyle name="常规 2 15 4 2 2" xfId="32488"/>
    <cellStyle name="常规 2 15 5" xfId="32489"/>
    <cellStyle name="常规 2 15 5 2" xfId="32490"/>
    <cellStyle name="常规 2 15 5 2 2" xfId="32491"/>
    <cellStyle name="常规 2 15 6" xfId="32492"/>
    <cellStyle name="常规 2 15 6 2" xfId="32493"/>
    <cellStyle name="常规 2 15 6 3" xfId="32494"/>
    <cellStyle name="常规 2 15 7" xfId="32495"/>
    <cellStyle name="常规 2 15 7 2" xfId="32496"/>
    <cellStyle name="常规 2 16" xfId="32497"/>
    <cellStyle name="常规 2 16 2" xfId="32498"/>
    <cellStyle name="常规 2 16 2 2" xfId="32499"/>
    <cellStyle name="常规 2 16 2 2 2" xfId="32500"/>
    <cellStyle name="常规 2 16 2 2 2 2" xfId="32501"/>
    <cellStyle name="常规 2 16 2 2 3" xfId="32502"/>
    <cellStyle name="常规 2 16 2 3" xfId="32503"/>
    <cellStyle name="常规 2 16 2 3 2" xfId="32504"/>
    <cellStyle name="常规 2 16 2 3 2 2" xfId="32505"/>
    <cellStyle name="常规 2 16 2 4" xfId="32506"/>
    <cellStyle name="常规 2 16 2 4 2" xfId="32507"/>
    <cellStyle name="常规 2 16 2 4 3" xfId="32508"/>
    <cellStyle name="常规 2 16 2 5" xfId="32509"/>
    <cellStyle name="常规 2 16 2 5 2" xfId="32510"/>
    <cellStyle name="常规 2 16 2 6" xfId="32511"/>
    <cellStyle name="常规 2 16 3" xfId="32512"/>
    <cellStyle name="常规 2 16 3 2" xfId="32513"/>
    <cellStyle name="常规 2 16 3 2 2" xfId="32514"/>
    <cellStyle name="常规 2 16 4" xfId="32515"/>
    <cellStyle name="常规 2 16 4 2" xfId="32516"/>
    <cellStyle name="常规 2 16 4 2 2" xfId="32517"/>
    <cellStyle name="常规 2 16 5" xfId="32518"/>
    <cellStyle name="常规 2 16 5 2" xfId="32519"/>
    <cellStyle name="常规 2 16 5 3" xfId="32520"/>
    <cellStyle name="常规 2 16 6" xfId="32521"/>
    <cellStyle name="常规 2 16 6 2" xfId="32522"/>
    <cellStyle name="常规 2 16 7" xfId="32523"/>
    <cellStyle name="常规 2 17" xfId="32524"/>
    <cellStyle name="常规 2 17 2" xfId="32525"/>
    <cellStyle name="常规 2 17 2 2" xfId="32526"/>
    <cellStyle name="常规 2 17 2 2 2" xfId="32527"/>
    <cellStyle name="常规 2 17 2 2 2 2" xfId="32528"/>
    <cellStyle name="常规 2 17 2 3" xfId="32529"/>
    <cellStyle name="常规 2 17 2 3 2" xfId="32530"/>
    <cellStyle name="常规 2 17 2 3 2 2" xfId="32531"/>
    <cellStyle name="常规 2 17 2 4" xfId="32532"/>
    <cellStyle name="常规 2 17 2 4 2" xfId="32533"/>
    <cellStyle name="常规 2 17 2 4 3" xfId="32534"/>
    <cellStyle name="常规 2 17 2 5" xfId="32535"/>
    <cellStyle name="常规 2 17 2 5 2" xfId="32536"/>
    <cellStyle name="常规 2 17 2 6" xfId="32537"/>
    <cellStyle name="常规 2 17 3" xfId="32538"/>
    <cellStyle name="常规 2 17 3 2" xfId="32539"/>
    <cellStyle name="常规 2 17 3 2 2" xfId="32540"/>
    <cellStyle name="常规 2 17 4" xfId="32541"/>
    <cellStyle name="常规 2 17 4 2" xfId="32542"/>
    <cellStyle name="常规 2 17 4 2 2" xfId="32543"/>
    <cellStyle name="常规 2 17 5" xfId="32544"/>
    <cellStyle name="常规 2 17 5 2" xfId="32545"/>
    <cellStyle name="常规 2 17 5 3" xfId="32546"/>
    <cellStyle name="常规 2 17 6" xfId="32547"/>
    <cellStyle name="常规 2 17 6 2" xfId="32548"/>
    <cellStyle name="常规 2 17 7" xfId="32549"/>
    <cellStyle name="常规 2 18" xfId="32550"/>
    <cellStyle name="常规 2 18 2" xfId="32551"/>
    <cellStyle name="常规 2 18 2 2" xfId="32552"/>
    <cellStyle name="常规 2 18 2 2 2" xfId="32553"/>
    <cellStyle name="常规 2 18 2 3" xfId="32554"/>
    <cellStyle name="常规 2 18 3" xfId="32555"/>
    <cellStyle name="常规 2 18 3 2" xfId="32556"/>
    <cellStyle name="常规 2 18 3 2 2" xfId="32557"/>
    <cellStyle name="常规 2 18 4" xfId="32558"/>
    <cellStyle name="常规 2 18 4 2" xfId="32559"/>
    <cellStyle name="常规 2 18 4 3" xfId="32560"/>
    <cellStyle name="常规 2 18 5" xfId="32561"/>
    <cellStyle name="常规 2 18 5 2" xfId="32562"/>
    <cellStyle name="常规 2 18 6" xfId="32563"/>
    <cellStyle name="常规 2 19" xfId="32564"/>
    <cellStyle name="常规 2 19 2" xfId="32565"/>
    <cellStyle name="常规 2 19 2 2" xfId="32566"/>
    <cellStyle name="常规 2 19 2 2 2" xfId="32567"/>
    <cellStyle name="常规 2 19 3" xfId="32568"/>
    <cellStyle name="常规 2 19 3 2" xfId="32569"/>
    <cellStyle name="常规 2 19 3 2 2" xfId="32570"/>
    <cellStyle name="常规 2 19 4" xfId="32571"/>
    <cellStyle name="常规 2 19 4 2" xfId="32572"/>
    <cellStyle name="常规 2 19 5" xfId="32573"/>
    <cellStyle name="常规 2 2" xfId="32574"/>
    <cellStyle name="常规 2 2 10" xfId="32575"/>
    <cellStyle name="常规 2 2 10 2" xfId="32576"/>
    <cellStyle name="常规 2 2 10 2 2" xfId="32577"/>
    <cellStyle name="常规 2 2 10 2 3" xfId="32578"/>
    <cellStyle name="常规 2 2 10 2 4" xfId="32579"/>
    <cellStyle name="常规 2 2 10 2 4 2" xfId="32580"/>
    <cellStyle name="常规 2 2 10 2 4 3" xfId="32581"/>
    <cellStyle name="常规 2 2 10 2 5" xfId="32582"/>
    <cellStyle name="常规 2 2 10 2 5 2" xfId="32583"/>
    <cellStyle name="常规 2 2 10 3" xfId="32584"/>
    <cellStyle name="常规 2 2 10 3 2" xfId="32585"/>
    <cellStyle name="常规 2 2 10 3 2 2" xfId="32586"/>
    <cellStyle name="常规 2 2 10 4" xfId="32587"/>
    <cellStyle name="常规 2 2 10 4 2" xfId="32588"/>
    <cellStyle name="常规 2 2 10 4 2 2" xfId="32589"/>
    <cellStyle name="常规 2 2 10 5" xfId="32590"/>
    <cellStyle name="常规 2 2 10 6" xfId="32591"/>
    <cellStyle name="常规 2 2 10 7" xfId="32592"/>
    <cellStyle name="常规 2 2 10 7 2" xfId="32593"/>
    <cellStyle name="常规 2 2 10 7 3" xfId="32594"/>
    <cellStyle name="常规 2 2 10 8" xfId="32595"/>
    <cellStyle name="常规 2 2 10 8 2" xfId="32596"/>
    <cellStyle name="常规 2 2 11" xfId="32597"/>
    <cellStyle name="常规 2 2 11 2" xfId="32598"/>
    <cellStyle name="常规 2 2 11 2 2" xfId="32599"/>
    <cellStyle name="常规 2 2 11 3" xfId="32600"/>
    <cellStyle name="常规 2 2 11 4" xfId="32601"/>
    <cellStyle name="常规 2 2 11 5" xfId="32602"/>
    <cellStyle name="常规 2 2 11 5 2" xfId="32603"/>
    <cellStyle name="常规 2 2 11 6" xfId="32604"/>
    <cellStyle name="常规 2 2 12" xfId="32605"/>
    <cellStyle name="常规 2 2 12 2" xfId="32606"/>
    <cellStyle name="常规 2 2 12 3" xfId="32607"/>
    <cellStyle name="常规 2 2 12 3 2" xfId="32608"/>
    <cellStyle name="常规 2 2 12 3 2 2" xfId="32609"/>
    <cellStyle name="常规 2 2 12 4" xfId="32610"/>
    <cellStyle name="常规 2 2 12 4 2" xfId="32611"/>
    <cellStyle name="常规 2 2 12 4 3" xfId="32612"/>
    <cellStyle name="常规 2 2 13" xfId="32613"/>
    <cellStyle name="常规 2 2 13 2" xfId="32614"/>
    <cellStyle name="常规 2 2 13 2 2" xfId="32615"/>
    <cellStyle name="常规 2 2 13 2 2 2" xfId="32616"/>
    <cellStyle name="常规 2 2 13 2 2 2 2" xfId="32617"/>
    <cellStyle name="常规 2 2 13 2 3" xfId="32618"/>
    <cellStyle name="常规 2 2 13 2 3 2" xfId="32619"/>
    <cellStyle name="常规 2 2 13 2 4" xfId="32620"/>
    <cellStyle name="常规 2 2 13 2 4 2" xfId="32621"/>
    <cellStyle name="常规 2 2 13 2 5" xfId="32622"/>
    <cellStyle name="常规 2 2 13 3" xfId="32623"/>
    <cellStyle name="常规 2 2 13 4" xfId="32624"/>
    <cellStyle name="常规 2 2 13 4 2" xfId="32625"/>
    <cellStyle name="常规 2 2 13 4 2 2" xfId="32626"/>
    <cellStyle name="常规 2 2 13 4 3" xfId="32627"/>
    <cellStyle name="常规 2 2 13 5" xfId="32628"/>
    <cellStyle name="常规 2 2 13 5 2" xfId="32629"/>
    <cellStyle name="常规 2 2 13 5 2 2" xfId="32630"/>
    <cellStyle name="常规 2 2 13 6" xfId="32631"/>
    <cellStyle name="常规 2 2 13 6 2" xfId="32632"/>
    <cellStyle name="常规 2 2 13 7" xfId="32633"/>
    <cellStyle name="常规 2 2 14" xfId="32634"/>
    <cellStyle name="常规 2 2 14 2" xfId="32635"/>
    <cellStyle name="常规 2 2 14 2 2" xfId="32636"/>
    <cellStyle name="常规 2 2 14 2 2 2" xfId="32637"/>
    <cellStyle name="常规 2 2 14 2 2 2 2" xfId="32638"/>
    <cellStyle name="常规 2 2 14 2 3" xfId="32639"/>
    <cellStyle name="常规 2 2 14 2 3 2" xfId="32640"/>
    <cellStyle name="常规 2 2 14 2 4" xfId="32641"/>
    <cellStyle name="常规 2 2 14 2 4 2" xfId="32642"/>
    <cellStyle name="常规 2 2 14 2 5" xfId="32643"/>
    <cellStyle name="常规 2 2 14 3" xfId="32644"/>
    <cellStyle name="常规 2 2 14 3 2" xfId="32645"/>
    <cellStyle name="常规 2 2 14 3 2 2" xfId="32646"/>
    <cellStyle name="常规 2 2 14 4" xfId="32647"/>
    <cellStyle name="常规 2 2 14 4 2" xfId="32648"/>
    <cellStyle name="常规 2 2 14 5" xfId="32649"/>
    <cellStyle name="常规 2 2 14 5 2" xfId="32650"/>
    <cellStyle name="常规 2 2 14 6" xfId="32651"/>
    <cellStyle name="常规 2 2 15" xfId="32652"/>
    <cellStyle name="常规 2 2 15 2" xfId="32653"/>
    <cellStyle name="常规 2 2 15 2 2" xfId="32654"/>
    <cellStyle name="常规 2 2 15 2 2 2" xfId="32655"/>
    <cellStyle name="常规 2 2 15 2 2 2 2" xfId="32656"/>
    <cellStyle name="常规 2 2 15 2 3" xfId="32657"/>
    <cellStyle name="常规 2 2 15 2 3 2" xfId="32658"/>
    <cellStyle name="常规 2 2 15 2 4" xfId="32659"/>
    <cellStyle name="常规 2 2 15 2 4 2" xfId="32660"/>
    <cellStyle name="常规 2 2 15 2 5" xfId="32661"/>
    <cellStyle name="常规 2 2 15 3" xfId="32662"/>
    <cellStyle name="常规 2 2 15 3 2" xfId="32663"/>
    <cellStyle name="常规 2 2 15 3 2 2" xfId="32664"/>
    <cellStyle name="常规 2 2 15 4" xfId="32665"/>
    <cellStyle name="常规 2 2 15 4 2" xfId="32666"/>
    <cellStyle name="常规 2 2 15 4 2 2" xfId="32667"/>
    <cellStyle name="常规 2 2 15 5" xfId="32668"/>
    <cellStyle name="常规 2 2 15 5 2" xfId="32669"/>
    <cellStyle name="常规 2 2 15 6" xfId="32670"/>
    <cellStyle name="常规 2 2 16" xfId="32671"/>
    <cellStyle name="常规 2 2 16 2" xfId="32672"/>
    <cellStyle name="常规 2 2 16 2 2" xfId="32673"/>
    <cellStyle name="常规 2 2 16 2 2 2" xfId="32674"/>
    <cellStyle name="常规 2 2 16 3" xfId="32675"/>
    <cellStyle name="常规 2 2 16 3 2" xfId="32676"/>
    <cellStyle name="常规 2 2 17" xfId="32677"/>
    <cellStyle name="常规 2 2 17 2" xfId="32678"/>
    <cellStyle name="常规 2 2 17 2 2" xfId="32679"/>
    <cellStyle name="常规 2 2 17 3" xfId="32680"/>
    <cellStyle name="常规 2 2 17 3 2" xfId="32681"/>
    <cellStyle name="常规 2 2 17 3 3" xfId="32682"/>
    <cellStyle name="常规 2 2 17 4" xfId="32683"/>
    <cellStyle name="常规 2 2 17 4 2" xfId="32684"/>
    <cellStyle name="常规 2 2 17 5" xfId="32685"/>
    <cellStyle name="常规 2 2 18" xfId="32686"/>
    <cellStyle name="常规 2 2 18 2" xfId="32687"/>
    <cellStyle name="常规 2 2 18 3" xfId="32688"/>
    <cellStyle name="常规 2 2 19" xfId="32689"/>
    <cellStyle name="常规 2 2 19 2" xfId="32690"/>
    <cellStyle name="常规 2 2 19 3" xfId="32691"/>
    <cellStyle name="常规 2 2 2" xfId="32692"/>
    <cellStyle name="常规 2 2 2 10" xfId="32693"/>
    <cellStyle name="常规 2 2 2 10 2" xfId="32694"/>
    <cellStyle name="常规 2 2 2 10 3" xfId="32695"/>
    <cellStyle name="常规 2 2 2 10 4" xfId="32696"/>
    <cellStyle name="常规 2 2 2 11" xfId="32697"/>
    <cellStyle name="常规 2 2 2 12" xfId="32698"/>
    <cellStyle name="常规 2 2 2 12 2" xfId="32699"/>
    <cellStyle name="常规 2 2 2 2" xfId="32700"/>
    <cellStyle name="常规 2 2 2 2 10" xfId="32701"/>
    <cellStyle name="常规 2 2 2 2 2" xfId="32702"/>
    <cellStyle name="常规 2 2 2 2 2 2" xfId="32703"/>
    <cellStyle name="常规 2 2 2 2 2 2 2" xfId="32704"/>
    <cellStyle name="常规 2 2 2 2 2 2 2 2" xfId="32705"/>
    <cellStyle name="常规 2 2 2 2 2 2 2 2 2" xfId="32706"/>
    <cellStyle name="常规 2 2 2 2 2 2 2 2 3" xfId="32707"/>
    <cellStyle name="常规 2 2 2 2 2 2 2 2 4" xfId="32708"/>
    <cellStyle name="常规 2 2 2 2 2 2 2 3" xfId="32709"/>
    <cellStyle name="常规 2 2 2 2 2 2 2 4" xfId="32710"/>
    <cellStyle name="常规 2 2 2 2 2 2 2 5" xfId="32711"/>
    <cellStyle name="常规 2 2 2 2 2 2 2 6" xfId="32712"/>
    <cellStyle name="常规 2 2 2 2 2 2 3" xfId="32713"/>
    <cellStyle name="常规 2 2 2 2 2 2 3 2" xfId="32714"/>
    <cellStyle name="常规 2 2 2 2 2 2 3 2 2" xfId="32715"/>
    <cellStyle name="常规 2 2 2 2 2 2 3 2 3" xfId="32716"/>
    <cellStyle name="常规 2 2 2 2 2 2 3 2 4" xfId="32717"/>
    <cellStyle name="常规 2 2 2 2 2 2 3 3" xfId="32718"/>
    <cellStyle name="常规 2 2 2 2 2 2 3 4" xfId="32719"/>
    <cellStyle name="常规 2 2 2 2 2 2 3 5" xfId="32720"/>
    <cellStyle name="常规 2 2 2 2 2 2 4" xfId="32721"/>
    <cellStyle name="常规 2 2 2 2 2 2 4 2" xfId="32722"/>
    <cellStyle name="常规 2 2 2 2 2 2 4 3" xfId="32723"/>
    <cellStyle name="常规 2 2 2 2 2 2 4 4" xfId="32724"/>
    <cellStyle name="常规 2 2 2 2 2 2 5" xfId="32725"/>
    <cellStyle name="常规 2 2 2 2 2 2 6" xfId="32726"/>
    <cellStyle name="常规 2 2 2 2 2 2 7" xfId="32727"/>
    <cellStyle name="常规 2 2 2 2 2 2 8" xfId="32728"/>
    <cellStyle name="常规 2 2 2 2 2 2 8 2" xfId="32729"/>
    <cellStyle name="常规 2 2 2 2 2 3" xfId="32730"/>
    <cellStyle name="常规 2 2 2 2 2 3 2" xfId="32731"/>
    <cellStyle name="常规 2 2 2 2 2 3 2 2" xfId="32732"/>
    <cellStyle name="常规 2 2 2 2 2 3 2 3" xfId="32733"/>
    <cellStyle name="常规 2 2 2 2 2 3 2 4" xfId="32734"/>
    <cellStyle name="常规 2 2 2 2 2 3 2 5" xfId="32735"/>
    <cellStyle name="常规 2 2 2 2 2 3 3" xfId="32736"/>
    <cellStyle name="常规 2 2 2 2 2 3 4" xfId="32737"/>
    <cellStyle name="常规 2 2 2 2 2 3 5" xfId="32738"/>
    <cellStyle name="常规 2 2 2 2 2 3 6" xfId="32739"/>
    <cellStyle name="常规 2 2 2 2 2 4" xfId="32740"/>
    <cellStyle name="常规 2 2 2 2 2 4 2" xfId="32741"/>
    <cellStyle name="常规 2 2 2 2 2 4 2 2" xfId="32742"/>
    <cellStyle name="常规 2 2 2 2 2 4 2 3" xfId="32743"/>
    <cellStyle name="常规 2 2 2 2 2 4 2 4" xfId="32744"/>
    <cellStyle name="常规 2 2 2 2 2 4 3" xfId="32745"/>
    <cellStyle name="常规 2 2 2 2 2 4 4" xfId="32746"/>
    <cellStyle name="常规 2 2 2 2 2 4 5" xfId="32747"/>
    <cellStyle name="常规 2 2 2 2 2 5" xfId="32748"/>
    <cellStyle name="常规 2 2 2 2 2 5 2" xfId="32749"/>
    <cellStyle name="常规 2 2 2 2 2 5 3" xfId="32750"/>
    <cellStyle name="常规 2 2 2 2 2 5 4" xfId="32751"/>
    <cellStyle name="常规 2 2 2 2 2 6" xfId="32752"/>
    <cellStyle name="常规 2 2 2 2 2 7" xfId="32753"/>
    <cellStyle name="常规 2 2 2 2 2 8" xfId="32754"/>
    <cellStyle name="常规 2 2 2 2 2 9" xfId="32755"/>
    <cellStyle name="常规 2 2 2 2 2 9 2" xfId="32756"/>
    <cellStyle name="常规 2 2 2 2 3" xfId="32757"/>
    <cellStyle name="常规 2 2 2 2 3 2" xfId="32758"/>
    <cellStyle name="常规 2 2 2 2 3 2 2" xfId="32759"/>
    <cellStyle name="常规 2 2 2 2 3 2 3" xfId="32760"/>
    <cellStyle name="常规 2 2 2 2 3 2 4" xfId="32761"/>
    <cellStyle name="常规 2 2 2 2 3 2 5" xfId="32762"/>
    <cellStyle name="常规 2 2 2 2 3 3" xfId="32763"/>
    <cellStyle name="常规 2 2 2 2 3 4" xfId="32764"/>
    <cellStyle name="常规 2 2 2 2 3 5" xfId="32765"/>
    <cellStyle name="常规 2 2 2 2 3 6" xfId="32766"/>
    <cellStyle name="常规 2 2 2 2 3 6 2" xfId="32767"/>
    <cellStyle name="常规 2 2 2 2 4" xfId="32768"/>
    <cellStyle name="常规 2 2 2 2 4 2" xfId="32769"/>
    <cellStyle name="常规 2 2 2 2 4 2 2" xfId="32770"/>
    <cellStyle name="常规 2 2 2 2 4 2 3" xfId="32771"/>
    <cellStyle name="常规 2 2 2 2 4 2 4" xfId="32772"/>
    <cellStyle name="常规 2 2 2 2 4 3" xfId="32773"/>
    <cellStyle name="常规 2 2 2 2 4 4" xfId="32774"/>
    <cellStyle name="常规 2 2 2 2 4 5" xfId="32775"/>
    <cellStyle name="常规 2 2 2 2 4 6" xfId="32776"/>
    <cellStyle name="常规 2 2 2 2 4 6 2" xfId="32777"/>
    <cellStyle name="常规 2 2 2 2 5" xfId="32778"/>
    <cellStyle name="常规 2 2 2 2 5 2" xfId="32779"/>
    <cellStyle name="常规 2 2 2 2 5 2 2" xfId="32780"/>
    <cellStyle name="常规 2 2 2 2 5 3" xfId="32781"/>
    <cellStyle name="常规 2 2 2 2 5 4" xfId="32782"/>
    <cellStyle name="常规 2 2 2 2 5 5" xfId="32783"/>
    <cellStyle name="常规 2 2 2 2 5 6" xfId="32784"/>
    <cellStyle name="常规 2 2 2 2 6" xfId="32785"/>
    <cellStyle name="常规 2 2 2 2 7" xfId="32786"/>
    <cellStyle name="常规 2 2 2 2 8" xfId="32787"/>
    <cellStyle name="常规 2 2 2 2 9" xfId="32788"/>
    <cellStyle name="常规 2 2 2 2 9 2" xfId="32789"/>
    <cellStyle name="常规 2 2 2 3" xfId="32790"/>
    <cellStyle name="常规 2 2 2 3 2" xfId="32791"/>
    <cellStyle name="常规 2 2 2 3 2 2" xfId="32792"/>
    <cellStyle name="常规 2 2 2 3 2 2 2" xfId="32793"/>
    <cellStyle name="常规 2 2 2 3 2 2 3" xfId="32794"/>
    <cellStyle name="常规 2 2 2 3 2 2 4" xfId="32795"/>
    <cellStyle name="常规 2 2 2 3 2 2 5" xfId="32796"/>
    <cellStyle name="常规 2 2 2 3 2 2 5 2" xfId="32797"/>
    <cellStyle name="常规 2 2 2 3 2 3" xfId="32798"/>
    <cellStyle name="常规 2 2 2 3 2 4" xfId="32799"/>
    <cellStyle name="常规 2 2 2 3 2 5" xfId="32800"/>
    <cellStyle name="常规 2 2 2 3 2 6" xfId="32801"/>
    <cellStyle name="常规 2 2 2 3 2 6 2" xfId="32802"/>
    <cellStyle name="常规 2 2 2 3 3" xfId="32803"/>
    <cellStyle name="常规 2 2 2 3 3 2" xfId="32804"/>
    <cellStyle name="常规 2 2 2 3 3 2 2" xfId="32805"/>
    <cellStyle name="常规 2 2 2 3 3 2 3" xfId="32806"/>
    <cellStyle name="常规 2 2 2 3 3 2 4" xfId="32807"/>
    <cellStyle name="常规 2 2 2 3 3 3" xfId="32808"/>
    <cellStyle name="常规 2 2 2 3 3 4" xfId="32809"/>
    <cellStyle name="常规 2 2 2 3 3 5" xfId="32810"/>
    <cellStyle name="常规 2 2 2 3 3 6" xfId="32811"/>
    <cellStyle name="常规 2 2 2 3 3 6 2" xfId="32812"/>
    <cellStyle name="常规 2 2 2 3 4" xfId="32813"/>
    <cellStyle name="常规 2 2 2 3 4 2" xfId="32814"/>
    <cellStyle name="常规 2 2 2 3 4 3" xfId="32815"/>
    <cellStyle name="常规 2 2 2 3 4 4" xfId="32816"/>
    <cellStyle name="常规 2 2 2 3 4 5" xfId="32817"/>
    <cellStyle name="常规 2 2 2 3 4 5 2" xfId="32818"/>
    <cellStyle name="常规 2 2 2 3 5" xfId="32819"/>
    <cellStyle name="常规 2 2 2 3 5 2" xfId="32820"/>
    <cellStyle name="常规 2 2 2 3 6" xfId="32821"/>
    <cellStyle name="常规 2 2 2 3 7" xfId="32822"/>
    <cellStyle name="常规 2 2 2 3 8" xfId="32823"/>
    <cellStyle name="常规 2 2 2 3 8 2" xfId="32824"/>
    <cellStyle name="常规 2 2 2 3 9" xfId="32825"/>
    <cellStyle name="常规 2 2 2 4" xfId="32826"/>
    <cellStyle name="常规 2 2 2 4 2" xfId="32827"/>
    <cellStyle name="常规 2 2 2 4 2 2" xfId="32828"/>
    <cellStyle name="常规 2 2 2 4 2 2 2" xfId="32829"/>
    <cellStyle name="常规 2 2 2 4 2 2 2 2" xfId="32830"/>
    <cellStyle name="常规 2 2 2 4 2 3" xfId="32831"/>
    <cellStyle name="常规 2 2 2 4 2 4" xfId="32832"/>
    <cellStyle name="常规 2 2 2 4 2 5" xfId="32833"/>
    <cellStyle name="常规 2 2 2 4 2 5 2" xfId="32834"/>
    <cellStyle name="常规 2 2 2 4 3" xfId="32835"/>
    <cellStyle name="常规 2 2 2 4 3 2" xfId="32836"/>
    <cellStyle name="常规 2 2 2 4 3 2 2" xfId="32837"/>
    <cellStyle name="常规 2 2 2 4 4" xfId="32838"/>
    <cellStyle name="常规 2 2 2 4 4 2" xfId="32839"/>
    <cellStyle name="常规 2 2 2 4 4 2 2" xfId="32840"/>
    <cellStyle name="常规 2 2 2 4 5" xfId="32841"/>
    <cellStyle name="常规 2 2 2 4 6" xfId="32842"/>
    <cellStyle name="常规 2 2 2 4 6 2" xfId="32843"/>
    <cellStyle name="常规 2 2 2 4 7" xfId="32844"/>
    <cellStyle name="常规 2 2 2 5" xfId="32845"/>
    <cellStyle name="常规 2 2 2 5 2" xfId="32846"/>
    <cellStyle name="常规 2 2 2 5 2 2" xfId="32847"/>
    <cellStyle name="常规 2 2 2 5 2 3" xfId="32848"/>
    <cellStyle name="常规 2 2 2 5 2 4" xfId="32849"/>
    <cellStyle name="常规 2 2 2 5 2 5" xfId="32850"/>
    <cellStyle name="常规 2 2 2 5 2 5 2" xfId="32851"/>
    <cellStyle name="常规 2 2 2 5 3" xfId="32852"/>
    <cellStyle name="常规 2 2 2 5 3 2" xfId="32853"/>
    <cellStyle name="常规 2 2 2 5 3 2 2" xfId="32854"/>
    <cellStyle name="常规 2 2 2 5 3 3" xfId="32855"/>
    <cellStyle name="常规 2 2 2 5 4" xfId="32856"/>
    <cellStyle name="常规 2 2 2 5 4 2" xfId="32857"/>
    <cellStyle name="常规 2 2 2 5 5" xfId="32858"/>
    <cellStyle name="常规 2 2 2 5 6" xfId="32859"/>
    <cellStyle name="常规 2 2 2 5 6 2" xfId="32860"/>
    <cellStyle name="常规 2 2 2 5 7" xfId="32861"/>
    <cellStyle name="常规 2 2 2 6" xfId="32862"/>
    <cellStyle name="常规 2 2 2 6 2" xfId="32863"/>
    <cellStyle name="常规 2 2 2 6 2 2" xfId="32864"/>
    <cellStyle name="常规 2 2 2 6 2 2 2" xfId="32865"/>
    <cellStyle name="常规 2 2 2 6 3" xfId="32866"/>
    <cellStyle name="常规 2 2 2 6 3 2" xfId="32867"/>
    <cellStyle name="常规 2 2 2 6 3 2 2" xfId="32868"/>
    <cellStyle name="常规 2 2 2 6 3 2 3" xfId="32869"/>
    <cellStyle name="常规 2 2 2 6 3 3" xfId="32870"/>
    <cellStyle name="常规 2 2 2 6 3 3 2" xfId="32871"/>
    <cellStyle name="常规 2 2 2 6 4" xfId="32872"/>
    <cellStyle name="常规 2 2 2 6 4 2" xfId="32873"/>
    <cellStyle name="常规 2 2 2 6 4 2 2" xfId="32874"/>
    <cellStyle name="常规 2 2 2 6 5" xfId="32875"/>
    <cellStyle name="常规 2 2 2 6 5 2" xfId="32876"/>
    <cellStyle name="常规 2 2 2 6 5 2 2" xfId="32877"/>
    <cellStyle name="常规 2 2 2 6 5 3" xfId="32878"/>
    <cellStyle name="常规 2 2 2 6 6" xfId="32879"/>
    <cellStyle name="常规 2 2 2 6 6 2" xfId="32880"/>
    <cellStyle name="常规 2 2 2 7" xfId="32881"/>
    <cellStyle name="常规 2 2 2 7 2" xfId="32882"/>
    <cellStyle name="常规 2 2 2 7 2 2" xfId="32883"/>
    <cellStyle name="常规 2 2 2 7 2 2 2" xfId="32884"/>
    <cellStyle name="常规 2 2 2 7 2 3" xfId="32885"/>
    <cellStyle name="常规 2 2 2 7 3" xfId="32886"/>
    <cellStyle name="常规 2 2 2 7 3 2" xfId="32887"/>
    <cellStyle name="常规 2 2 2 7 3 3" xfId="32888"/>
    <cellStyle name="常规 2 2 2 7 4" xfId="32889"/>
    <cellStyle name="常规 2 2 2 8" xfId="32890"/>
    <cellStyle name="常规 2 2 2 8 2" xfId="32891"/>
    <cellStyle name="常规 2 2 2 8 2 2" xfId="32892"/>
    <cellStyle name="常规 2 2 2 9" xfId="32893"/>
    <cellStyle name="常规 2 2 2 9 2" xfId="32894"/>
    <cellStyle name="常规 2 2 2 9 2 2" xfId="32895"/>
    <cellStyle name="常规 2 2 20" xfId="32896"/>
    <cellStyle name="常规 2 2 3" xfId="32897"/>
    <cellStyle name="常规 2 2 3 10" xfId="32898"/>
    <cellStyle name="常规 2 2 3 11" xfId="32899"/>
    <cellStyle name="常规 2 2 3 11 2" xfId="32900"/>
    <cellStyle name="常规 2 2 3 12" xfId="32901"/>
    <cellStyle name="常规 2 2 3 2" xfId="32902"/>
    <cellStyle name="常规 2 2 3 2 2" xfId="32903"/>
    <cellStyle name="常规 2 2 3 2 2 2" xfId="32904"/>
    <cellStyle name="常规 2 2 3 2 2 2 2" xfId="32905"/>
    <cellStyle name="常规 2 2 3 2 2 2 3" xfId="32906"/>
    <cellStyle name="常规 2 2 3 2 2 2 4" xfId="32907"/>
    <cellStyle name="常规 2 2 3 2 2 2 5" xfId="32908"/>
    <cellStyle name="常规 2 2 3 2 2 2 5 2" xfId="32909"/>
    <cellStyle name="常规 2 2 3 2 2 3" xfId="32910"/>
    <cellStyle name="常规 2 2 3 2 2 4" xfId="32911"/>
    <cellStyle name="常规 2 2 3 2 2 5" xfId="32912"/>
    <cellStyle name="常规 2 2 3 2 2 6" xfId="32913"/>
    <cellStyle name="常规 2 2 3 2 2 6 2" xfId="32914"/>
    <cellStyle name="常规 2 2 3 2 3" xfId="32915"/>
    <cellStyle name="常规 2 2 3 2 3 2" xfId="32916"/>
    <cellStyle name="常规 2 2 3 2 3 2 2" xfId="32917"/>
    <cellStyle name="常规 2 2 3 2 3 2 3" xfId="32918"/>
    <cellStyle name="常规 2 2 3 2 3 2 4" xfId="32919"/>
    <cellStyle name="常规 2 2 3 2 3 3" xfId="32920"/>
    <cellStyle name="常规 2 2 3 2 3 4" xfId="32921"/>
    <cellStyle name="常规 2 2 3 2 3 5" xfId="32922"/>
    <cellStyle name="常规 2 2 3 2 3 6" xfId="32923"/>
    <cellStyle name="常规 2 2 3 2 3 6 2" xfId="32924"/>
    <cellStyle name="常规 2 2 3 2 4" xfId="32925"/>
    <cellStyle name="常规 2 2 3 2 4 2" xfId="32926"/>
    <cellStyle name="常规 2 2 3 2 4 3" xfId="32927"/>
    <cellStyle name="常规 2 2 3 2 4 4" xfId="32928"/>
    <cellStyle name="常规 2 2 3 2 4 5" xfId="32929"/>
    <cellStyle name="常规 2 2 3 2 4 5 2" xfId="32930"/>
    <cellStyle name="常规 2 2 3 2 5" xfId="32931"/>
    <cellStyle name="常规 2 2 3 2 5 2" xfId="32932"/>
    <cellStyle name="常规 2 2 3 2 6" xfId="32933"/>
    <cellStyle name="常规 2 2 3 2 7" xfId="32934"/>
    <cellStyle name="常规 2 2 3 2 8" xfId="32935"/>
    <cellStyle name="常规 2 2 3 2 8 2" xfId="32936"/>
    <cellStyle name="常规 2 2 3 2 9" xfId="32937"/>
    <cellStyle name="常规 2 2 3 3" xfId="32938"/>
    <cellStyle name="常规 2 2 3 3 2" xfId="32939"/>
    <cellStyle name="常规 2 2 3 3 2 2" xfId="32940"/>
    <cellStyle name="常规 2 2 3 3 2 2 2" xfId="32941"/>
    <cellStyle name="常规 2 2 3 3 2 2 3" xfId="32942"/>
    <cellStyle name="常规 2 2 3 3 2 2 4" xfId="32943"/>
    <cellStyle name="常规 2 2 3 3 2 2 5" xfId="32944"/>
    <cellStyle name="常规 2 2 3 3 2 2 5 2" xfId="32945"/>
    <cellStyle name="常规 2 2 3 3 2 3" xfId="32946"/>
    <cellStyle name="常规 2 2 3 3 2 4" xfId="32947"/>
    <cellStyle name="常规 2 2 3 3 2 5" xfId="32948"/>
    <cellStyle name="常规 2 2 3 3 2 6" xfId="32949"/>
    <cellStyle name="常规 2 2 3 3 2 6 2" xfId="32950"/>
    <cellStyle name="常规 2 2 3 3 3" xfId="32951"/>
    <cellStyle name="常规 2 2 3 3 3 2" xfId="32952"/>
    <cellStyle name="常规 2 2 3 3 3 2 2" xfId="32953"/>
    <cellStyle name="常规 2 2 3 3 3 2 3" xfId="32954"/>
    <cellStyle name="常规 2 2 3 3 3 2 4" xfId="32955"/>
    <cellStyle name="常规 2 2 3 3 3 3" xfId="32956"/>
    <cellStyle name="常规 2 2 3 3 3 4" xfId="32957"/>
    <cellStyle name="常规 2 2 3 3 3 5" xfId="32958"/>
    <cellStyle name="常规 2 2 3 3 3 6" xfId="32959"/>
    <cellStyle name="常规 2 2 3 3 3 6 2" xfId="32960"/>
    <cellStyle name="常规 2 2 3 3 4" xfId="32961"/>
    <cellStyle name="常规 2 2 3 3 4 2" xfId="32962"/>
    <cellStyle name="常规 2 2 3 3 4 3" xfId="32963"/>
    <cellStyle name="常规 2 2 3 3 4 4" xfId="32964"/>
    <cellStyle name="常规 2 2 3 3 4 5" xfId="32965"/>
    <cellStyle name="常规 2 2 3 3 4 5 2" xfId="32966"/>
    <cellStyle name="常规 2 2 3 3 5" xfId="32967"/>
    <cellStyle name="常规 2 2 3 3 6" xfId="32968"/>
    <cellStyle name="常规 2 2 3 3 7" xfId="32969"/>
    <cellStyle name="常规 2 2 3 3 8" xfId="32970"/>
    <cellStyle name="常规 2 2 3 3 8 2" xfId="32971"/>
    <cellStyle name="常规 2 2 3 3 9" xfId="32972"/>
    <cellStyle name="常规 2 2 3 4" xfId="32973"/>
    <cellStyle name="常规 2 2 3 4 2" xfId="32974"/>
    <cellStyle name="常规 2 2 3 4 2 2" xfId="32975"/>
    <cellStyle name="常规 2 2 3 4 2 2 2" xfId="32976"/>
    <cellStyle name="常规 2 2 3 4 2 2 3" xfId="32977"/>
    <cellStyle name="常规 2 2 3 4 2 2 4" xfId="32978"/>
    <cellStyle name="常规 2 2 3 4 2 3" xfId="32979"/>
    <cellStyle name="常规 2 2 3 4 2 4" xfId="32980"/>
    <cellStyle name="常规 2 2 3 4 2 5" xfId="32981"/>
    <cellStyle name="常规 2 2 3 4 2 6" xfId="32982"/>
    <cellStyle name="常规 2 2 3 4 2 6 2" xfId="32983"/>
    <cellStyle name="常规 2 2 3 4 3" xfId="32984"/>
    <cellStyle name="常规 2 2 3 4 3 2" xfId="32985"/>
    <cellStyle name="常规 2 2 3 4 3 2 2" xfId="32986"/>
    <cellStyle name="常规 2 2 3 4 3 2 3" xfId="32987"/>
    <cellStyle name="常规 2 2 3 4 3 2 4" xfId="32988"/>
    <cellStyle name="常规 2 2 3 4 3 2 5" xfId="32989"/>
    <cellStyle name="常规 2 2 3 4 3 3" xfId="32990"/>
    <cellStyle name="常规 2 2 3 4 3 4" xfId="32991"/>
    <cellStyle name="常规 2 2 3 4 3 5" xfId="32992"/>
    <cellStyle name="常规 2 2 3 4 3 6" xfId="32993"/>
    <cellStyle name="常规 2 2 3 4 3 6 2" xfId="32994"/>
    <cellStyle name="常规 2 2 3 4 3 7" xfId="32995"/>
    <cellStyle name="常规 2 2 3 4 4" xfId="32996"/>
    <cellStyle name="常规 2 2 3 4 4 2" xfId="32997"/>
    <cellStyle name="常规 2 2 3 4 4 3" xfId="32998"/>
    <cellStyle name="常规 2 2 3 4 4 4" xfId="32999"/>
    <cellStyle name="常规 2 2 3 4 4 5" xfId="33000"/>
    <cellStyle name="常规 2 2 3 4 5" xfId="33001"/>
    <cellStyle name="常规 2 2 3 4 6" xfId="33002"/>
    <cellStyle name="常规 2 2 3 4 7" xfId="33003"/>
    <cellStyle name="常规 2 2 3 4 8" xfId="33004"/>
    <cellStyle name="常规 2 2 3 4 8 2" xfId="33005"/>
    <cellStyle name="常规 2 2 3 4 9" xfId="33006"/>
    <cellStyle name="常规 2 2 3 5" xfId="33007"/>
    <cellStyle name="常规 2 2 3 5 2" xfId="33008"/>
    <cellStyle name="常规 2 2 3 5 2 2" xfId="33009"/>
    <cellStyle name="常规 2 2 3 5 2 3" xfId="33010"/>
    <cellStyle name="常规 2 2 3 5 2 4" xfId="33011"/>
    <cellStyle name="常规 2 2 3 5 3" xfId="33012"/>
    <cellStyle name="常规 2 2 3 5 4" xfId="33013"/>
    <cellStyle name="常规 2 2 3 5 5" xfId="33014"/>
    <cellStyle name="常规 2 2 3 5 6" xfId="33015"/>
    <cellStyle name="常规 2 2 3 5 6 2" xfId="33016"/>
    <cellStyle name="常规 2 2 3 6" xfId="33017"/>
    <cellStyle name="常规 2 2 3 6 2" xfId="33018"/>
    <cellStyle name="常规 2 2 3 6 2 2" xfId="33019"/>
    <cellStyle name="常规 2 2 3 6 2 3" xfId="33020"/>
    <cellStyle name="常规 2 2 3 6 2 4" xfId="33021"/>
    <cellStyle name="常规 2 2 3 6 3" xfId="33022"/>
    <cellStyle name="常规 2 2 3 6 4" xfId="33023"/>
    <cellStyle name="常规 2 2 3 6 5" xfId="33024"/>
    <cellStyle name="常规 2 2 3 6 6" xfId="33025"/>
    <cellStyle name="常规 2 2 3 6 6 2" xfId="33026"/>
    <cellStyle name="常规 2 2 3 7" xfId="33027"/>
    <cellStyle name="常规 2 2 3 7 2" xfId="33028"/>
    <cellStyle name="常规 2 2 3 7 2 2" xfId="33029"/>
    <cellStyle name="常规 2 2 3 7 3" xfId="33030"/>
    <cellStyle name="常规 2 2 3 7 4" xfId="33031"/>
    <cellStyle name="常规 2 2 3 7 5" xfId="33032"/>
    <cellStyle name="常规 2 2 3 7 6" xfId="33033"/>
    <cellStyle name="常规 2 2 3 8" xfId="33034"/>
    <cellStyle name="常规 2 2 3 9" xfId="33035"/>
    <cellStyle name="常规 2 2 4" xfId="33036"/>
    <cellStyle name="常规 2 2 4 10" xfId="33037"/>
    <cellStyle name="常规 2 2 4 10 2" xfId="33038"/>
    <cellStyle name="常规 2 2 4 2" xfId="33039"/>
    <cellStyle name="常规 2 2 4 2 2" xfId="33040"/>
    <cellStyle name="常规 2 2 4 2 2 2" xfId="33041"/>
    <cellStyle name="常规 2 2 4 2 2 2 2" xfId="33042"/>
    <cellStyle name="常规 2 2 4 2 2 2 2 2" xfId="33043"/>
    <cellStyle name="常规 2 2 4 2 2 2 2 2 2" xfId="33044"/>
    <cellStyle name="常规 2 2 4 2 2 2 3" xfId="33045"/>
    <cellStyle name="常规 2 2 4 2 2 2 3 2" xfId="33046"/>
    <cellStyle name="常规 2 2 4 2 2 2 3 2 2" xfId="33047"/>
    <cellStyle name="常规 2 2 4 2 2 2 4" xfId="33048"/>
    <cellStyle name="常规 2 2 4 2 2 2 4 2" xfId="33049"/>
    <cellStyle name="常规 2 2 4 2 2 2 4 2 2" xfId="33050"/>
    <cellStyle name="常规 2 2 4 2 2 2 5" xfId="33051"/>
    <cellStyle name="常规 2 2 4 2 2 2 5 2" xfId="33052"/>
    <cellStyle name="常规 2 2 4 2 2 2 5 3" xfId="33053"/>
    <cellStyle name="常规 2 2 4 2 2 2 6" xfId="33054"/>
    <cellStyle name="常规 2 2 4 2 2 3" xfId="33055"/>
    <cellStyle name="常规 2 2 4 2 2 3 2" xfId="33056"/>
    <cellStyle name="常规 2 2 4 2 2 3 2 2" xfId="33057"/>
    <cellStyle name="常规 2 2 4 2 2 3 2 2 2" xfId="33058"/>
    <cellStyle name="常规 2 2 4 2 2 3 3" xfId="33059"/>
    <cellStyle name="常规 2 2 4 2 2 3 3 2" xfId="33060"/>
    <cellStyle name="常规 2 2 4 2 2 3 3 2 2" xfId="33061"/>
    <cellStyle name="常规 2 2 4 2 2 3 4" xfId="33062"/>
    <cellStyle name="常规 2 2 4 2 2 3 4 2" xfId="33063"/>
    <cellStyle name="常规 2 2 4 2 2 3 5" xfId="33064"/>
    <cellStyle name="常规 2 2 4 2 2 4" xfId="33065"/>
    <cellStyle name="常规 2 2 4 2 2 4 2" xfId="33066"/>
    <cellStyle name="常规 2 2 4 2 2 4 2 2" xfId="33067"/>
    <cellStyle name="常规 2 2 4 2 2 5" xfId="33068"/>
    <cellStyle name="常规 2 2 4 2 2 5 2" xfId="33069"/>
    <cellStyle name="常规 2 2 4 2 2 5 2 2" xfId="33070"/>
    <cellStyle name="常规 2 2 4 2 2 6" xfId="33071"/>
    <cellStyle name="常规 2 2 4 2 2 7" xfId="33072"/>
    <cellStyle name="常规 2 2 4 2 2 7 2" xfId="33073"/>
    <cellStyle name="常规 2 2 4 2 2 7 3" xfId="33074"/>
    <cellStyle name="常规 2 2 4 2 2 8" xfId="33075"/>
    <cellStyle name="常规 2 2 4 2 2 8 2" xfId="33076"/>
    <cellStyle name="常规 2 2 4 2 3" xfId="33077"/>
    <cellStyle name="常规 2 2 4 2 3 2" xfId="33078"/>
    <cellStyle name="常规 2 2 4 2 3 2 2" xfId="33079"/>
    <cellStyle name="常规 2 2 4 2 3 2 3" xfId="33080"/>
    <cellStyle name="常规 2 2 4 2 3 2 4" xfId="33081"/>
    <cellStyle name="常规 2 2 4 2 3 2 5" xfId="33082"/>
    <cellStyle name="常规 2 2 4 2 3 2 5 2" xfId="33083"/>
    <cellStyle name="常规 2 2 4 2 3 3" xfId="33084"/>
    <cellStyle name="常规 2 2 4 2 3 3 2" xfId="33085"/>
    <cellStyle name="常规 2 2 4 2 3 3 2 2" xfId="33086"/>
    <cellStyle name="常规 2 2 4 2 3 4" xfId="33087"/>
    <cellStyle name="常规 2 2 4 2 3 4 2" xfId="33088"/>
    <cellStyle name="常规 2 2 4 2 3 4 2 2" xfId="33089"/>
    <cellStyle name="常规 2 2 4 2 3 5" xfId="33090"/>
    <cellStyle name="常规 2 2 4 2 3 5 2" xfId="33091"/>
    <cellStyle name="常规 2 2 4 2 3 5 3" xfId="33092"/>
    <cellStyle name="常规 2 2 4 2 3 6" xfId="33093"/>
    <cellStyle name="常规 2 2 4 2 3 6 2" xfId="33094"/>
    <cellStyle name="常规 2 2 4 2 3 7" xfId="33095"/>
    <cellStyle name="常规 2 2 4 2 4" xfId="33096"/>
    <cellStyle name="常规 2 2 4 2 4 2" xfId="33097"/>
    <cellStyle name="常规 2 2 4 2 4 3" xfId="33098"/>
    <cellStyle name="常规 2 2 4 2 4 4" xfId="33099"/>
    <cellStyle name="常规 2 2 4 2 4 5" xfId="33100"/>
    <cellStyle name="常规 2 2 4 2 4 5 2" xfId="33101"/>
    <cellStyle name="常规 2 2 4 2 5" xfId="33102"/>
    <cellStyle name="常规 2 2 4 2 5 2" xfId="33103"/>
    <cellStyle name="常规 2 2 4 2 5 2 2" xfId="33104"/>
    <cellStyle name="常规 2 2 4 2 6" xfId="33105"/>
    <cellStyle name="常规 2 2 4 2 6 2" xfId="33106"/>
    <cellStyle name="常规 2 2 4 2 6 2 2" xfId="33107"/>
    <cellStyle name="常规 2 2 4 2 7" xfId="33108"/>
    <cellStyle name="常规 2 2 4 2 7 2" xfId="33109"/>
    <cellStyle name="常规 2 2 4 2 7 2 2" xfId="33110"/>
    <cellStyle name="常规 2 2 4 2 8" xfId="33111"/>
    <cellStyle name="常规 2 2 4 2 8 2" xfId="33112"/>
    <cellStyle name="常规 2 2 4 2 8 3" xfId="33113"/>
    <cellStyle name="常规 2 2 4 2 9" xfId="33114"/>
    <cellStyle name="常规 2 2 4 2 9 2" xfId="33115"/>
    <cellStyle name="常规 2 2 4 3" xfId="33116"/>
    <cellStyle name="常规 2 2 4 3 2" xfId="33117"/>
    <cellStyle name="常规 2 2 4 3 2 2" xfId="33118"/>
    <cellStyle name="常规 2 2 4 3 2 2 2" xfId="33119"/>
    <cellStyle name="常规 2 2 4 3 2 2 2 2" xfId="33120"/>
    <cellStyle name="常规 2 2 4 3 2 3" xfId="33121"/>
    <cellStyle name="常规 2 2 4 3 2 3 2" xfId="33122"/>
    <cellStyle name="常规 2 2 4 3 2 3 2 2" xfId="33123"/>
    <cellStyle name="常规 2 2 4 3 2 4" xfId="33124"/>
    <cellStyle name="常规 2 2 4 3 2 4 2" xfId="33125"/>
    <cellStyle name="常规 2 2 4 3 2 4 2 2" xfId="33126"/>
    <cellStyle name="常规 2 2 4 3 2 5" xfId="33127"/>
    <cellStyle name="常规 2 2 4 3 2 5 2" xfId="33128"/>
    <cellStyle name="常规 2 2 4 3 2 5 3" xfId="33129"/>
    <cellStyle name="常规 2 2 4 3 2 6" xfId="33130"/>
    <cellStyle name="常规 2 2 4 3 3" xfId="33131"/>
    <cellStyle name="常规 2 2 4 3 3 2" xfId="33132"/>
    <cellStyle name="常规 2 2 4 3 3 2 2" xfId="33133"/>
    <cellStyle name="常规 2 2 4 3 3 2 2 2" xfId="33134"/>
    <cellStyle name="常规 2 2 4 3 3 3" xfId="33135"/>
    <cellStyle name="常规 2 2 4 3 3 3 2" xfId="33136"/>
    <cellStyle name="常规 2 2 4 3 3 3 2 2" xfId="33137"/>
    <cellStyle name="常规 2 2 4 3 3 4" xfId="33138"/>
    <cellStyle name="常规 2 2 4 3 3 4 2" xfId="33139"/>
    <cellStyle name="常规 2 2 4 3 3 5" xfId="33140"/>
    <cellStyle name="常规 2 2 4 3 4" xfId="33141"/>
    <cellStyle name="常规 2 2 4 3 4 2" xfId="33142"/>
    <cellStyle name="常规 2 2 4 3 4 2 2" xfId="33143"/>
    <cellStyle name="常规 2 2 4 3 5" xfId="33144"/>
    <cellStyle name="常规 2 2 4 3 5 2" xfId="33145"/>
    <cellStyle name="常规 2 2 4 3 5 2 2" xfId="33146"/>
    <cellStyle name="常规 2 2 4 3 6" xfId="33147"/>
    <cellStyle name="常规 2 2 4 3 7" xfId="33148"/>
    <cellStyle name="常规 2 2 4 3 7 2" xfId="33149"/>
    <cellStyle name="常规 2 2 4 3 7 3" xfId="33150"/>
    <cellStyle name="常规 2 2 4 3 8" xfId="33151"/>
    <cellStyle name="常规 2 2 4 3 8 2" xfId="33152"/>
    <cellStyle name="常规 2 2 4 4" xfId="33153"/>
    <cellStyle name="常规 2 2 4 4 2" xfId="33154"/>
    <cellStyle name="常规 2 2 4 4 2 2" xfId="33155"/>
    <cellStyle name="常规 2 2 4 4 2 3" xfId="33156"/>
    <cellStyle name="常规 2 2 4 4 2 4" xfId="33157"/>
    <cellStyle name="常规 2 2 4 4 2 5" xfId="33158"/>
    <cellStyle name="常规 2 2 4 4 2 5 2" xfId="33159"/>
    <cellStyle name="常规 2 2 4 4 3" xfId="33160"/>
    <cellStyle name="常规 2 2 4 4 3 2" xfId="33161"/>
    <cellStyle name="常规 2 2 4 4 3 2 2" xfId="33162"/>
    <cellStyle name="常规 2 2 4 4 4" xfId="33163"/>
    <cellStyle name="常规 2 2 4 4 4 2" xfId="33164"/>
    <cellStyle name="常规 2 2 4 4 4 2 2" xfId="33165"/>
    <cellStyle name="常规 2 2 4 4 5" xfId="33166"/>
    <cellStyle name="常规 2 2 4 4 5 2" xfId="33167"/>
    <cellStyle name="常规 2 2 4 4 5 3" xfId="33168"/>
    <cellStyle name="常规 2 2 4 4 6" xfId="33169"/>
    <cellStyle name="常规 2 2 4 4 6 2" xfId="33170"/>
    <cellStyle name="常规 2 2 4 4 7" xfId="33171"/>
    <cellStyle name="常规 2 2 4 5" xfId="33172"/>
    <cellStyle name="常规 2 2 4 5 2" xfId="33173"/>
    <cellStyle name="常规 2 2 4 5 3" xfId="33174"/>
    <cellStyle name="常规 2 2 4 5 4" xfId="33175"/>
    <cellStyle name="常规 2 2 4 5 5" xfId="33176"/>
    <cellStyle name="常规 2 2 4 5 5 2" xfId="33177"/>
    <cellStyle name="常规 2 2 4 6" xfId="33178"/>
    <cellStyle name="常规 2 2 4 6 2" xfId="33179"/>
    <cellStyle name="常规 2 2 4 6 2 2" xfId="33180"/>
    <cellStyle name="常规 2 2 4 7" xfId="33181"/>
    <cellStyle name="常规 2 2 4 7 2" xfId="33182"/>
    <cellStyle name="常规 2 2 4 7 2 2" xfId="33183"/>
    <cellStyle name="常规 2 2 4 8" xfId="33184"/>
    <cellStyle name="常规 2 2 4 8 2" xfId="33185"/>
    <cellStyle name="常规 2 2 4 8 2 2" xfId="33186"/>
    <cellStyle name="常规 2 2 4 9" xfId="33187"/>
    <cellStyle name="常规 2 2 4 9 2" xfId="33188"/>
    <cellStyle name="常规 2 2 4 9 2 2" xfId="33189"/>
    <cellStyle name="常规 2 2 4 9 3" xfId="33190"/>
    <cellStyle name="常规 2 2 4 9 3 2" xfId="33191"/>
    <cellStyle name="常规 2 2 5" xfId="33192"/>
    <cellStyle name="常规 2 2 5 10" xfId="33193"/>
    <cellStyle name="常规 2 2 5 10 2" xfId="33194"/>
    <cellStyle name="常规 2 2 5 2" xfId="33195"/>
    <cellStyle name="常规 2 2 5 2 2" xfId="33196"/>
    <cellStyle name="常规 2 2 5 2 2 2" xfId="33197"/>
    <cellStyle name="常规 2 2 5 2 2 2 2" xfId="33198"/>
    <cellStyle name="常规 2 2 5 2 2 2 3" xfId="33199"/>
    <cellStyle name="常规 2 2 5 2 2 2 4" xfId="33200"/>
    <cellStyle name="常规 2 2 5 2 2 2 5" xfId="33201"/>
    <cellStyle name="常规 2 2 5 2 2 2 5 2" xfId="33202"/>
    <cellStyle name="常规 2 2 5 2 2 3" xfId="33203"/>
    <cellStyle name="常规 2 2 5 2 2 3 2" xfId="33204"/>
    <cellStyle name="常规 2 2 5 2 2 3 2 2" xfId="33205"/>
    <cellStyle name="常规 2 2 5 2 2 4" xfId="33206"/>
    <cellStyle name="常规 2 2 5 2 2 4 2" xfId="33207"/>
    <cellStyle name="常规 2 2 5 2 2 4 2 2" xfId="33208"/>
    <cellStyle name="常规 2 2 5 2 2 5" xfId="33209"/>
    <cellStyle name="常规 2 2 5 2 2 5 2" xfId="33210"/>
    <cellStyle name="常规 2 2 5 2 2 5 3" xfId="33211"/>
    <cellStyle name="常规 2 2 5 2 2 6" xfId="33212"/>
    <cellStyle name="常规 2 2 5 2 2 6 2" xfId="33213"/>
    <cellStyle name="常规 2 2 5 2 2 7" xfId="33214"/>
    <cellStyle name="常规 2 2 5 2 3" xfId="33215"/>
    <cellStyle name="常规 2 2 5 2 3 2" xfId="33216"/>
    <cellStyle name="常规 2 2 5 2 3 2 2" xfId="33217"/>
    <cellStyle name="常规 2 2 5 2 3 2 3" xfId="33218"/>
    <cellStyle name="常规 2 2 5 2 3 2 4" xfId="33219"/>
    <cellStyle name="常规 2 2 5 2 3 3" xfId="33220"/>
    <cellStyle name="常规 2 2 5 2 3 4" xfId="33221"/>
    <cellStyle name="常规 2 2 5 2 3 5" xfId="33222"/>
    <cellStyle name="常规 2 2 5 2 3 6" xfId="33223"/>
    <cellStyle name="常规 2 2 5 2 3 6 2" xfId="33224"/>
    <cellStyle name="常规 2 2 5 2 4" xfId="33225"/>
    <cellStyle name="常规 2 2 5 2 4 2" xfId="33226"/>
    <cellStyle name="常规 2 2 5 2 4 3" xfId="33227"/>
    <cellStyle name="常规 2 2 5 2 4 4" xfId="33228"/>
    <cellStyle name="常规 2 2 5 2 4 5" xfId="33229"/>
    <cellStyle name="常规 2 2 5 2 4 5 2" xfId="33230"/>
    <cellStyle name="常规 2 2 5 2 5" xfId="33231"/>
    <cellStyle name="常规 2 2 5 2 5 2" xfId="33232"/>
    <cellStyle name="常规 2 2 5 2 5 2 2" xfId="33233"/>
    <cellStyle name="常规 2 2 5 2 6" xfId="33234"/>
    <cellStyle name="常规 2 2 5 2 6 2" xfId="33235"/>
    <cellStyle name="常规 2 2 5 2 6 2 2" xfId="33236"/>
    <cellStyle name="常规 2 2 5 2 7" xfId="33237"/>
    <cellStyle name="常规 2 2 5 2 7 2" xfId="33238"/>
    <cellStyle name="常规 2 2 5 2 7 2 2" xfId="33239"/>
    <cellStyle name="常规 2 2 5 2 8" xfId="33240"/>
    <cellStyle name="常规 2 2 5 2 8 2" xfId="33241"/>
    <cellStyle name="常规 2 2 5 2 8 3" xfId="33242"/>
    <cellStyle name="常规 2 2 5 2 9" xfId="33243"/>
    <cellStyle name="常规 2 2 5 3" xfId="33244"/>
    <cellStyle name="常规 2 2 5 3 2" xfId="33245"/>
    <cellStyle name="常规 2 2 5 3 2 2" xfId="33246"/>
    <cellStyle name="常规 2 2 5 3 2 2 2" xfId="33247"/>
    <cellStyle name="常规 2 2 5 3 2 2 2 2" xfId="33248"/>
    <cellStyle name="常规 2 2 5 3 2 3" xfId="33249"/>
    <cellStyle name="常规 2 2 5 3 2 3 2" xfId="33250"/>
    <cellStyle name="常规 2 2 5 3 2 3 2 2" xfId="33251"/>
    <cellStyle name="常规 2 2 5 3 2 4" xfId="33252"/>
    <cellStyle name="常规 2 2 5 3 2 4 2" xfId="33253"/>
    <cellStyle name="常规 2 2 5 3 2 4 2 2" xfId="33254"/>
    <cellStyle name="常规 2 2 5 3 2 5" xfId="33255"/>
    <cellStyle name="常规 2 2 5 3 2 5 2" xfId="33256"/>
    <cellStyle name="常规 2 2 5 3 2 5 3" xfId="33257"/>
    <cellStyle name="常规 2 2 5 3 2 6" xfId="33258"/>
    <cellStyle name="常规 2 2 5 3 3" xfId="33259"/>
    <cellStyle name="常规 2 2 5 3 3 2" xfId="33260"/>
    <cellStyle name="常规 2 2 5 3 3 2 2" xfId="33261"/>
    <cellStyle name="常规 2 2 5 3 3 2 2 2" xfId="33262"/>
    <cellStyle name="常规 2 2 5 3 3 3" xfId="33263"/>
    <cellStyle name="常规 2 2 5 3 3 3 2" xfId="33264"/>
    <cellStyle name="常规 2 2 5 3 3 3 2 2" xfId="33265"/>
    <cellStyle name="常规 2 2 5 3 3 4" xfId="33266"/>
    <cellStyle name="常规 2 2 5 3 3 4 2" xfId="33267"/>
    <cellStyle name="常规 2 2 5 3 3 5" xfId="33268"/>
    <cellStyle name="常规 2 2 5 3 4" xfId="33269"/>
    <cellStyle name="常规 2 2 5 3 4 2" xfId="33270"/>
    <cellStyle name="常规 2 2 5 3 4 2 2" xfId="33271"/>
    <cellStyle name="常规 2 2 5 3 5" xfId="33272"/>
    <cellStyle name="常规 2 2 5 3 5 2" xfId="33273"/>
    <cellStyle name="常规 2 2 5 3 5 2 2" xfId="33274"/>
    <cellStyle name="常规 2 2 5 3 6" xfId="33275"/>
    <cellStyle name="常规 2 2 5 3 7" xfId="33276"/>
    <cellStyle name="常规 2 2 5 3 7 2" xfId="33277"/>
    <cellStyle name="常规 2 2 5 3 7 3" xfId="33278"/>
    <cellStyle name="常规 2 2 5 3 8" xfId="33279"/>
    <cellStyle name="常规 2 2 5 3 8 2" xfId="33280"/>
    <cellStyle name="常规 2 2 5 4" xfId="33281"/>
    <cellStyle name="常规 2 2 5 4 2" xfId="33282"/>
    <cellStyle name="常规 2 2 5 4 2 2" xfId="33283"/>
    <cellStyle name="常规 2 2 5 4 2 3" xfId="33284"/>
    <cellStyle name="常规 2 2 5 4 2 4" xfId="33285"/>
    <cellStyle name="常规 2 2 5 4 2 5" xfId="33286"/>
    <cellStyle name="常规 2 2 5 4 2 5 2" xfId="33287"/>
    <cellStyle name="常规 2 2 5 4 3" xfId="33288"/>
    <cellStyle name="常规 2 2 5 4 3 2" xfId="33289"/>
    <cellStyle name="常规 2 2 5 4 3 2 2" xfId="33290"/>
    <cellStyle name="常规 2 2 5 4 4" xfId="33291"/>
    <cellStyle name="常规 2 2 5 4 4 2" xfId="33292"/>
    <cellStyle name="常规 2 2 5 4 4 2 2" xfId="33293"/>
    <cellStyle name="常规 2 2 5 4 5" xfId="33294"/>
    <cellStyle name="常规 2 2 5 4 5 2" xfId="33295"/>
    <cellStyle name="常规 2 2 5 4 5 3" xfId="33296"/>
    <cellStyle name="常规 2 2 5 4 6" xfId="33297"/>
    <cellStyle name="常规 2 2 5 4 6 2" xfId="33298"/>
    <cellStyle name="常规 2 2 5 4 7" xfId="33299"/>
    <cellStyle name="常规 2 2 5 5" xfId="33300"/>
    <cellStyle name="常规 2 2 5 5 2" xfId="33301"/>
    <cellStyle name="常规 2 2 5 5 3" xfId="33302"/>
    <cellStyle name="常规 2 2 5 5 4" xfId="33303"/>
    <cellStyle name="常规 2 2 5 5 5" xfId="33304"/>
    <cellStyle name="常规 2 2 5 5 5 2" xfId="33305"/>
    <cellStyle name="常规 2 2 5 6" xfId="33306"/>
    <cellStyle name="常规 2 2 5 6 2" xfId="33307"/>
    <cellStyle name="常规 2 2 5 6 2 2" xfId="33308"/>
    <cellStyle name="常规 2 2 5 7" xfId="33309"/>
    <cellStyle name="常规 2 2 5 7 2" xfId="33310"/>
    <cellStyle name="常规 2 2 5 7 2 2" xfId="33311"/>
    <cellStyle name="常规 2 2 5 8" xfId="33312"/>
    <cellStyle name="常规 2 2 5 8 2" xfId="33313"/>
    <cellStyle name="常规 2 2 5 8 2 2" xfId="33314"/>
    <cellStyle name="常规 2 2 5 9" xfId="33315"/>
    <cellStyle name="常规 2 2 5 9 2" xfId="33316"/>
    <cellStyle name="常规 2 2 5 9 3" xfId="33317"/>
    <cellStyle name="常规 2 2 6" xfId="33318"/>
    <cellStyle name="常规 2 2 6 10" xfId="33319"/>
    <cellStyle name="常规 2 2 6 2" xfId="33320"/>
    <cellStyle name="常规 2 2 6 2 2" xfId="33321"/>
    <cellStyle name="常规 2 2 6 2 2 2" xfId="33322"/>
    <cellStyle name="常规 2 2 6 2 2 2 2" xfId="33323"/>
    <cellStyle name="常规 2 2 6 2 2 2 3" xfId="33324"/>
    <cellStyle name="常规 2 2 6 2 2 2 4" xfId="33325"/>
    <cellStyle name="常规 2 2 6 2 2 2 5" xfId="33326"/>
    <cellStyle name="常规 2 2 6 2 2 2 5 2" xfId="33327"/>
    <cellStyle name="常规 2 2 6 2 2 3" xfId="33328"/>
    <cellStyle name="常规 2 2 6 2 2 4" xfId="33329"/>
    <cellStyle name="常规 2 2 6 2 2 5" xfId="33330"/>
    <cellStyle name="常规 2 2 6 2 2 6" xfId="33331"/>
    <cellStyle name="常规 2 2 6 2 2 6 2" xfId="33332"/>
    <cellStyle name="常规 2 2 6 2 3" xfId="33333"/>
    <cellStyle name="常规 2 2 6 2 3 2" xfId="33334"/>
    <cellStyle name="常规 2 2 6 2 3 2 2" xfId="33335"/>
    <cellStyle name="常规 2 2 6 2 3 2 3" xfId="33336"/>
    <cellStyle name="常规 2 2 6 2 3 2 4" xfId="33337"/>
    <cellStyle name="常规 2 2 6 2 3 3" xfId="33338"/>
    <cellStyle name="常规 2 2 6 2 3 4" xfId="33339"/>
    <cellStyle name="常规 2 2 6 2 3 5" xfId="33340"/>
    <cellStyle name="常规 2 2 6 2 3 6" xfId="33341"/>
    <cellStyle name="常规 2 2 6 2 3 6 2" xfId="33342"/>
    <cellStyle name="常规 2 2 6 2 4" xfId="33343"/>
    <cellStyle name="常规 2 2 6 2 4 2" xfId="33344"/>
    <cellStyle name="常规 2 2 6 2 4 3" xfId="33345"/>
    <cellStyle name="常规 2 2 6 2 4 4" xfId="33346"/>
    <cellStyle name="常规 2 2 6 2 4 5" xfId="33347"/>
    <cellStyle name="常规 2 2 6 2 4 5 2" xfId="33348"/>
    <cellStyle name="常规 2 2 6 2 5" xfId="33349"/>
    <cellStyle name="常规 2 2 6 2 6" xfId="33350"/>
    <cellStyle name="常规 2 2 6 2 7" xfId="33351"/>
    <cellStyle name="常规 2 2 6 2 8" xfId="33352"/>
    <cellStyle name="常规 2 2 6 2 8 2" xfId="33353"/>
    <cellStyle name="常规 2 2 6 2 9" xfId="33354"/>
    <cellStyle name="常规 2 2 6 3" xfId="33355"/>
    <cellStyle name="常规 2 2 6 3 2" xfId="33356"/>
    <cellStyle name="常规 2 2 6 3 2 2" xfId="33357"/>
    <cellStyle name="常规 2 2 6 3 2 3" xfId="33358"/>
    <cellStyle name="常规 2 2 6 3 2 4" xfId="33359"/>
    <cellStyle name="常规 2 2 6 3 2 5" xfId="33360"/>
    <cellStyle name="常规 2 2 6 3 2 5 2" xfId="33361"/>
    <cellStyle name="常规 2 2 6 3 3" xfId="33362"/>
    <cellStyle name="常规 2 2 6 3 4" xfId="33363"/>
    <cellStyle name="常规 2 2 6 3 5" xfId="33364"/>
    <cellStyle name="常规 2 2 6 3 6" xfId="33365"/>
    <cellStyle name="常规 2 2 6 3 6 2" xfId="33366"/>
    <cellStyle name="常规 2 2 6 4" xfId="33367"/>
    <cellStyle name="常规 2 2 6 4 2" xfId="33368"/>
    <cellStyle name="常规 2 2 6 4 2 2" xfId="33369"/>
    <cellStyle name="常规 2 2 6 4 2 3" xfId="33370"/>
    <cellStyle name="常规 2 2 6 4 2 4" xfId="33371"/>
    <cellStyle name="常规 2 2 6 4 3" xfId="33372"/>
    <cellStyle name="常规 2 2 6 4 4" xfId="33373"/>
    <cellStyle name="常规 2 2 6 4 5" xfId="33374"/>
    <cellStyle name="常规 2 2 6 4 6" xfId="33375"/>
    <cellStyle name="常规 2 2 6 4 6 2" xfId="33376"/>
    <cellStyle name="常规 2 2 6 5" xfId="33377"/>
    <cellStyle name="常规 2 2 6 5 2" xfId="33378"/>
    <cellStyle name="常规 2 2 6 5 3" xfId="33379"/>
    <cellStyle name="常规 2 2 6 5 4" xfId="33380"/>
    <cellStyle name="常规 2 2 6 5 5" xfId="33381"/>
    <cellStyle name="常规 2 2 6 5 5 2" xfId="33382"/>
    <cellStyle name="常规 2 2 6 6" xfId="33383"/>
    <cellStyle name="常规 2 2 6 7" xfId="33384"/>
    <cellStyle name="常规 2 2 6 8" xfId="33385"/>
    <cellStyle name="常规 2 2 6 9" xfId="33386"/>
    <cellStyle name="常规 2 2 6 9 2" xfId="33387"/>
    <cellStyle name="常规 2 2 7" xfId="33388"/>
    <cellStyle name="常规 2 2 7 2" xfId="33389"/>
    <cellStyle name="常规 2 2 7 2 2" xfId="33390"/>
    <cellStyle name="常规 2 2 7 2 2 2" xfId="33391"/>
    <cellStyle name="常规 2 2 7 2 2 3" xfId="33392"/>
    <cellStyle name="常规 2 2 7 2 2 4" xfId="33393"/>
    <cellStyle name="常规 2 2 7 2 2 5" xfId="33394"/>
    <cellStyle name="常规 2 2 7 2 2 5 2" xfId="33395"/>
    <cellStyle name="常规 2 2 7 2 3" xfId="33396"/>
    <cellStyle name="常规 2 2 7 2 4" xfId="33397"/>
    <cellStyle name="常规 2 2 7 2 5" xfId="33398"/>
    <cellStyle name="常规 2 2 7 2 6" xfId="33399"/>
    <cellStyle name="常规 2 2 7 2 6 2" xfId="33400"/>
    <cellStyle name="常规 2 2 7 3" xfId="33401"/>
    <cellStyle name="常规 2 2 7 3 2" xfId="33402"/>
    <cellStyle name="常规 2 2 7 3 2 2" xfId="33403"/>
    <cellStyle name="常规 2 2 7 3 2 3" xfId="33404"/>
    <cellStyle name="常规 2 2 7 3 2 4" xfId="33405"/>
    <cellStyle name="常规 2 2 7 3 3" xfId="33406"/>
    <cellStyle name="常规 2 2 7 3 4" xfId="33407"/>
    <cellStyle name="常规 2 2 7 3 5" xfId="33408"/>
    <cellStyle name="常规 2 2 7 3 6" xfId="33409"/>
    <cellStyle name="常规 2 2 7 3 6 2" xfId="33410"/>
    <cellStyle name="常规 2 2 7 4" xfId="33411"/>
    <cellStyle name="常规 2 2 7 4 2" xfId="33412"/>
    <cellStyle name="常规 2 2 7 4 3" xfId="33413"/>
    <cellStyle name="常规 2 2 7 4 4" xfId="33414"/>
    <cellStyle name="常规 2 2 7 4 5" xfId="33415"/>
    <cellStyle name="常规 2 2 7 4 5 2" xfId="33416"/>
    <cellStyle name="常规 2 2 7 5" xfId="33417"/>
    <cellStyle name="常规 2 2 7 6" xfId="33418"/>
    <cellStyle name="常规 2 2 7 7" xfId="33419"/>
    <cellStyle name="常规 2 2 7 8" xfId="33420"/>
    <cellStyle name="常规 2 2 7 8 2" xfId="33421"/>
    <cellStyle name="常规 2 2 7 9" xfId="33422"/>
    <cellStyle name="常规 2 2 8" xfId="33423"/>
    <cellStyle name="常规 2 2 8 2" xfId="33424"/>
    <cellStyle name="常规 2 2 8 2 2" xfId="33425"/>
    <cellStyle name="常规 2 2 8 2 2 2" xfId="33426"/>
    <cellStyle name="常规 2 2 8 2 2 2 2" xfId="33427"/>
    <cellStyle name="常规 2 2 8 2 3" xfId="33428"/>
    <cellStyle name="常规 2 2 8 2 3 2" xfId="33429"/>
    <cellStyle name="常规 2 2 8 2 3 2 2" xfId="33430"/>
    <cellStyle name="常规 2 2 8 2 4" xfId="33431"/>
    <cellStyle name="常规 2 2 8 2 4 2" xfId="33432"/>
    <cellStyle name="常规 2 2 8 2 4 2 2" xfId="33433"/>
    <cellStyle name="常规 2 2 8 2 5" xfId="33434"/>
    <cellStyle name="常规 2 2 8 2 5 2" xfId="33435"/>
    <cellStyle name="常规 2 2 8 2 5 3" xfId="33436"/>
    <cellStyle name="常规 2 2 8 2 6" xfId="33437"/>
    <cellStyle name="常规 2 2 8 3" xfId="33438"/>
    <cellStyle name="常规 2 2 8 3 2" xfId="33439"/>
    <cellStyle name="常规 2 2 8 3 2 2" xfId="33440"/>
    <cellStyle name="常规 2 2 8 4" xfId="33441"/>
    <cellStyle name="常规 2 2 8 4 2" xfId="33442"/>
    <cellStyle name="常规 2 2 8 4 2 2" xfId="33443"/>
    <cellStyle name="常规 2 2 8 5" xfId="33444"/>
    <cellStyle name="常规 2 2 8 5 2" xfId="33445"/>
    <cellStyle name="常规 2 2 8 5 2 2" xfId="33446"/>
    <cellStyle name="常规 2 2 8 6" xfId="33447"/>
    <cellStyle name="常规 2 2 8 7" xfId="33448"/>
    <cellStyle name="常规 2 2 8 7 2" xfId="33449"/>
    <cellStyle name="常规 2 2 8 7 3" xfId="33450"/>
    <cellStyle name="常规 2 2 8 8" xfId="33451"/>
    <cellStyle name="常规 2 2 8 8 2" xfId="33452"/>
    <cellStyle name="常规 2 2 9" xfId="33453"/>
    <cellStyle name="常规 2 2 9 2" xfId="33454"/>
    <cellStyle name="常规 2 2 9 2 2" xfId="33455"/>
    <cellStyle name="常规 2 2 9 2 2 2" xfId="33456"/>
    <cellStyle name="常规 2 2 9 2 2 2 2" xfId="33457"/>
    <cellStyle name="常规 2 2 9 2 3" xfId="33458"/>
    <cellStyle name="常规 2 2 9 2 4" xfId="33459"/>
    <cellStyle name="常规 2 2 9 2 5" xfId="33460"/>
    <cellStyle name="常规 2 2 9 2 5 2" xfId="33461"/>
    <cellStyle name="常规 2 2 9 3" xfId="33462"/>
    <cellStyle name="常规 2 2 9 3 2" xfId="33463"/>
    <cellStyle name="常规 2 2 9 3 2 2" xfId="33464"/>
    <cellStyle name="常规 2 2 9 4" xfId="33465"/>
    <cellStyle name="常规 2 2 9 4 2" xfId="33466"/>
    <cellStyle name="常规 2 2 9 4 2 2" xfId="33467"/>
    <cellStyle name="常规 2 2 9 5" xfId="33468"/>
    <cellStyle name="常规 2 2 9 6" xfId="33469"/>
    <cellStyle name="常规 2 2 9 6 2" xfId="33470"/>
    <cellStyle name="常规 2 2 9 7" xfId="33471"/>
    <cellStyle name="常规 2 20" xfId="33472"/>
    <cellStyle name="常规 2 20 2" xfId="33473"/>
    <cellStyle name="常规 2 20 2 2" xfId="33474"/>
    <cellStyle name="常规 2 20 2 3" xfId="33475"/>
    <cellStyle name="常规 2 20 3" xfId="33476"/>
    <cellStyle name="常规 2 20 3 2" xfId="33477"/>
    <cellStyle name="常规 2 20 4" xfId="33478"/>
    <cellStyle name="常规 2 20 5" xfId="33479"/>
    <cellStyle name="常规 2 21" xfId="33480"/>
    <cellStyle name="常规 2 21 2" xfId="33481"/>
    <cellStyle name="常规 2 21 2 2" xfId="33482"/>
    <cellStyle name="常规 2 21 3" xfId="33483"/>
    <cellStyle name="常规 2 22" xfId="33484"/>
    <cellStyle name="常规 2 22 2" xfId="33485"/>
    <cellStyle name="常规 2 22 3" xfId="33486"/>
    <cellStyle name="常规 2 23" xfId="33487"/>
    <cellStyle name="常规 2 23 2" xfId="33488"/>
    <cellStyle name="常规 2 24" xfId="33489"/>
    <cellStyle name="常规 2 25" xfId="33490"/>
    <cellStyle name="常规 2 26" xfId="33491"/>
    <cellStyle name="常规 2 27" xfId="33492"/>
    <cellStyle name="常规 2 28" xfId="33493"/>
    <cellStyle name="常规 2 3" xfId="33494"/>
    <cellStyle name="常规 2 3 2" xfId="33495"/>
    <cellStyle name="常规 2 3 2 2" xfId="33496"/>
    <cellStyle name="常规 2 3 2 2 2" xfId="33497"/>
    <cellStyle name="常规 2 3 2 2 2 2" xfId="33498"/>
    <cellStyle name="常规 2 3 2 2 2 3" xfId="33499"/>
    <cellStyle name="常规 2 3 2 2 2 4" xfId="33500"/>
    <cellStyle name="常规 2 3 2 2 2 4 2" xfId="33501"/>
    <cellStyle name="常规 2 3 2 2 2 5" xfId="33502"/>
    <cellStyle name="常规 2 3 2 2 2 5 2" xfId="33503"/>
    <cellStyle name="常规 2 3 2 2 3" xfId="33504"/>
    <cellStyle name="常规 2 3 2 2 4" xfId="33505"/>
    <cellStyle name="常规 2 3 2 2 5" xfId="33506"/>
    <cellStyle name="常规 2 3 2 2 6" xfId="33507"/>
    <cellStyle name="常规 2 3 2 2 6 2" xfId="33508"/>
    <cellStyle name="常规 2 3 2 2 7" xfId="33509"/>
    <cellStyle name="常规 2 3 2 2 7 2" xfId="33510"/>
    <cellStyle name="常规 2 3 2 3" xfId="33511"/>
    <cellStyle name="常规 2 3 2 3 2" xfId="33512"/>
    <cellStyle name="常规 2 3 2 3 2 2" xfId="33513"/>
    <cellStyle name="常规 2 3 2 3 2 3" xfId="33514"/>
    <cellStyle name="常规 2 3 2 3 2 4" xfId="33515"/>
    <cellStyle name="常规 2 3 2 3 2 4 2" xfId="33516"/>
    <cellStyle name="常规 2 3 2 3 2 5" xfId="33517"/>
    <cellStyle name="常规 2 3 2 3 2 5 2" xfId="33518"/>
    <cellStyle name="常规 2 3 2 3 3" xfId="33519"/>
    <cellStyle name="常规 2 3 2 3 4" xfId="33520"/>
    <cellStyle name="常规 2 3 2 3 5" xfId="33521"/>
    <cellStyle name="常规 2 3 2 3 6" xfId="33522"/>
    <cellStyle name="常规 2 3 2 3 6 2" xfId="33523"/>
    <cellStyle name="常规 2 3 2 3 7" xfId="33524"/>
    <cellStyle name="常规 2 3 2 3 7 2" xfId="33525"/>
    <cellStyle name="常规 2 3 2 4" xfId="33526"/>
    <cellStyle name="常规 2 3 2 4 2" xfId="33527"/>
    <cellStyle name="常规 2 3 2 5" xfId="33528"/>
    <cellStyle name="常规 2 3 2 6" xfId="33529"/>
    <cellStyle name="常规 2 3 2 7" xfId="33530"/>
    <cellStyle name="常规 2 3 3" xfId="33531"/>
    <cellStyle name="常规 2 3 3 2" xfId="33532"/>
    <cellStyle name="常规 2 3 3 2 2" xfId="33533"/>
    <cellStyle name="常规 2 3 3 3" xfId="33534"/>
    <cellStyle name="常规 2 3 3 4" xfId="33535"/>
    <cellStyle name="常规 2 3 3 5" xfId="33536"/>
    <cellStyle name="常规 2 3 4" xfId="33537"/>
    <cellStyle name="常规 2 3 4 2" xfId="33538"/>
    <cellStyle name="常规 2 3 4 2 2" xfId="33539"/>
    <cellStyle name="常规 2 3 4 3" xfId="33540"/>
    <cellStyle name="常规 2 3 4 4" xfId="33541"/>
    <cellStyle name="常规 2 3 4 5" xfId="33542"/>
    <cellStyle name="常规 2 3 5" xfId="33543"/>
    <cellStyle name="常规 2 3 5 2" xfId="33544"/>
    <cellStyle name="常规 2 3 5 3" xfId="33545"/>
    <cellStyle name="常规 2 3 5 3 2" xfId="33546"/>
    <cellStyle name="常规 2 3 5 3 2 2" xfId="33547"/>
    <cellStyle name="常规 2 3 5 4" xfId="33548"/>
    <cellStyle name="常规 2 3 5 4 2" xfId="33549"/>
    <cellStyle name="常规 2 3 6" xfId="33550"/>
    <cellStyle name="常规 2 3 7" xfId="33551"/>
    <cellStyle name="常规 2 3 8" xfId="33552"/>
    <cellStyle name="常规 2 3 8 2" xfId="33553"/>
    <cellStyle name="常规 2 3 8 3" xfId="33554"/>
    <cellStyle name="常规 2 3 9" xfId="33555"/>
    <cellStyle name="常规 2 4" xfId="33556"/>
    <cellStyle name="常规 2 4 10" xfId="33557"/>
    <cellStyle name="常规 2 4 10 2" xfId="33558"/>
    <cellStyle name="常规 2 4 10 3" xfId="33559"/>
    <cellStyle name="常规 2 4 10 4" xfId="33560"/>
    <cellStyle name="常规 2 4 11" xfId="33561"/>
    <cellStyle name="常规 2 4 12" xfId="33562"/>
    <cellStyle name="常规 2 4 13" xfId="33563"/>
    <cellStyle name="常规 2 4 14" xfId="33564"/>
    <cellStyle name="常规 2 4 14 2" xfId="33565"/>
    <cellStyle name="常规 2 4 15" xfId="33566"/>
    <cellStyle name="常规 2 4 2" xfId="33567"/>
    <cellStyle name="常规 2 4 2 10" xfId="33568"/>
    <cellStyle name="常规 2 4 2 2" xfId="33569"/>
    <cellStyle name="常规 2 4 2 2 2" xfId="33570"/>
    <cellStyle name="常规 2 4 2 2 2 2" xfId="33571"/>
    <cellStyle name="常规 2 4 2 2 2 2 2" xfId="33572"/>
    <cellStyle name="常规 2 4 2 2 2 2 2 2" xfId="33573"/>
    <cellStyle name="常规 2 4 2 2 2 2 2 3" xfId="33574"/>
    <cellStyle name="常规 2 4 2 2 2 2 2 4" xfId="33575"/>
    <cellStyle name="常规 2 4 2 2 2 2 3" xfId="33576"/>
    <cellStyle name="常规 2 4 2 2 2 2 4" xfId="33577"/>
    <cellStyle name="常规 2 4 2 2 2 2 5" xfId="33578"/>
    <cellStyle name="常规 2 4 2 2 2 3" xfId="33579"/>
    <cellStyle name="常规 2 4 2 2 2 3 2" xfId="33580"/>
    <cellStyle name="常规 2 4 2 2 2 3 2 2" xfId="33581"/>
    <cellStyle name="常规 2 4 2 2 2 3 2 3" xfId="33582"/>
    <cellStyle name="常规 2 4 2 2 2 3 2 4" xfId="33583"/>
    <cellStyle name="常规 2 4 2 2 2 3 3" xfId="33584"/>
    <cellStyle name="常规 2 4 2 2 2 3 4" xfId="33585"/>
    <cellStyle name="常规 2 4 2 2 2 3 5" xfId="33586"/>
    <cellStyle name="常规 2 4 2 2 2 4" xfId="33587"/>
    <cellStyle name="常规 2 4 2 2 2 4 2" xfId="33588"/>
    <cellStyle name="常规 2 4 2 2 2 4 3" xfId="33589"/>
    <cellStyle name="常规 2 4 2 2 2 4 4" xfId="33590"/>
    <cellStyle name="常规 2 4 2 2 2 5" xfId="33591"/>
    <cellStyle name="常规 2 4 2 2 2 6" xfId="33592"/>
    <cellStyle name="常规 2 4 2 2 2 7" xfId="33593"/>
    <cellStyle name="常规 2 4 2 2 2 8" xfId="33594"/>
    <cellStyle name="常规 2 4 2 2 2 8 2" xfId="33595"/>
    <cellStyle name="常规 2 4 2 2 3" xfId="33596"/>
    <cellStyle name="常规 2 4 2 2 3 2" xfId="33597"/>
    <cellStyle name="常规 2 4 2 2 3 2 2" xfId="33598"/>
    <cellStyle name="常规 2 4 2 2 3 2 3" xfId="33599"/>
    <cellStyle name="常规 2 4 2 2 3 2 4" xfId="33600"/>
    <cellStyle name="常规 2 4 2 2 3 3" xfId="33601"/>
    <cellStyle name="常规 2 4 2 2 3 4" xfId="33602"/>
    <cellStyle name="常规 2 4 2 2 3 5" xfId="33603"/>
    <cellStyle name="常规 2 4 2 2 4" xfId="33604"/>
    <cellStyle name="常规 2 4 2 2 4 2" xfId="33605"/>
    <cellStyle name="常规 2 4 2 2 4 2 2" xfId="33606"/>
    <cellStyle name="常规 2 4 2 2 4 2 3" xfId="33607"/>
    <cellStyle name="常规 2 4 2 2 4 2 4" xfId="33608"/>
    <cellStyle name="常规 2 4 2 2 4 3" xfId="33609"/>
    <cellStyle name="常规 2 4 2 2 4 4" xfId="33610"/>
    <cellStyle name="常规 2 4 2 2 4 5" xfId="33611"/>
    <cellStyle name="常规 2 4 2 2 5" xfId="33612"/>
    <cellStyle name="常规 2 4 2 2 5 2" xfId="33613"/>
    <cellStyle name="常规 2 4 2 2 5 3" xfId="33614"/>
    <cellStyle name="常规 2 4 2 2 5 4" xfId="33615"/>
    <cellStyle name="常规 2 4 2 2 6" xfId="33616"/>
    <cellStyle name="常规 2 4 2 2 7" xfId="33617"/>
    <cellStyle name="常规 2 4 2 2 8" xfId="33618"/>
    <cellStyle name="常规 2 4 2 2 9" xfId="33619"/>
    <cellStyle name="常规 2 4 2 2 9 2" xfId="33620"/>
    <cellStyle name="常规 2 4 2 3" xfId="33621"/>
    <cellStyle name="常规 2 4 2 3 2" xfId="33622"/>
    <cellStyle name="常规 2 4 2 3 2 2" xfId="33623"/>
    <cellStyle name="常规 2 4 2 3 2 3" xfId="33624"/>
    <cellStyle name="常规 2 4 2 3 2 4" xfId="33625"/>
    <cellStyle name="常规 2 4 2 3 3" xfId="33626"/>
    <cellStyle name="常规 2 4 2 3 4" xfId="33627"/>
    <cellStyle name="常规 2 4 2 3 5" xfId="33628"/>
    <cellStyle name="常规 2 4 2 3 6" xfId="33629"/>
    <cellStyle name="常规 2 4 2 3 6 2" xfId="33630"/>
    <cellStyle name="常规 2 4 2 4" xfId="33631"/>
    <cellStyle name="常规 2 4 2 4 2" xfId="33632"/>
    <cellStyle name="常规 2 4 2 4 2 2" xfId="33633"/>
    <cellStyle name="常规 2 4 2 4 2 3" xfId="33634"/>
    <cellStyle name="常规 2 4 2 4 2 4" xfId="33635"/>
    <cellStyle name="常规 2 4 2 4 3" xfId="33636"/>
    <cellStyle name="常规 2 4 2 4 4" xfId="33637"/>
    <cellStyle name="常规 2 4 2 4 5" xfId="33638"/>
    <cellStyle name="常规 2 4 2 4 6" xfId="33639"/>
    <cellStyle name="常规 2 4 2 4 6 2" xfId="33640"/>
    <cellStyle name="常规 2 4 2 5" xfId="33641"/>
    <cellStyle name="常规 2 4 2 5 2" xfId="33642"/>
    <cellStyle name="常规 2 4 2 5 3" xfId="33643"/>
    <cellStyle name="常规 2 4 2 5 4" xfId="33644"/>
    <cellStyle name="常规 2 4 2 6" xfId="33645"/>
    <cellStyle name="常规 2 4 2 7" xfId="33646"/>
    <cellStyle name="常规 2 4 2 8" xfId="33647"/>
    <cellStyle name="常规 2 4 2 9" xfId="33648"/>
    <cellStyle name="常规 2 4 2 9 2" xfId="33649"/>
    <cellStyle name="常规 2 4 3" xfId="33650"/>
    <cellStyle name="常规 2 4 3 10" xfId="33651"/>
    <cellStyle name="常规 2 4 3 2" xfId="33652"/>
    <cellStyle name="常规 2 4 3 2 2" xfId="33653"/>
    <cellStyle name="常规 2 4 3 2 2 2" xfId="33654"/>
    <cellStyle name="常规 2 4 3 2 2 2 2" xfId="33655"/>
    <cellStyle name="常规 2 4 3 2 2 2 2 2" xfId="33656"/>
    <cellStyle name="常规 2 4 3 2 2 2 2 3" xfId="33657"/>
    <cellStyle name="常规 2 4 3 2 2 2 2 4" xfId="33658"/>
    <cellStyle name="常规 2 4 3 2 2 2 3" xfId="33659"/>
    <cellStyle name="常规 2 4 3 2 2 2 4" xfId="33660"/>
    <cellStyle name="常规 2 4 3 2 2 2 5" xfId="33661"/>
    <cellStyle name="常规 2 4 3 2 2 3" xfId="33662"/>
    <cellStyle name="常规 2 4 3 2 2 3 2" xfId="33663"/>
    <cellStyle name="常规 2 4 3 2 2 3 2 2" xfId="33664"/>
    <cellStyle name="常规 2 4 3 2 2 3 2 3" xfId="33665"/>
    <cellStyle name="常规 2 4 3 2 2 3 2 4" xfId="33666"/>
    <cellStyle name="常规 2 4 3 2 2 3 3" xfId="33667"/>
    <cellStyle name="常规 2 4 3 2 2 3 4" xfId="33668"/>
    <cellStyle name="常规 2 4 3 2 2 3 5" xfId="33669"/>
    <cellStyle name="常规 2 4 3 2 2 4" xfId="33670"/>
    <cellStyle name="常规 2 4 3 2 2 4 2" xfId="33671"/>
    <cellStyle name="常规 2 4 3 2 2 4 3" xfId="33672"/>
    <cellStyle name="常规 2 4 3 2 2 4 4" xfId="33673"/>
    <cellStyle name="常规 2 4 3 2 2 5" xfId="33674"/>
    <cellStyle name="常规 2 4 3 2 2 6" xfId="33675"/>
    <cellStyle name="常规 2 4 3 2 2 7" xfId="33676"/>
    <cellStyle name="常规 2 4 3 2 2 8" xfId="33677"/>
    <cellStyle name="常规 2 4 3 2 2 8 2" xfId="33678"/>
    <cellStyle name="常规 2 4 3 2 3" xfId="33679"/>
    <cellStyle name="常规 2 4 3 2 3 2" xfId="33680"/>
    <cellStyle name="常规 2 4 3 2 3 2 2" xfId="33681"/>
    <cellStyle name="常规 2 4 3 2 3 2 3" xfId="33682"/>
    <cellStyle name="常规 2 4 3 2 3 2 4" xfId="33683"/>
    <cellStyle name="常规 2 4 3 2 3 3" xfId="33684"/>
    <cellStyle name="常规 2 4 3 2 3 4" xfId="33685"/>
    <cellStyle name="常规 2 4 3 2 3 5" xfId="33686"/>
    <cellStyle name="常规 2 4 3 2 4" xfId="33687"/>
    <cellStyle name="常规 2 4 3 2 4 2" xfId="33688"/>
    <cellStyle name="常规 2 4 3 2 4 2 2" xfId="33689"/>
    <cellStyle name="常规 2 4 3 2 4 2 3" xfId="33690"/>
    <cellStyle name="常规 2 4 3 2 4 2 4" xfId="33691"/>
    <cellStyle name="常规 2 4 3 2 4 3" xfId="33692"/>
    <cellStyle name="常规 2 4 3 2 4 4" xfId="33693"/>
    <cellStyle name="常规 2 4 3 2 4 5" xfId="33694"/>
    <cellStyle name="常规 2 4 3 2 5" xfId="33695"/>
    <cellStyle name="常规 2 4 3 2 5 2" xfId="33696"/>
    <cellStyle name="常规 2 4 3 2 5 3" xfId="33697"/>
    <cellStyle name="常规 2 4 3 2 5 4" xfId="33698"/>
    <cellStyle name="常规 2 4 3 2 6" xfId="33699"/>
    <cellStyle name="常规 2 4 3 2 7" xfId="33700"/>
    <cellStyle name="常规 2 4 3 2 8" xfId="33701"/>
    <cellStyle name="常规 2 4 3 2 9" xfId="33702"/>
    <cellStyle name="常规 2 4 3 2 9 2" xfId="33703"/>
    <cellStyle name="常规 2 4 3 3" xfId="33704"/>
    <cellStyle name="常规 2 4 3 3 2" xfId="33705"/>
    <cellStyle name="常规 2 4 3 3 2 2" xfId="33706"/>
    <cellStyle name="常规 2 4 3 3 2 3" xfId="33707"/>
    <cellStyle name="常规 2 4 3 3 2 4" xfId="33708"/>
    <cellStyle name="常规 2 4 3 3 3" xfId="33709"/>
    <cellStyle name="常规 2 4 3 3 4" xfId="33710"/>
    <cellStyle name="常规 2 4 3 3 5" xfId="33711"/>
    <cellStyle name="常规 2 4 3 3 6" xfId="33712"/>
    <cellStyle name="常规 2 4 3 3 6 2" xfId="33713"/>
    <cellStyle name="常规 2 4 3 4" xfId="33714"/>
    <cellStyle name="常规 2 4 3 4 2" xfId="33715"/>
    <cellStyle name="常规 2 4 3 4 2 2" xfId="33716"/>
    <cellStyle name="常规 2 4 3 4 2 3" xfId="33717"/>
    <cellStyle name="常规 2 4 3 4 2 4" xfId="33718"/>
    <cellStyle name="常规 2 4 3 4 3" xfId="33719"/>
    <cellStyle name="常规 2 4 3 4 4" xfId="33720"/>
    <cellStyle name="常规 2 4 3 4 5" xfId="33721"/>
    <cellStyle name="常规 2 4 3 4 6" xfId="33722"/>
    <cellStyle name="常规 2 4 3 4 6 2" xfId="33723"/>
    <cellStyle name="常规 2 4 3 5" xfId="33724"/>
    <cellStyle name="常规 2 4 3 5 2" xfId="33725"/>
    <cellStyle name="常规 2 4 3 5 3" xfId="33726"/>
    <cellStyle name="常规 2 4 3 5 4" xfId="33727"/>
    <cellStyle name="常规 2 4 3 6" xfId="33728"/>
    <cellStyle name="常规 2 4 3 7" xfId="33729"/>
    <cellStyle name="常规 2 4 3 8" xfId="33730"/>
    <cellStyle name="常规 2 4 3 9" xfId="33731"/>
    <cellStyle name="常规 2 4 3 9 2" xfId="33732"/>
    <cellStyle name="常规 2 4 4" xfId="33733"/>
    <cellStyle name="常规 2 4 4 10" xfId="33734"/>
    <cellStyle name="常规 2 4 4 2" xfId="33735"/>
    <cellStyle name="常规 2 4 4 2 2" xfId="33736"/>
    <cellStyle name="常规 2 4 4 2 2 2" xfId="33737"/>
    <cellStyle name="常规 2 4 4 2 2 2 2" xfId="33738"/>
    <cellStyle name="常规 2 4 4 2 2 2 2 2" xfId="33739"/>
    <cellStyle name="常规 2 4 4 2 2 2 2 3" xfId="33740"/>
    <cellStyle name="常规 2 4 4 2 2 2 2 4" xfId="33741"/>
    <cellStyle name="常规 2 4 4 2 2 2 3" xfId="33742"/>
    <cellStyle name="常规 2 4 4 2 2 2 4" xfId="33743"/>
    <cellStyle name="常规 2 4 4 2 2 2 5" xfId="33744"/>
    <cellStyle name="常规 2 4 4 2 2 3" xfId="33745"/>
    <cellStyle name="常规 2 4 4 2 2 3 2" xfId="33746"/>
    <cellStyle name="常规 2 4 4 2 2 3 2 2" xfId="33747"/>
    <cellStyle name="常规 2 4 4 2 2 3 2 3" xfId="33748"/>
    <cellStyle name="常规 2 4 4 2 2 3 2 4" xfId="33749"/>
    <cellStyle name="常规 2 4 4 2 2 3 3" xfId="33750"/>
    <cellStyle name="常规 2 4 4 2 2 3 4" xfId="33751"/>
    <cellStyle name="常规 2 4 4 2 2 3 5" xfId="33752"/>
    <cellStyle name="常规 2 4 4 2 2 4" xfId="33753"/>
    <cellStyle name="常规 2 4 4 2 2 4 2" xfId="33754"/>
    <cellStyle name="常规 2 4 4 2 2 4 3" xfId="33755"/>
    <cellStyle name="常规 2 4 4 2 2 4 4" xfId="33756"/>
    <cellStyle name="常规 2 4 4 2 2 5" xfId="33757"/>
    <cellStyle name="常规 2 4 4 2 2 6" xfId="33758"/>
    <cellStyle name="常规 2 4 4 2 2 7" xfId="33759"/>
    <cellStyle name="常规 2 4 4 2 3" xfId="33760"/>
    <cellStyle name="常规 2 4 4 2 3 2" xfId="33761"/>
    <cellStyle name="常规 2 4 4 2 3 2 2" xfId="33762"/>
    <cellStyle name="常规 2 4 4 2 3 2 3" xfId="33763"/>
    <cellStyle name="常规 2 4 4 2 3 2 4" xfId="33764"/>
    <cellStyle name="常规 2 4 4 2 3 3" xfId="33765"/>
    <cellStyle name="常规 2 4 4 2 3 4" xfId="33766"/>
    <cellStyle name="常规 2 4 4 2 3 5" xfId="33767"/>
    <cellStyle name="常规 2 4 4 2 4" xfId="33768"/>
    <cellStyle name="常规 2 4 4 2 4 2" xfId="33769"/>
    <cellStyle name="常规 2 4 4 2 4 2 2" xfId="33770"/>
    <cellStyle name="常规 2 4 4 2 4 2 3" xfId="33771"/>
    <cellStyle name="常规 2 4 4 2 4 2 4" xfId="33772"/>
    <cellStyle name="常规 2 4 4 2 4 3" xfId="33773"/>
    <cellStyle name="常规 2 4 4 2 4 4" xfId="33774"/>
    <cellStyle name="常规 2 4 4 2 4 5" xfId="33775"/>
    <cellStyle name="常规 2 4 4 2 5" xfId="33776"/>
    <cellStyle name="常规 2 4 4 2 5 2" xfId="33777"/>
    <cellStyle name="常规 2 4 4 2 5 3" xfId="33778"/>
    <cellStyle name="常规 2 4 4 2 5 4" xfId="33779"/>
    <cellStyle name="常规 2 4 4 2 6" xfId="33780"/>
    <cellStyle name="常规 2 4 4 2 7" xfId="33781"/>
    <cellStyle name="常规 2 4 4 2 8" xfId="33782"/>
    <cellStyle name="常规 2 4 4 2 9" xfId="33783"/>
    <cellStyle name="常规 2 4 4 2 9 2" xfId="33784"/>
    <cellStyle name="常规 2 4 4 3" xfId="33785"/>
    <cellStyle name="常规 2 4 4 3 2" xfId="33786"/>
    <cellStyle name="常规 2 4 4 3 2 2" xfId="33787"/>
    <cellStyle name="常规 2 4 4 3 2 3" xfId="33788"/>
    <cellStyle name="常规 2 4 4 3 2 4" xfId="33789"/>
    <cellStyle name="常规 2 4 4 3 2 5" xfId="33790"/>
    <cellStyle name="常规 2 4 4 3 3" xfId="33791"/>
    <cellStyle name="常规 2 4 4 3 4" xfId="33792"/>
    <cellStyle name="常规 2 4 4 3 5" xfId="33793"/>
    <cellStyle name="常规 2 4 4 3 6" xfId="33794"/>
    <cellStyle name="常规 2 4 4 3 6 2" xfId="33795"/>
    <cellStyle name="常规 2 4 4 3 7" xfId="33796"/>
    <cellStyle name="常规 2 4 4 4" xfId="33797"/>
    <cellStyle name="常规 2 4 4 4 2" xfId="33798"/>
    <cellStyle name="常规 2 4 4 4 2 2" xfId="33799"/>
    <cellStyle name="常规 2 4 4 4 2 3" xfId="33800"/>
    <cellStyle name="常规 2 4 4 4 2 4" xfId="33801"/>
    <cellStyle name="常规 2 4 4 4 3" xfId="33802"/>
    <cellStyle name="常规 2 4 4 4 4" xfId="33803"/>
    <cellStyle name="常规 2 4 4 4 5" xfId="33804"/>
    <cellStyle name="常规 2 4 4 4 6" xfId="33805"/>
    <cellStyle name="常规 2 4 4 5" xfId="33806"/>
    <cellStyle name="常规 2 4 4 5 2" xfId="33807"/>
    <cellStyle name="常规 2 4 4 5 3" xfId="33808"/>
    <cellStyle name="常规 2 4 4 5 4" xfId="33809"/>
    <cellStyle name="常规 2 4 4 6" xfId="33810"/>
    <cellStyle name="常规 2 4 4 7" xfId="33811"/>
    <cellStyle name="常规 2 4 4 8" xfId="33812"/>
    <cellStyle name="常规 2 4 4 9" xfId="33813"/>
    <cellStyle name="常规 2 4 4 9 2" xfId="33814"/>
    <cellStyle name="常规 2 4 5" xfId="33815"/>
    <cellStyle name="常规 2 4 5 2" xfId="33816"/>
    <cellStyle name="常规 2 4 5 2 2" xfId="33817"/>
    <cellStyle name="常规 2 4 5 2 2 2" xfId="33818"/>
    <cellStyle name="常规 2 4 5 2 2 2 2" xfId="33819"/>
    <cellStyle name="常规 2 4 5 2 2 2 2 2" xfId="33820"/>
    <cellStyle name="常规 2 4 5 2 2 2 2 3" xfId="33821"/>
    <cellStyle name="常规 2 4 5 2 2 2 2 4" xfId="33822"/>
    <cellStyle name="常规 2 4 5 2 2 2 3" xfId="33823"/>
    <cellStyle name="常规 2 4 5 2 2 2 4" xfId="33824"/>
    <cellStyle name="常规 2 4 5 2 2 2 5" xfId="33825"/>
    <cellStyle name="常规 2 4 5 2 2 3" xfId="33826"/>
    <cellStyle name="常规 2 4 5 2 2 3 2" xfId="33827"/>
    <cellStyle name="常规 2 4 5 2 2 3 2 2" xfId="33828"/>
    <cellStyle name="常规 2 4 5 2 2 3 2 3" xfId="33829"/>
    <cellStyle name="常规 2 4 5 2 2 3 2 4" xfId="33830"/>
    <cellStyle name="常规 2 4 5 2 2 3 3" xfId="33831"/>
    <cellStyle name="常规 2 4 5 2 2 3 4" xfId="33832"/>
    <cellStyle name="常规 2 4 5 2 2 3 5" xfId="33833"/>
    <cellStyle name="常规 2 4 5 2 2 4" xfId="33834"/>
    <cellStyle name="常规 2 4 5 2 2 4 2" xfId="33835"/>
    <cellStyle name="常规 2 4 5 2 2 4 3" xfId="33836"/>
    <cellStyle name="常规 2 4 5 2 2 4 4" xfId="33837"/>
    <cellStyle name="常规 2 4 5 2 2 5" xfId="33838"/>
    <cellStyle name="常规 2 4 5 2 2 6" xfId="33839"/>
    <cellStyle name="常规 2 4 5 2 2 7" xfId="33840"/>
    <cellStyle name="常规 2 4 5 2 3" xfId="33841"/>
    <cellStyle name="常规 2 4 5 2 3 2" xfId="33842"/>
    <cellStyle name="常规 2 4 5 2 3 2 2" xfId="33843"/>
    <cellStyle name="常规 2 4 5 2 3 2 3" xfId="33844"/>
    <cellStyle name="常规 2 4 5 2 3 2 4" xfId="33845"/>
    <cellStyle name="常规 2 4 5 2 3 3" xfId="33846"/>
    <cellStyle name="常规 2 4 5 2 3 4" xfId="33847"/>
    <cellStyle name="常规 2 4 5 2 3 5" xfId="33848"/>
    <cellStyle name="常规 2 4 5 2 4" xfId="33849"/>
    <cellStyle name="常规 2 4 5 2 4 2" xfId="33850"/>
    <cellStyle name="常规 2 4 5 2 4 2 2" xfId="33851"/>
    <cellStyle name="常规 2 4 5 2 4 2 3" xfId="33852"/>
    <cellStyle name="常规 2 4 5 2 4 2 4" xfId="33853"/>
    <cellStyle name="常规 2 4 5 2 4 3" xfId="33854"/>
    <cellStyle name="常规 2 4 5 2 4 4" xfId="33855"/>
    <cellStyle name="常规 2 4 5 2 4 5" xfId="33856"/>
    <cellStyle name="常规 2 4 5 2 5" xfId="33857"/>
    <cellStyle name="常规 2 4 5 2 5 2" xfId="33858"/>
    <cellStyle name="常规 2 4 5 2 5 3" xfId="33859"/>
    <cellStyle name="常规 2 4 5 2 5 4" xfId="33860"/>
    <cellStyle name="常规 2 4 5 2 6" xfId="33861"/>
    <cellStyle name="常规 2 4 5 2 7" xfId="33862"/>
    <cellStyle name="常规 2 4 5 2 8" xfId="33863"/>
    <cellStyle name="常规 2 4 5 3" xfId="33864"/>
    <cellStyle name="常规 2 4 5 3 2" xfId="33865"/>
    <cellStyle name="常规 2 4 5 3 2 2" xfId="33866"/>
    <cellStyle name="常规 2 4 5 3 2 3" xfId="33867"/>
    <cellStyle name="常规 2 4 5 3 2 4" xfId="33868"/>
    <cellStyle name="常规 2 4 5 3 3" xfId="33869"/>
    <cellStyle name="常规 2 4 5 3 4" xfId="33870"/>
    <cellStyle name="常规 2 4 5 3 5" xfId="33871"/>
    <cellStyle name="常规 2 4 5 4" xfId="33872"/>
    <cellStyle name="常规 2 4 5 4 2" xfId="33873"/>
    <cellStyle name="常规 2 4 5 4 2 2" xfId="33874"/>
    <cellStyle name="常规 2 4 5 4 2 3" xfId="33875"/>
    <cellStyle name="常规 2 4 5 4 2 4" xfId="33876"/>
    <cellStyle name="常规 2 4 5 4 3" xfId="33877"/>
    <cellStyle name="常规 2 4 5 4 4" xfId="33878"/>
    <cellStyle name="常规 2 4 5 4 5" xfId="33879"/>
    <cellStyle name="常规 2 4 5 5" xfId="33880"/>
    <cellStyle name="常规 2 4 5 5 2" xfId="33881"/>
    <cellStyle name="常规 2 4 5 5 3" xfId="33882"/>
    <cellStyle name="常规 2 4 5 5 4" xfId="33883"/>
    <cellStyle name="常规 2 4 5 6" xfId="33884"/>
    <cellStyle name="常规 2 4 5 7" xfId="33885"/>
    <cellStyle name="常规 2 4 5 8" xfId="33886"/>
    <cellStyle name="常规 2 4 5 9" xfId="33887"/>
    <cellStyle name="常规 2 4 5 9 2" xfId="33888"/>
    <cellStyle name="常规 2 4 6" xfId="33889"/>
    <cellStyle name="常规 2 4 6 2" xfId="33890"/>
    <cellStyle name="常规 2 4 6 2 2" xfId="33891"/>
    <cellStyle name="常规 2 4 6 2 2 2" xfId="33892"/>
    <cellStyle name="常规 2 4 6 2 2 2 2" xfId="33893"/>
    <cellStyle name="常规 2 4 6 2 2 2 2 2" xfId="33894"/>
    <cellStyle name="常规 2 4 6 2 2 2 2 3" xfId="33895"/>
    <cellStyle name="常规 2 4 6 2 2 2 2 4" xfId="33896"/>
    <cellStyle name="常规 2 4 6 2 2 2 3" xfId="33897"/>
    <cellStyle name="常规 2 4 6 2 2 2 4" xfId="33898"/>
    <cellStyle name="常规 2 4 6 2 2 2 5" xfId="33899"/>
    <cellStyle name="常规 2 4 6 2 2 3" xfId="33900"/>
    <cellStyle name="常规 2 4 6 2 2 3 2" xfId="33901"/>
    <cellStyle name="常规 2 4 6 2 2 3 2 2" xfId="33902"/>
    <cellStyle name="常规 2 4 6 2 2 3 2 3" xfId="33903"/>
    <cellStyle name="常规 2 4 6 2 2 3 2 4" xfId="33904"/>
    <cellStyle name="常规 2 4 6 2 2 3 3" xfId="33905"/>
    <cellStyle name="常规 2 4 6 2 2 3 4" xfId="33906"/>
    <cellStyle name="常规 2 4 6 2 2 3 5" xfId="33907"/>
    <cellStyle name="常规 2 4 6 2 2 4" xfId="33908"/>
    <cellStyle name="常规 2 4 6 2 2 4 2" xfId="33909"/>
    <cellStyle name="常规 2 4 6 2 2 4 3" xfId="33910"/>
    <cellStyle name="常规 2 4 6 2 2 4 4" xfId="33911"/>
    <cellStyle name="常规 2 4 6 2 2 5" xfId="33912"/>
    <cellStyle name="常规 2 4 6 2 2 6" xfId="33913"/>
    <cellStyle name="常规 2 4 6 2 2 7" xfId="33914"/>
    <cellStyle name="常规 2 4 6 2 3" xfId="33915"/>
    <cellStyle name="常规 2 4 6 2 3 2" xfId="33916"/>
    <cellStyle name="常规 2 4 6 2 3 2 2" xfId="33917"/>
    <cellStyle name="常规 2 4 6 2 3 2 3" xfId="33918"/>
    <cellStyle name="常规 2 4 6 2 3 2 4" xfId="33919"/>
    <cellStyle name="常规 2 4 6 2 3 3" xfId="33920"/>
    <cellStyle name="常规 2 4 6 2 3 4" xfId="33921"/>
    <cellStyle name="常规 2 4 6 2 3 5" xfId="33922"/>
    <cellStyle name="常规 2 4 6 2 4" xfId="33923"/>
    <cellStyle name="常规 2 4 6 2 4 2" xfId="33924"/>
    <cellStyle name="常规 2 4 6 2 4 2 2" xfId="33925"/>
    <cellStyle name="常规 2 4 6 2 4 2 3" xfId="33926"/>
    <cellStyle name="常规 2 4 6 2 4 2 4" xfId="33927"/>
    <cellStyle name="常规 2 4 6 2 4 3" xfId="33928"/>
    <cellStyle name="常规 2 4 6 2 4 4" xfId="33929"/>
    <cellStyle name="常规 2 4 6 2 4 5" xfId="33930"/>
    <cellStyle name="常规 2 4 6 2 5" xfId="33931"/>
    <cellStyle name="常规 2 4 6 2 5 2" xfId="33932"/>
    <cellStyle name="常规 2 4 6 2 5 3" xfId="33933"/>
    <cellStyle name="常规 2 4 6 2 5 4" xfId="33934"/>
    <cellStyle name="常规 2 4 6 2 6" xfId="33935"/>
    <cellStyle name="常规 2 4 6 2 7" xfId="33936"/>
    <cellStyle name="常规 2 4 6 2 8" xfId="33937"/>
    <cellStyle name="常规 2 4 6 3" xfId="33938"/>
    <cellStyle name="常规 2 4 6 3 2" xfId="33939"/>
    <cellStyle name="常规 2 4 6 3 2 2" xfId="33940"/>
    <cellStyle name="常规 2 4 6 3 2 3" xfId="33941"/>
    <cellStyle name="常规 2 4 6 3 2 4" xfId="33942"/>
    <cellStyle name="常规 2 4 6 3 3" xfId="33943"/>
    <cellStyle name="常规 2 4 6 3 4" xfId="33944"/>
    <cellStyle name="常规 2 4 6 3 5" xfId="33945"/>
    <cellStyle name="常规 2 4 6 4" xfId="33946"/>
    <cellStyle name="常规 2 4 6 4 2" xfId="33947"/>
    <cellStyle name="常规 2 4 6 4 2 2" xfId="33948"/>
    <cellStyle name="常规 2 4 6 4 2 3" xfId="33949"/>
    <cellStyle name="常规 2 4 6 4 2 4" xfId="33950"/>
    <cellStyle name="常规 2 4 6 4 3" xfId="33951"/>
    <cellStyle name="常规 2 4 6 4 4" xfId="33952"/>
    <cellStyle name="常规 2 4 6 4 5" xfId="33953"/>
    <cellStyle name="常规 2 4 6 5" xfId="33954"/>
    <cellStyle name="常规 2 4 6 5 2" xfId="33955"/>
    <cellStyle name="常规 2 4 6 5 3" xfId="33956"/>
    <cellStyle name="常规 2 4 6 5 4" xfId="33957"/>
    <cellStyle name="常规 2 4 6 6" xfId="33958"/>
    <cellStyle name="常规 2 4 6 7" xfId="33959"/>
    <cellStyle name="常规 2 4 6 8" xfId="33960"/>
    <cellStyle name="常规 2 4 6 9" xfId="33961"/>
    <cellStyle name="常规 2 4 6 9 2" xfId="33962"/>
    <cellStyle name="常规 2 4 7" xfId="33963"/>
    <cellStyle name="常规 2 4 7 2" xfId="33964"/>
    <cellStyle name="常规 2 4 7 2 2" xfId="33965"/>
    <cellStyle name="常规 2 4 7 2 2 2" xfId="33966"/>
    <cellStyle name="常规 2 4 7 2 2 2 2" xfId="33967"/>
    <cellStyle name="常规 2 4 7 2 2 2 3" xfId="33968"/>
    <cellStyle name="常规 2 4 7 2 2 2 4" xfId="33969"/>
    <cellStyle name="常规 2 4 7 2 2 3" xfId="33970"/>
    <cellStyle name="常规 2 4 7 2 2 4" xfId="33971"/>
    <cellStyle name="常规 2 4 7 2 2 5" xfId="33972"/>
    <cellStyle name="常规 2 4 7 2 3" xfId="33973"/>
    <cellStyle name="常规 2 4 7 2 3 2" xfId="33974"/>
    <cellStyle name="常规 2 4 7 2 3 2 2" xfId="33975"/>
    <cellStyle name="常规 2 4 7 2 3 2 3" xfId="33976"/>
    <cellStyle name="常规 2 4 7 2 3 2 4" xfId="33977"/>
    <cellStyle name="常规 2 4 7 2 3 3" xfId="33978"/>
    <cellStyle name="常规 2 4 7 2 3 4" xfId="33979"/>
    <cellStyle name="常规 2 4 7 2 3 5" xfId="33980"/>
    <cellStyle name="常规 2 4 7 2 4" xfId="33981"/>
    <cellStyle name="常规 2 4 7 2 4 2" xfId="33982"/>
    <cellStyle name="常规 2 4 7 2 4 3" xfId="33983"/>
    <cellStyle name="常规 2 4 7 2 4 4" xfId="33984"/>
    <cellStyle name="常规 2 4 7 2 5" xfId="33985"/>
    <cellStyle name="常规 2 4 7 2 6" xfId="33986"/>
    <cellStyle name="常规 2 4 7 2 7" xfId="33987"/>
    <cellStyle name="常规 2 4 7 3" xfId="33988"/>
    <cellStyle name="常规 2 4 7 3 2" xfId="33989"/>
    <cellStyle name="常规 2 4 7 3 2 2" xfId="33990"/>
    <cellStyle name="常规 2 4 7 3 2 3" xfId="33991"/>
    <cellStyle name="常规 2 4 7 3 2 4" xfId="33992"/>
    <cellStyle name="常规 2 4 7 3 3" xfId="33993"/>
    <cellStyle name="常规 2 4 7 3 4" xfId="33994"/>
    <cellStyle name="常规 2 4 7 3 5" xfId="33995"/>
    <cellStyle name="常规 2 4 7 4" xfId="33996"/>
    <cellStyle name="常规 2 4 7 4 2" xfId="33997"/>
    <cellStyle name="常规 2 4 7 4 2 2" xfId="33998"/>
    <cellStyle name="常规 2 4 7 4 2 3" xfId="33999"/>
    <cellStyle name="常规 2 4 7 4 2 4" xfId="34000"/>
    <cellStyle name="常规 2 4 7 4 3" xfId="34001"/>
    <cellStyle name="常规 2 4 7 4 4" xfId="34002"/>
    <cellStyle name="常规 2 4 7 4 5" xfId="34003"/>
    <cellStyle name="常规 2 4 7 5" xfId="34004"/>
    <cellStyle name="常规 2 4 7 5 2" xfId="34005"/>
    <cellStyle name="常规 2 4 7 5 3" xfId="34006"/>
    <cellStyle name="常规 2 4 7 5 4" xfId="34007"/>
    <cellStyle name="常规 2 4 7 6" xfId="34008"/>
    <cellStyle name="常规 2 4 7 7" xfId="34009"/>
    <cellStyle name="常规 2 4 7 8" xfId="34010"/>
    <cellStyle name="常规 2 4 8" xfId="34011"/>
    <cellStyle name="常规 2 4 8 2" xfId="34012"/>
    <cellStyle name="常规 2 4 8 2 2" xfId="34013"/>
    <cellStyle name="常规 2 4 8 2 3" xfId="34014"/>
    <cellStyle name="常规 2 4 8 2 4" xfId="34015"/>
    <cellStyle name="常规 2 4 8 3" xfId="34016"/>
    <cellStyle name="常规 2 4 8 4" xfId="34017"/>
    <cellStyle name="常规 2 4 8 5" xfId="34018"/>
    <cellStyle name="常规 2 4 9" xfId="34019"/>
    <cellStyle name="常规 2 4 9 2" xfId="34020"/>
    <cellStyle name="常规 2 4 9 2 2" xfId="34021"/>
    <cellStyle name="常规 2 4 9 2 3" xfId="34022"/>
    <cellStyle name="常规 2 4 9 2 4" xfId="34023"/>
    <cellStyle name="常规 2 4 9 3" xfId="34024"/>
    <cellStyle name="常规 2 4 9 4" xfId="34025"/>
    <cellStyle name="常规 2 4 9 5" xfId="34026"/>
    <cellStyle name="常规 2 5" xfId="34027"/>
    <cellStyle name="常规 2 5 10" xfId="34028"/>
    <cellStyle name="常规 2 5 10 2" xfId="34029"/>
    <cellStyle name="常规 2 5 10 2 2" xfId="34030"/>
    <cellStyle name="常规 2 5 10 2 2 2" xfId="34031"/>
    <cellStyle name="常规 2 5 10 2 2 2 2" xfId="34032"/>
    <cellStyle name="常规 2 5 10 2 2 2 3" xfId="34033"/>
    <cellStyle name="常规 2 5 10 2 2 2 4" xfId="34034"/>
    <cellStyle name="常规 2 5 10 2 2 3" xfId="34035"/>
    <cellStyle name="常规 2 5 10 2 2 4" xfId="34036"/>
    <cellStyle name="常规 2 5 10 2 2 5" xfId="34037"/>
    <cellStyle name="常规 2 5 10 2 3" xfId="34038"/>
    <cellStyle name="常规 2 5 10 2 3 2" xfId="34039"/>
    <cellStyle name="常规 2 5 10 2 3 2 2" xfId="34040"/>
    <cellStyle name="常规 2 5 10 2 3 2 3" xfId="34041"/>
    <cellStyle name="常规 2 5 10 2 3 2 4" xfId="34042"/>
    <cellStyle name="常规 2 5 10 2 3 3" xfId="34043"/>
    <cellStyle name="常规 2 5 10 2 3 4" xfId="34044"/>
    <cellStyle name="常规 2 5 10 2 3 5" xfId="34045"/>
    <cellStyle name="常规 2 5 10 2 4" xfId="34046"/>
    <cellStyle name="常规 2 5 10 2 4 2" xfId="34047"/>
    <cellStyle name="常规 2 5 10 2 4 3" xfId="34048"/>
    <cellStyle name="常规 2 5 10 2 4 4" xfId="34049"/>
    <cellStyle name="常规 2 5 10 2 5" xfId="34050"/>
    <cellStyle name="常规 2 5 10 2 6" xfId="34051"/>
    <cellStyle name="常规 2 5 10 2 7" xfId="34052"/>
    <cellStyle name="常规 2 5 10 2 8" xfId="34053"/>
    <cellStyle name="常规 2 5 10 3" xfId="34054"/>
    <cellStyle name="常规 2 5 10 3 2" xfId="34055"/>
    <cellStyle name="常规 2 5 10 3 2 2" xfId="34056"/>
    <cellStyle name="常规 2 5 10 3 2 3" xfId="34057"/>
    <cellStyle name="常规 2 5 10 3 2 4" xfId="34058"/>
    <cellStyle name="常规 2 5 10 3 3" xfId="34059"/>
    <cellStyle name="常规 2 5 10 3 4" xfId="34060"/>
    <cellStyle name="常规 2 5 10 3 5" xfId="34061"/>
    <cellStyle name="常规 2 5 10 4" xfId="34062"/>
    <cellStyle name="常规 2 5 10 4 2" xfId="34063"/>
    <cellStyle name="常规 2 5 10 4 2 2" xfId="34064"/>
    <cellStyle name="常规 2 5 10 4 2 3" xfId="34065"/>
    <cellStyle name="常规 2 5 10 4 2 4" xfId="34066"/>
    <cellStyle name="常规 2 5 10 4 3" xfId="34067"/>
    <cellStyle name="常规 2 5 10 4 4" xfId="34068"/>
    <cellStyle name="常规 2 5 10 4 5" xfId="34069"/>
    <cellStyle name="常规 2 5 10 5" xfId="34070"/>
    <cellStyle name="常规 2 5 10 5 2" xfId="34071"/>
    <cellStyle name="常规 2 5 10 5 3" xfId="34072"/>
    <cellStyle name="常规 2 5 10 5 4" xfId="34073"/>
    <cellStyle name="常规 2 5 10 6" xfId="34074"/>
    <cellStyle name="常规 2 5 10 7" xfId="34075"/>
    <cellStyle name="常规 2 5 10 8" xfId="34076"/>
    <cellStyle name="常规 2 5 10 9" xfId="34077"/>
    <cellStyle name="常规 2 5 11" xfId="34078"/>
    <cellStyle name="常规 2 5 11 2" xfId="34079"/>
    <cellStyle name="常规 2 5 11 2 2" xfId="34080"/>
    <cellStyle name="常规 2 5 11 2 2 2" xfId="34081"/>
    <cellStyle name="常规 2 5 11 2 2 2 2" xfId="34082"/>
    <cellStyle name="常规 2 5 11 2 2 2 3" xfId="34083"/>
    <cellStyle name="常规 2 5 11 2 2 2 4" xfId="34084"/>
    <cellStyle name="常规 2 5 11 2 2 3" xfId="34085"/>
    <cellStyle name="常规 2 5 11 2 2 4" xfId="34086"/>
    <cellStyle name="常规 2 5 11 2 2 5" xfId="34087"/>
    <cellStyle name="常规 2 5 11 2 3" xfId="34088"/>
    <cellStyle name="常规 2 5 11 2 3 2" xfId="34089"/>
    <cellStyle name="常规 2 5 11 2 3 2 2" xfId="34090"/>
    <cellStyle name="常规 2 5 11 2 3 2 3" xfId="34091"/>
    <cellStyle name="常规 2 5 11 2 3 2 4" xfId="34092"/>
    <cellStyle name="常规 2 5 11 2 3 3" xfId="34093"/>
    <cellStyle name="常规 2 5 11 2 3 4" xfId="34094"/>
    <cellStyle name="常规 2 5 11 2 3 5" xfId="34095"/>
    <cellStyle name="常规 2 5 11 2 4" xfId="34096"/>
    <cellStyle name="常规 2 5 11 2 4 2" xfId="34097"/>
    <cellStyle name="常规 2 5 11 2 4 3" xfId="34098"/>
    <cellStyle name="常规 2 5 11 2 4 4" xfId="34099"/>
    <cellStyle name="常规 2 5 11 2 5" xfId="34100"/>
    <cellStyle name="常规 2 5 11 2 6" xfId="34101"/>
    <cellStyle name="常规 2 5 11 2 7" xfId="34102"/>
    <cellStyle name="常规 2 5 11 2 8" xfId="34103"/>
    <cellStyle name="常规 2 5 11 3" xfId="34104"/>
    <cellStyle name="常规 2 5 11 3 2" xfId="34105"/>
    <cellStyle name="常规 2 5 11 3 2 2" xfId="34106"/>
    <cellStyle name="常规 2 5 11 3 2 3" xfId="34107"/>
    <cellStyle name="常规 2 5 11 3 2 4" xfId="34108"/>
    <cellStyle name="常规 2 5 11 3 3" xfId="34109"/>
    <cellStyle name="常规 2 5 11 3 4" xfId="34110"/>
    <cellStyle name="常规 2 5 11 3 5" xfId="34111"/>
    <cellStyle name="常规 2 5 11 4" xfId="34112"/>
    <cellStyle name="常规 2 5 11 4 2" xfId="34113"/>
    <cellStyle name="常规 2 5 11 4 2 2" xfId="34114"/>
    <cellStyle name="常规 2 5 11 4 2 3" xfId="34115"/>
    <cellStyle name="常规 2 5 11 4 2 4" xfId="34116"/>
    <cellStyle name="常规 2 5 11 4 3" xfId="34117"/>
    <cellStyle name="常规 2 5 11 4 4" xfId="34118"/>
    <cellStyle name="常规 2 5 11 4 5" xfId="34119"/>
    <cellStyle name="常规 2 5 11 5" xfId="34120"/>
    <cellStyle name="常规 2 5 11 5 2" xfId="34121"/>
    <cellStyle name="常规 2 5 11 5 3" xfId="34122"/>
    <cellStyle name="常规 2 5 11 5 4" xfId="34123"/>
    <cellStyle name="常规 2 5 11 6" xfId="34124"/>
    <cellStyle name="常规 2 5 11 7" xfId="34125"/>
    <cellStyle name="常规 2 5 11 8" xfId="34126"/>
    <cellStyle name="常规 2 5 11 9" xfId="34127"/>
    <cellStyle name="常规 2 5 12" xfId="34128"/>
    <cellStyle name="常规 2 5 12 2" xfId="34129"/>
    <cellStyle name="常规 2 5 12 2 2" xfId="34130"/>
    <cellStyle name="常规 2 5 12 2 2 2" xfId="34131"/>
    <cellStyle name="常规 2 5 12 2 2 2 2" xfId="34132"/>
    <cellStyle name="常规 2 5 12 2 2 2 3" xfId="34133"/>
    <cellStyle name="常规 2 5 12 2 2 2 4" xfId="34134"/>
    <cellStyle name="常规 2 5 12 2 2 3" xfId="34135"/>
    <cellStyle name="常规 2 5 12 2 2 4" xfId="34136"/>
    <cellStyle name="常规 2 5 12 2 2 5" xfId="34137"/>
    <cellStyle name="常规 2 5 12 2 3" xfId="34138"/>
    <cellStyle name="常规 2 5 12 2 3 2" xfId="34139"/>
    <cellStyle name="常规 2 5 12 2 3 2 2" xfId="34140"/>
    <cellStyle name="常规 2 5 12 2 3 2 3" xfId="34141"/>
    <cellStyle name="常规 2 5 12 2 3 2 4" xfId="34142"/>
    <cellStyle name="常规 2 5 12 2 3 3" xfId="34143"/>
    <cellStyle name="常规 2 5 12 2 3 4" xfId="34144"/>
    <cellStyle name="常规 2 5 12 2 3 5" xfId="34145"/>
    <cellStyle name="常规 2 5 12 2 4" xfId="34146"/>
    <cellStyle name="常规 2 5 12 2 4 2" xfId="34147"/>
    <cellStyle name="常规 2 5 12 2 4 3" xfId="34148"/>
    <cellStyle name="常规 2 5 12 2 4 4" xfId="34149"/>
    <cellStyle name="常规 2 5 12 2 5" xfId="34150"/>
    <cellStyle name="常规 2 5 12 2 6" xfId="34151"/>
    <cellStyle name="常规 2 5 12 2 7" xfId="34152"/>
    <cellStyle name="常规 2 5 12 3" xfId="34153"/>
    <cellStyle name="常规 2 5 12 3 2" xfId="34154"/>
    <cellStyle name="常规 2 5 12 3 2 2" xfId="34155"/>
    <cellStyle name="常规 2 5 12 3 2 3" xfId="34156"/>
    <cellStyle name="常规 2 5 12 3 2 4" xfId="34157"/>
    <cellStyle name="常规 2 5 12 3 3" xfId="34158"/>
    <cellStyle name="常规 2 5 12 3 4" xfId="34159"/>
    <cellStyle name="常规 2 5 12 3 5" xfId="34160"/>
    <cellStyle name="常规 2 5 12 4" xfId="34161"/>
    <cellStyle name="常规 2 5 12 4 2" xfId="34162"/>
    <cellStyle name="常规 2 5 12 4 2 2" xfId="34163"/>
    <cellStyle name="常规 2 5 12 4 2 3" xfId="34164"/>
    <cellStyle name="常规 2 5 12 4 2 4" xfId="34165"/>
    <cellStyle name="常规 2 5 12 4 3" xfId="34166"/>
    <cellStyle name="常规 2 5 12 4 4" xfId="34167"/>
    <cellStyle name="常规 2 5 12 4 5" xfId="34168"/>
    <cellStyle name="常规 2 5 12 5" xfId="34169"/>
    <cellStyle name="常规 2 5 12 5 2" xfId="34170"/>
    <cellStyle name="常规 2 5 12 5 3" xfId="34171"/>
    <cellStyle name="常规 2 5 12 5 4" xfId="34172"/>
    <cellStyle name="常规 2 5 12 6" xfId="34173"/>
    <cellStyle name="常规 2 5 12 7" xfId="34174"/>
    <cellStyle name="常规 2 5 12 8" xfId="34175"/>
    <cellStyle name="常规 2 5 13" xfId="34176"/>
    <cellStyle name="常规 2 5 13 2" xfId="34177"/>
    <cellStyle name="常规 2 5 13 2 2" xfId="34178"/>
    <cellStyle name="常规 2 5 13 2 2 2" xfId="34179"/>
    <cellStyle name="常规 2 5 13 2 2 2 2" xfId="34180"/>
    <cellStyle name="常规 2 5 13 2 2 2 3" xfId="34181"/>
    <cellStyle name="常规 2 5 13 2 2 2 4" xfId="34182"/>
    <cellStyle name="常规 2 5 13 2 2 3" xfId="34183"/>
    <cellStyle name="常规 2 5 13 2 2 4" xfId="34184"/>
    <cellStyle name="常规 2 5 13 2 2 5" xfId="34185"/>
    <cellStyle name="常规 2 5 13 2 3" xfId="34186"/>
    <cellStyle name="常规 2 5 13 2 3 2" xfId="34187"/>
    <cellStyle name="常规 2 5 13 2 3 2 2" xfId="34188"/>
    <cellStyle name="常规 2 5 13 2 3 2 3" xfId="34189"/>
    <cellStyle name="常规 2 5 13 2 3 2 4" xfId="34190"/>
    <cellStyle name="常规 2 5 13 2 3 3" xfId="34191"/>
    <cellStyle name="常规 2 5 13 2 3 4" xfId="34192"/>
    <cellStyle name="常规 2 5 13 2 3 5" xfId="34193"/>
    <cellStyle name="常规 2 5 13 2 4" xfId="34194"/>
    <cellStyle name="常规 2 5 13 2 4 2" xfId="34195"/>
    <cellStyle name="常规 2 5 13 2 4 3" xfId="34196"/>
    <cellStyle name="常规 2 5 13 2 4 4" xfId="34197"/>
    <cellStyle name="常规 2 5 13 2 5" xfId="34198"/>
    <cellStyle name="常规 2 5 13 2 6" xfId="34199"/>
    <cellStyle name="常规 2 5 13 2 7" xfId="34200"/>
    <cellStyle name="常规 2 5 13 3" xfId="34201"/>
    <cellStyle name="常规 2 5 13 3 2" xfId="34202"/>
    <cellStyle name="常规 2 5 13 3 2 2" xfId="34203"/>
    <cellStyle name="常规 2 5 13 3 2 3" xfId="34204"/>
    <cellStyle name="常规 2 5 13 3 2 4" xfId="34205"/>
    <cellStyle name="常规 2 5 13 3 3" xfId="34206"/>
    <cellStyle name="常规 2 5 13 3 4" xfId="34207"/>
    <cellStyle name="常规 2 5 13 3 5" xfId="34208"/>
    <cellStyle name="常规 2 5 13 4" xfId="34209"/>
    <cellStyle name="常规 2 5 13 4 2" xfId="34210"/>
    <cellStyle name="常规 2 5 13 4 2 2" xfId="34211"/>
    <cellStyle name="常规 2 5 13 4 2 3" xfId="34212"/>
    <cellStyle name="常规 2 5 13 4 2 4" xfId="34213"/>
    <cellStyle name="常规 2 5 13 4 3" xfId="34214"/>
    <cellStyle name="常规 2 5 13 4 4" xfId="34215"/>
    <cellStyle name="常规 2 5 13 4 5" xfId="34216"/>
    <cellStyle name="常规 2 5 13 5" xfId="34217"/>
    <cellStyle name="常规 2 5 13 5 2" xfId="34218"/>
    <cellStyle name="常规 2 5 13 5 3" xfId="34219"/>
    <cellStyle name="常规 2 5 13 5 4" xfId="34220"/>
    <cellStyle name="常规 2 5 13 6" xfId="34221"/>
    <cellStyle name="常规 2 5 13 7" xfId="34222"/>
    <cellStyle name="常规 2 5 13 8" xfId="34223"/>
    <cellStyle name="常规 2 5 14" xfId="34224"/>
    <cellStyle name="常规 2 5 14 2" xfId="34225"/>
    <cellStyle name="常规 2 5 14 2 2" xfId="34226"/>
    <cellStyle name="常规 2 5 14 2 2 2" xfId="34227"/>
    <cellStyle name="常规 2 5 14 2 2 2 2" xfId="34228"/>
    <cellStyle name="常规 2 5 14 2 2 2 3" xfId="34229"/>
    <cellStyle name="常规 2 5 14 2 2 2 4" xfId="34230"/>
    <cellStyle name="常规 2 5 14 2 2 3" xfId="34231"/>
    <cellStyle name="常规 2 5 14 2 2 4" xfId="34232"/>
    <cellStyle name="常规 2 5 14 2 2 5" xfId="34233"/>
    <cellStyle name="常规 2 5 14 2 3" xfId="34234"/>
    <cellStyle name="常规 2 5 14 2 3 2" xfId="34235"/>
    <cellStyle name="常规 2 5 14 2 3 2 2" xfId="34236"/>
    <cellStyle name="常规 2 5 14 2 3 2 3" xfId="34237"/>
    <cellStyle name="常规 2 5 14 2 3 2 4" xfId="34238"/>
    <cellStyle name="常规 2 5 14 2 3 3" xfId="34239"/>
    <cellStyle name="常规 2 5 14 2 3 4" xfId="34240"/>
    <cellStyle name="常规 2 5 14 2 3 5" xfId="34241"/>
    <cellStyle name="常规 2 5 14 2 4" xfId="34242"/>
    <cellStyle name="常规 2 5 14 2 4 2" xfId="34243"/>
    <cellStyle name="常规 2 5 14 2 4 3" xfId="34244"/>
    <cellStyle name="常规 2 5 14 2 4 4" xfId="34245"/>
    <cellStyle name="常规 2 5 14 2 5" xfId="34246"/>
    <cellStyle name="常规 2 5 14 2 6" xfId="34247"/>
    <cellStyle name="常规 2 5 14 2 7" xfId="34248"/>
    <cellStyle name="常规 2 5 14 3" xfId="34249"/>
    <cellStyle name="常规 2 5 14 3 2" xfId="34250"/>
    <cellStyle name="常规 2 5 14 3 2 2" xfId="34251"/>
    <cellStyle name="常规 2 5 14 3 2 3" xfId="34252"/>
    <cellStyle name="常规 2 5 14 3 2 4" xfId="34253"/>
    <cellStyle name="常规 2 5 14 3 3" xfId="34254"/>
    <cellStyle name="常规 2 5 14 3 4" xfId="34255"/>
    <cellStyle name="常规 2 5 14 3 5" xfId="34256"/>
    <cellStyle name="常规 2 5 14 4" xfId="34257"/>
    <cellStyle name="常规 2 5 14 4 2" xfId="34258"/>
    <cellStyle name="常规 2 5 14 4 2 2" xfId="34259"/>
    <cellStyle name="常规 2 5 14 4 2 3" xfId="34260"/>
    <cellStyle name="常规 2 5 14 4 2 4" xfId="34261"/>
    <cellStyle name="常规 2 5 14 4 3" xfId="34262"/>
    <cellStyle name="常规 2 5 14 4 4" xfId="34263"/>
    <cellStyle name="常规 2 5 14 4 5" xfId="34264"/>
    <cellStyle name="常规 2 5 14 5" xfId="34265"/>
    <cellStyle name="常规 2 5 14 5 2" xfId="34266"/>
    <cellStyle name="常规 2 5 14 5 3" xfId="34267"/>
    <cellStyle name="常规 2 5 14 5 4" xfId="34268"/>
    <cellStyle name="常规 2 5 14 6" xfId="34269"/>
    <cellStyle name="常规 2 5 14 7" xfId="34270"/>
    <cellStyle name="常规 2 5 14 8" xfId="34271"/>
    <cellStyle name="常规 2 5 15" xfId="34272"/>
    <cellStyle name="常规 2 5 15 2" xfId="34273"/>
    <cellStyle name="常规 2 5 15 2 2" xfId="34274"/>
    <cellStyle name="常规 2 5 15 2 3" xfId="34275"/>
    <cellStyle name="常规 2 5 15 2 4" xfId="34276"/>
    <cellStyle name="常规 2 5 15 3" xfId="34277"/>
    <cellStyle name="常规 2 5 15 4" xfId="34278"/>
    <cellStyle name="常规 2 5 15 5" xfId="34279"/>
    <cellStyle name="常规 2 5 16" xfId="34280"/>
    <cellStyle name="常规 2 5 16 2" xfId="34281"/>
    <cellStyle name="常规 2 5 16 2 2" xfId="34282"/>
    <cellStyle name="常规 2 5 16 2 3" xfId="34283"/>
    <cellStyle name="常规 2 5 16 2 4" xfId="34284"/>
    <cellStyle name="常规 2 5 16 3" xfId="34285"/>
    <cellStyle name="常规 2 5 16 4" xfId="34286"/>
    <cellStyle name="常规 2 5 16 5" xfId="34287"/>
    <cellStyle name="常规 2 5 17" xfId="34288"/>
    <cellStyle name="常规 2 5 17 2" xfId="34289"/>
    <cellStyle name="常规 2 5 17 3" xfId="34290"/>
    <cellStyle name="常规 2 5 17 4" xfId="34291"/>
    <cellStyle name="常规 2 5 18" xfId="34292"/>
    <cellStyle name="常规 2 5 19" xfId="34293"/>
    <cellStyle name="常规 2 5 2" xfId="34294"/>
    <cellStyle name="常规 2 5 2 10" xfId="34295"/>
    <cellStyle name="常规 2 5 2 10 2" xfId="34296"/>
    <cellStyle name="常规 2 5 2 11" xfId="34297"/>
    <cellStyle name="常规 2 5 2 12" xfId="34298"/>
    <cellStyle name="常规 2 5 2 12 2" xfId="34299"/>
    <cellStyle name="常规 2 5 2 2" xfId="34300"/>
    <cellStyle name="常规 2 5 2 2 10" xfId="34301"/>
    <cellStyle name="常规 2 5 2 2 11" xfId="34302"/>
    <cellStyle name="常规 2 5 2 2 11 2" xfId="34303"/>
    <cellStyle name="常规 2 5 2 2 2" xfId="34304"/>
    <cellStyle name="常规 2 5 2 2 2 10" xfId="34305"/>
    <cellStyle name="常规 2 5 2 2 2 10 2" xfId="34306"/>
    <cellStyle name="常规 2 5 2 2 2 10 3" xfId="34307"/>
    <cellStyle name="常规 2 5 2 2 2 2" xfId="34308"/>
    <cellStyle name="常规 2 5 2 2 2 2 2" xfId="34309"/>
    <cellStyle name="常规 2 5 2 2 2 2 2 2" xfId="34310"/>
    <cellStyle name="常规 2 5 2 2 2 2 2 3" xfId="34311"/>
    <cellStyle name="常规 2 5 2 2 2 2 2 4" xfId="34312"/>
    <cellStyle name="常规 2 5 2 2 2 2 2 5" xfId="34313"/>
    <cellStyle name="常规 2 5 2 2 2 2 2 5 2" xfId="34314"/>
    <cellStyle name="常规 2 5 2 2 2 2 3" xfId="34315"/>
    <cellStyle name="常规 2 5 2 2 2 2 3 2" xfId="34316"/>
    <cellStyle name="常规 2 5 2 2 2 2 3 2 2" xfId="34317"/>
    <cellStyle name="常规 2 5 2 2 2 2 4" xfId="34318"/>
    <cellStyle name="常规 2 5 2 2 2 2 4 2" xfId="34319"/>
    <cellStyle name="常规 2 5 2 2 2 2 4 2 2" xfId="34320"/>
    <cellStyle name="常规 2 5 2 2 2 2 4 3" xfId="34321"/>
    <cellStyle name="常规 2 5 2 2 2 2 5" xfId="34322"/>
    <cellStyle name="常规 2 5 2 2 2 2 5 2" xfId="34323"/>
    <cellStyle name="常规 2 5 2 2 2 2 5 3" xfId="34324"/>
    <cellStyle name="常规 2 5 2 2 2 2 6" xfId="34325"/>
    <cellStyle name="常规 2 5 2 2 2 2 6 2" xfId="34326"/>
    <cellStyle name="常规 2 5 2 2 2 2 7" xfId="34327"/>
    <cellStyle name="常规 2 5 2 2 2 3" xfId="34328"/>
    <cellStyle name="常规 2 5 2 2 2 3 2" xfId="34329"/>
    <cellStyle name="常规 2 5 2 2 2 3 2 2" xfId="34330"/>
    <cellStyle name="常规 2 5 2 2 2 3 2 2 2" xfId="34331"/>
    <cellStyle name="常规 2 5 2 2 2 3 2 3" xfId="34332"/>
    <cellStyle name="常规 2 5 2 2 2 3 2 4" xfId="34333"/>
    <cellStyle name="常规 2 5 2 2 2 3 2 5" xfId="34334"/>
    <cellStyle name="常规 2 5 2 2 2 3 2 5 2" xfId="34335"/>
    <cellStyle name="常规 2 5 2 2 2 3 2 6" xfId="34336"/>
    <cellStyle name="常规 2 5 2 2 2 3 3" xfId="34337"/>
    <cellStyle name="常规 2 5 2 2 2 3 3 2" xfId="34338"/>
    <cellStyle name="常规 2 5 2 2 2 3 3 2 2" xfId="34339"/>
    <cellStyle name="常规 2 5 2 2 2 3 4" xfId="34340"/>
    <cellStyle name="常规 2 5 2 2 2 3 4 2" xfId="34341"/>
    <cellStyle name="常规 2 5 2 2 2 3 4 3" xfId="34342"/>
    <cellStyle name="常规 2 5 2 2 2 3 5" xfId="34343"/>
    <cellStyle name="常规 2 5 2 2 2 3 5 2" xfId="34344"/>
    <cellStyle name="常规 2 5 2 2 2 3 6" xfId="34345"/>
    <cellStyle name="常规 2 5 2 2 2 3 6 2" xfId="34346"/>
    <cellStyle name="常规 2 5 2 2 2 3 7" xfId="34347"/>
    <cellStyle name="常规 2 5 2 2 2 4" xfId="34348"/>
    <cellStyle name="常规 2 5 2 2 2 4 2" xfId="34349"/>
    <cellStyle name="常规 2 5 2 2 2 4 2 2" xfId="34350"/>
    <cellStyle name="常规 2 5 2 2 2 4 2 2 2" xfId="34351"/>
    <cellStyle name="常规 2 5 2 2 2 4 2 3" xfId="34352"/>
    <cellStyle name="常规 2 5 2 2 2 4 3" xfId="34353"/>
    <cellStyle name="常规 2 5 2 2 2 4 3 2" xfId="34354"/>
    <cellStyle name="常规 2 5 2 2 2 4 3 2 2" xfId="34355"/>
    <cellStyle name="常规 2 5 2 2 2 4 4" xfId="34356"/>
    <cellStyle name="常规 2 5 2 2 2 4 4 2" xfId="34357"/>
    <cellStyle name="常规 2 5 2 2 2 4 4 3" xfId="34358"/>
    <cellStyle name="常规 2 5 2 2 2 4 5" xfId="34359"/>
    <cellStyle name="常规 2 5 2 2 2 4 5 2" xfId="34360"/>
    <cellStyle name="常规 2 5 2 2 2 4 6" xfId="34361"/>
    <cellStyle name="常规 2 5 2 2 2 5" xfId="34362"/>
    <cellStyle name="常规 2 5 2 2 2 5 2" xfId="34363"/>
    <cellStyle name="常规 2 5 2 2 2 5 2 2" xfId="34364"/>
    <cellStyle name="常规 2 5 2 2 2 6" xfId="34365"/>
    <cellStyle name="常规 2 5 2 2 2 6 2" xfId="34366"/>
    <cellStyle name="常规 2 5 2 2 2 6 2 2" xfId="34367"/>
    <cellStyle name="常规 2 5 2 2 2 7" xfId="34368"/>
    <cellStyle name="常规 2 5 2 2 2 7 2" xfId="34369"/>
    <cellStyle name="常规 2 5 2 2 2 7 2 2" xfId="34370"/>
    <cellStyle name="常规 2 5 2 2 2 8" xfId="34371"/>
    <cellStyle name="常规 2 5 2 2 2 8 2" xfId="34372"/>
    <cellStyle name="常规 2 5 2 2 2 8 2 2" xfId="34373"/>
    <cellStyle name="常规 2 5 2 2 2 9" xfId="34374"/>
    <cellStyle name="常规 2 5 2 2 2 9 2" xfId="34375"/>
    <cellStyle name="常规 2 5 2 2 2 9 3" xfId="34376"/>
    <cellStyle name="常规 2 5 2 2 3" xfId="34377"/>
    <cellStyle name="常规 2 5 2 2 3 2" xfId="34378"/>
    <cellStyle name="常规 2 5 2 2 3 2 2" xfId="34379"/>
    <cellStyle name="常规 2 5 2 2 3 2 3" xfId="34380"/>
    <cellStyle name="常规 2 5 2 2 3 2 4" xfId="34381"/>
    <cellStyle name="常规 2 5 2 2 3 2 5" xfId="34382"/>
    <cellStyle name="常规 2 5 2 2 3 2 5 2" xfId="34383"/>
    <cellStyle name="常规 2 5 2 2 3 3" xfId="34384"/>
    <cellStyle name="常规 2 5 2 2 3 3 2" xfId="34385"/>
    <cellStyle name="常规 2 5 2 2 3 3 2 2" xfId="34386"/>
    <cellStyle name="常规 2 5 2 2 3 4" xfId="34387"/>
    <cellStyle name="常规 2 5 2 2 3 4 2" xfId="34388"/>
    <cellStyle name="常规 2 5 2 2 3 4 2 2" xfId="34389"/>
    <cellStyle name="常规 2 5 2 2 3 4 3" xfId="34390"/>
    <cellStyle name="常规 2 5 2 2 3 4 3 2" xfId="34391"/>
    <cellStyle name="常规 2 5 2 2 3 5" xfId="34392"/>
    <cellStyle name="常规 2 5 2 2 3 5 2" xfId="34393"/>
    <cellStyle name="常规 2 5 2 2 3 5 3" xfId="34394"/>
    <cellStyle name="常规 2 5 2 2 3 6" xfId="34395"/>
    <cellStyle name="常规 2 5 2 2 3 6 2" xfId="34396"/>
    <cellStyle name="常规 2 5 2 2 3 7" xfId="34397"/>
    <cellStyle name="常规 2 5 2 2 4" xfId="34398"/>
    <cellStyle name="常规 2 5 2 2 4 2" xfId="34399"/>
    <cellStyle name="常规 2 5 2 2 4 2 2" xfId="34400"/>
    <cellStyle name="常规 2 5 2 2 4 2 2 2" xfId="34401"/>
    <cellStyle name="常规 2 5 2 2 4 2 3" xfId="34402"/>
    <cellStyle name="常规 2 5 2 2 4 2 4" xfId="34403"/>
    <cellStyle name="常规 2 5 2 2 4 2 5" xfId="34404"/>
    <cellStyle name="常规 2 5 2 2 4 2 5 2" xfId="34405"/>
    <cellStyle name="常规 2 5 2 2 4 2 6" xfId="34406"/>
    <cellStyle name="常规 2 5 2 2 4 3" xfId="34407"/>
    <cellStyle name="常规 2 5 2 2 4 3 2" xfId="34408"/>
    <cellStyle name="常规 2 5 2 2 4 3 2 2" xfId="34409"/>
    <cellStyle name="常规 2 5 2 2 4 3 3" xfId="34410"/>
    <cellStyle name="常规 2 5 2 2 4 4" xfId="34411"/>
    <cellStyle name="常规 2 5 2 2 4 4 2" xfId="34412"/>
    <cellStyle name="常规 2 5 2 2 4 4 3" xfId="34413"/>
    <cellStyle name="常规 2 5 2 2 4 5" xfId="34414"/>
    <cellStyle name="常规 2 5 2 2 4 5 2" xfId="34415"/>
    <cellStyle name="常规 2 5 2 2 4 6" xfId="34416"/>
    <cellStyle name="常规 2 5 2 2 4 6 2" xfId="34417"/>
    <cellStyle name="常规 2 5 2 2 4 7" xfId="34418"/>
    <cellStyle name="常规 2 5 2 2 5" xfId="34419"/>
    <cellStyle name="常规 2 5 2 2 5 2" xfId="34420"/>
    <cellStyle name="常规 2 5 2 2 5 2 2" xfId="34421"/>
    <cellStyle name="常规 2 5 2 2 5 2 2 2" xfId="34422"/>
    <cellStyle name="常规 2 5 2 2 5 2 2 3" xfId="34423"/>
    <cellStyle name="常规 2 5 2 2 5 2 3" xfId="34424"/>
    <cellStyle name="常规 2 5 2 2 5 2 3 2" xfId="34425"/>
    <cellStyle name="常规 2 5 2 2 5 3" xfId="34426"/>
    <cellStyle name="常规 2 5 2 2 5 3 2" xfId="34427"/>
    <cellStyle name="常规 2 5 2 2 5 3 2 2" xfId="34428"/>
    <cellStyle name="常规 2 5 2 2 5 4" xfId="34429"/>
    <cellStyle name="常规 2 5 2 2 5 4 2" xfId="34430"/>
    <cellStyle name="常规 2 5 2 2 5 4 3" xfId="34431"/>
    <cellStyle name="常规 2 5 2 2 5 5" xfId="34432"/>
    <cellStyle name="常规 2 5 2 2 5 5 2" xfId="34433"/>
    <cellStyle name="常规 2 5 2 2 5 5 3" xfId="34434"/>
    <cellStyle name="常规 2 5 2 2 5 6" xfId="34435"/>
    <cellStyle name="常规 2 5 2 2 5 7" xfId="34436"/>
    <cellStyle name="常规 2 5 2 2 6" xfId="34437"/>
    <cellStyle name="常规 2 5 2 2 6 2" xfId="34438"/>
    <cellStyle name="常规 2 5 2 2 6 2 2" xfId="34439"/>
    <cellStyle name="常规 2 5 2 2 7" xfId="34440"/>
    <cellStyle name="常规 2 5 2 2 7 2" xfId="34441"/>
    <cellStyle name="常规 2 5 2 2 7 2 2" xfId="34442"/>
    <cellStyle name="常规 2 5 2 2 8" xfId="34443"/>
    <cellStyle name="常规 2 5 2 2 8 2" xfId="34444"/>
    <cellStyle name="常规 2 5 2 2 8 2 2" xfId="34445"/>
    <cellStyle name="常规 2 5 2 2 9" xfId="34446"/>
    <cellStyle name="常规 2 5 2 2 9 2" xfId="34447"/>
    <cellStyle name="常规 2 5 2 2 9 2 2" xfId="34448"/>
    <cellStyle name="常规 2 5 2 3" xfId="34449"/>
    <cellStyle name="常规 2 5 2 3 10" xfId="34450"/>
    <cellStyle name="常规 2 5 2 3 10 2" xfId="34451"/>
    <cellStyle name="常规 2 5 2 3 11" xfId="34452"/>
    <cellStyle name="常规 2 5 2 3 12" xfId="34453"/>
    <cellStyle name="常规 2 5 2 3 2" xfId="34454"/>
    <cellStyle name="常规 2 5 2 3 2 2" xfId="34455"/>
    <cellStyle name="常规 2 5 2 3 2 2 2" xfId="34456"/>
    <cellStyle name="常规 2 5 2 3 2 2 2 2" xfId="34457"/>
    <cellStyle name="常规 2 5 2 3 2 2 2 3" xfId="34458"/>
    <cellStyle name="常规 2 5 2 3 2 2 2 4" xfId="34459"/>
    <cellStyle name="常规 2 5 2 3 2 2 3" xfId="34460"/>
    <cellStyle name="常规 2 5 2 3 2 2 4" xfId="34461"/>
    <cellStyle name="常规 2 5 2 3 2 2 5" xfId="34462"/>
    <cellStyle name="常规 2 5 2 3 2 2 6" xfId="34463"/>
    <cellStyle name="常规 2 5 2 3 2 2 6 2" xfId="34464"/>
    <cellStyle name="常规 2 5 2 3 2 3" xfId="34465"/>
    <cellStyle name="常规 2 5 2 3 2 3 2" xfId="34466"/>
    <cellStyle name="常规 2 5 2 3 2 3 2 2" xfId="34467"/>
    <cellStyle name="常规 2 5 2 3 2 3 2 3" xfId="34468"/>
    <cellStyle name="常规 2 5 2 3 2 3 2 4" xfId="34469"/>
    <cellStyle name="常规 2 5 2 3 2 3 3" xfId="34470"/>
    <cellStyle name="常规 2 5 2 3 2 3 4" xfId="34471"/>
    <cellStyle name="常规 2 5 2 3 2 3 5" xfId="34472"/>
    <cellStyle name="常规 2 5 2 3 2 3 6" xfId="34473"/>
    <cellStyle name="常规 2 5 2 3 2 3 6 2" xfId="34474"/>
    <cellStyle name="常规 2 5 2 3 2 4" xfId="34475"/>
    <cellStyle name="常规 2 5 2 3 2 4 2" xfId="34476"/>
    <cellStyle name="常规 2 5 2 3 2 4 2 2" xfId="34477"/>
    <cellStyle name="常规 2 5 2 3 2 4 3" xfId="34478"/>
    <cellStyle name="常规 2 5 2 3 2 4 3 2" xfId="34479"/>
    <cellStyle name="常规 2 5 2 3 2 4 4" xfId="34480"/>
    <cellStyle name="常规 2 5 2 3 2 4 5" xfId="34481"/>
    <cellStyle name="常规 2 5 2 3 2 4 6" xfId="34482"/>
    <cellStyle name="常规 2 5 2 3 2 5" xfId="34483"/>
    <cellStyle name="常规 2 5 2 3 2 5 2" xfId="34484"/>
    <cellStyle name="常规 2 5 2 3 2 5 3" xfId="34485"/>
    <cellStyle name="常规 2 5 2 3 2 6" xfId="34486"/>
    <cellStyle name="常规 2 5 2 3 2 7" xfId="34487"/>
    <cellStyle name="常规 2 5 2 3 2 8" xfId="34488"/>
    <cellStyle name="常规 2 5 2 3 2 8 2" xfId="34489"/>
    <cellStyle name="常规 2 5 2 3 2 9" xfId="34490"/>
    <cellStyle name="常规 2 5 2 3 3" xfId="34491"/>
    <cellStyle name="常规 2 5 2 3 3 2" xfId="34492"/>
    <cellStyle name="常规 2 5 2 3 3 2 2" xfId="34493"/>
    <cellStyle name="常规 2 5 2 3 3 2 2 2" xfId="34494"/>
    <cellStyle name="常规 2 5 2 3 3 2 3" xfId="34495"/>
    <cellStyle name="常规 2 5 2 3 3 2 4" xfId="34496"/>
    <cellStyle name="常规 2 5 2 3 3 2 5" xfId="34497"/>
    <cellStyle name="常规 2 5 2 3 3 2 5 2" xfId="34498"/>
    <cellStyle name="常规 2 5 2 3 3 2 6" xfId="34499"/>
    <cellStyle name="常规 2 5 2 3 3 3" xfId="34500"/>
    <cellStyle name="常规 2 5 2 3 3 3 2" xfId="34501"/>
    <cellStyle name="常规 2 5 2 3 3 3 2 2" xfId="34502"/>
    <cellStyle name="常规 2 5 2 3 3 3 3" xfId="34503"/>
    <cellStyle name="常规 2 5 2 3 3 4" xfId="34504"/>
    <cellStyle name="常规 2 5 2 3 3 4 2" xfId="34505"/>
    <cellStyle name="常规 2 5 2 3 3 4 3" xfId="34506"/>
    <cellStyle name="常规 2 5 2 3 3 5" xfId="34507"/>
    <cellStyle name="常规 2 5 2 3 3 5 2" xfId="34508"/>
    <cellStyle name="常规 2 5 2 3 3 6" xfId="34509"/>
    <cellStyle name="常规 2 5 2 3 3 6 2" xfId="34510"/>
    <cellStyle name="常规 2 5 2 3 3 7" xfId="34511"/>
    <cellStyle name="常规 2 5 2 3 4" xfId="34512"/>
    <cellStyle name="常规 2 5 2 3 4 2" xfId="34513"/>
    <cellStyle name="常规 2 5 2 3 4 2 2" xfId="34514"/>
    <cellStyle name="常规 2 5 2 3 4 2 2 2" xfId="34515"/>
    <cellStyle name="常规 2 5 2 3 4 2 3" xfId="34516"/>
    <cellStyle name="常规 2 5 2 3 4 2 4" xfId="34517"/>
    <cellStyle name="常规 2 5 2 3 4 2 5" xfId="34518"/>
    <cellStyle name="常规 2 5 2 3 4 2 5 2" xfId="34519"/>
    <cellStyle name="常规 2 5 2 3 4 2 6" xfId="34520"/>
    <cellStyle name="常规 2 5 2 3 4 3" xfId="34521"/>
    <cellStyle name="常规 2 5 2 3 4 3 2" xfId="34522"/>
    <cellStyle name="常规 2 5 2 3 4 3 2 2" xfId="34523"/>
    <cellStyle name="常规 2 5 2 3 4 4" xfId="34524"/>
    <cellStyle name="常规 2 5 2 3 4 4 2" xfId="34525"/>
    <cellStyle name="常规 2 5 2 3 4 4 3" xfId="34526"/>
    <cellStyle name="常规 2 5 2 3 4 5" xfId="34527"/>
    <cellStyle name="常规 2 5 2 3 4 5 2" xfId="34528"/>
    <cellStyle name="常规 2 5 2 3 4 6" xfId="34529"/>
    <cellStyle name="常规 2 5 2 3 4 6 2" xfId="34530"/>
    <cellStyle name="常规 2 5 2 3 4 7" xfId="34531"/>
    <cellStyle name="常规 2 5 2 3 5" xfId="34532"/>
    <cellStyle name="常规 2 5 2 3 5 2" xfId="34533"/>
    <cellStyle name="常规 2 5 2 3 5 3" xfId="34534"/>
    <cellStyle name="常规 2 5 2 3 5 4" xfId="34535"/>
    <cellStyle name="常规 2 5 2 3 5 5" xfId="34536"/>
    <cellStyle name="常规 2 5 2 3 5 5 2" xfId="34537"/>
    <cellStyle name="常规 2 5 2 3 6" xfId="34538"/>
    <cellStyle name="常规 2 5 2 3 6 2" xfId="34539"/>
    <cellStyle name="常规 2 5 2 3 6 2 2" xfId="34540"/>
    <cellStyle name="常规 2 5 2 3 7" xfId="34541"/>
    <cellStyle name="常规 2 5 2 3 7 2" xfId="34542"/>
    <cellStyle name="常规 2 5 2 3 7 2 2" xfId="34543"/>
    <cellStyle name="常规 2 5 2 3 8" xfId="34544"/>
    <cellStyle name="常规 2 5 2 3 8 2" xfId="34545"/>
    <cellStyle name="常规 2 5 2 3 9" xfId="34546"/>
    <cellStyle name="常规 2 5 2 3 9 2" xfId="34547"/>
    <cellStyle name="常规 2 5 2 4" xfId="34548"/>
    <cellStyle name="常规 2 5 2 4 2" xfId="34549"/>
    <cellStyle name="常规 2 5 2 4 2 2" xfId="34550"/>
    <cellStyle name="常规 2 5 2 4 2 3" xfId="34551"/>
    <cellStyle name="常规 2 5 2 4 2 4" xfId="34552"/>
    <cellStyle name="常规 2 5 2 4 2 5" xfId="34553"/>
    <cellStyle name="常规 2 5 2 4 2 5 2" xfId="34554"/>
    <cellStyle name="常规 2 5 2 4 3" xfId="34555"/>
    <cellStyle name="常规 2 5 2 4 3 2" xfId="34556"/>
    <cellStyle name="常规 2 5 2 4 3 2 2" xfId="34557"/>
    <cellStyle name="常规 2 5 2 4 4" xfId="34558"/>
    <cellStyle name="常规 2 5 2 4 4 2" xfId="34559"/>
    <cellStyle name="常规 2 5 2 4 4 2 2" xfId="34560"/>
    <cellStyle name="常规 2 5 2 4 4 3" xfId="34561"/>
    <cellStyle name="常规 2 5 2 4 5" xfId="34562"/>
    <cellStyle name="常规 2 5 2 4 5 2" xfId="34563"/>
    <cellStyle name="常规 2 5 2 4 5 3" xfId="34564"/>
    <cellStyle name="常规 2 5 2 4 6" xfId="34565"/>
    <cellStyle name="常规 2 5 2 4 6 2" xfId="34566"/>
    <cellStyle name="常规 2 5 2 4 7" xfId="34567"/>
    <cellStyle name="常规 2 5 2 5" xfId="34568"/>
    <cellStyle name="常规 2 5 2 5 2" xfId="34569"/>
    <cellStyle name="常规 2 5 2 5 2 2" xfId="34570"/>
    <cellStyle name="常规 2 5 2 5 2 3" xfId="34571"/>
    <cellStyle name="常规 2 5 2 5 2 4" xfId="34572"/>
    <cellStyle name="常规 2 5 2 5 2 5" xfId="34573"/>
    <cellStyle name="常规 2 5 2 5 2 5 2" xfId="34574"/>
    <cellStyle name="常规 2 5 2 5 3" xfId="34575"/>
    <cellStyle name="常规 2 5 2 5 3 2" xfId="34576"/>
    <cellStyle name="常规 2 5 2 5 3 2 2" xfId="34577"/>
    <cellStyle name="常规 2 5 2 5 4" xfId="34578"/>
    <cellStyle name="常规 2 5 2 5 4 2" xfId="34579"/>
    <cellStyle name="常规 2 5 2 5 4 2 2" xfId="34580"/>
    <cellStyle name="常规 2 5 2 5 5" xfId="34581"/>
    <cellStyle name="常规 2 5 2 5 5 2" xfId="34582"/>
    <cellStyle name="常规 2 5 2 5 5 3" xfId="34583"/>
    <cellStyle name="常规 2 5 2 5 6" xfId="34584"/>
    <cellStyle name="常规 2 5 2 5 6 2" xfId="34585"/>
    <cellStyle name="常规 2 5 2 5 7" xfId="34586"/>
    <cellStyle name="常规 2 5 2 6" xfId="34587"/>
    <cellStyle name="常规 2 5 2 6 2" xfId="34588"/>
    <cellStyle name="常规 2 5 2 6 2 2" xfId="34589"/>
    <cellStyle name="常规 2 5 2 6 2 2 2" xfId="34590"/>
    <cellStyle name="常规 2 5 2 6 3" xfId="34591"/>
    <cellStyle name="常规 2 5 2 6 3 2" xfId="34592"/>
    <cellStyle name="常规 2 5 2 6 3 2 2" xfId="34593"/>
    <cellStyle name="常规 2 5 2 6 3 3" xfId="34594"/>
    <cellStyle name="常规 2 5 2 6 4" xfId="34595"/>
    <cellStyle name="常规 2 5 2 6 4 2" xfId="34596"/>
    <cellStyle name="常规 2 5 2 6 4 2 2" xfId="34597"/>
    <cellStyle name="常规 2 5 2 6 5" xfId="34598"/>
    <cellStyle name="常规 2 5 2 6 5 2" xfId="34599"/>
    <cellStyle name="常规 2 5 2 6 5 3" xfId="34600"/>
    <cellStyle name="常规 2 5 2 6 6" xfId="34601"/>
    <cellStyle name="常规 2 5 2 6 6 2" xfId="34602"/>
    <cellStyle name="常规 2 5 2 7" xfId="34603"/>
    <cellStyle name="常规 2 5 2 7 2" xfId="34604"/>
    <cellStyle name="常规 2 5 2 7 2 2" xfId="34605"/>
    <cellStyle name="常规 2 5 2 8" xfId="34606"/>
    <cellStyle name="常规 2 5 2 8 2" xfId="34607"/>
    <cellStyle name="常规 2 5 2 8 2 2" xfId="34608"/>
    <cellStyle name="常规 2 5 2 9" xfId="34609"/>
    <cellStyle name="常规 2 5 20" xfId="34610"/>
    <cellStyle name="常规 2 5 21" xfId="34611"/>
    <cellStyle name="常规 2 5 21 2" xfId="34612"/>
    <cellStyle name="常规 2 5 22" xfId="34613"/>
    <cellStyle name="常规 2 5 3" xfId="34614"/>
    <cellStyle name="常规 2 5 3 10" xfId="34615"/>
    <cellStyle name="常规 2 5 3 10 2" xfId="34616"/>
    <cellStyle name="常规 2 5 3 10 2 2" xfId="34617"/>
    <cellStyle name="常规 2 5 3 10 2 2 2" xfId="34618"/>
    <cellStyle name="常规 2 5 3 10 2 2 2 2" xfId="34619"/>
    <cellStyle name="常规 2 5 3 10 2 2 2 3" xfId="34620"/>
    <cellStyle name="常规 2 5 3 10 2 2 2 4" xfId="34621"/>
    <cellStyle name="常规 2 5 3 10 2 2 3" xfId="34622"/>
    <cellStyle name="常规 2 5 3 10 2 2 4" xfId="34623"/>
    <cellStyle name="常规 2 5 3 10 2 2 5" xfId="34624"/>
    <cellStyle name="常规 2 5 3 10 2 3" xfId="34625"/>
    <cellStyle name="常规 2 5 3 10 2 3 2" xfId="34626"/>
    <cellStyle name="常规 2 5 3 10 2 3 2 2" xfId="34627"/>
    <cellStyle name="常规 2 5 3 10 2 3 2 3" xfId="34628"/>
    <cellStyle name="常规 2 5 3 10 2 3 2 4" xfId="34629"/>
    <cellStyle name="常规 2 5 3 10 2 3 3" xfId="34630"/>
    <cellStyle name="常规 2 5 3 10 2 3 4" xfId="34631"/>
    <cellStyle name="常规 2 5 3 10 2 3 5" xfId="34632"/>
    <cellStyle name="常规 2 5 3 10 2 4" xfId="34633"/>
    <cellStyle name="常规 2 5 3 10 2 4 2" xfId="34634"/>
    <cellStyle name="常规 2 5 3 10 2 4 3" xfId="34635"/>
    <cellStyle name="常规 2 5 3 10 2 4 4" xfId="34636"/>
    <cellStyle name="常规 2 5 3 10 2 5" xfId="34637"/>
    <cellStyle name="常规 2 5 3 10 2 6" xfId="34638"/>
    <cellStyle name="常规 2 5 3 10 2 7" xfId="34639"/>
    <cellStyle name="常规 2 5 3 10 3" xfId="34640"/>
    <cellStyle name="常规 2 5 3 10 3 2" xfId="34641"/>
    <cellStyle name="常规 2 5 3 10 3 2 2" xfId="34642"/>
    <cellStyle name="常规 2 5 3 10 3 2 3" xfId="34643"/>
    <cellStyle name="常规 2 5 3 10 3 2 4" xfId="34644"/>
    <cellStyle name="常规 2 5 3 10 3 3" xfId="34645"/>
    <cellStyle name="常规 2 5 3 10 3 4" xfId="34646"/>
    <cellStyle name="常规 2 5 3 10 3 5" xfId="34647"/>
    <cellStyle name="常规 2 5 3 10 4" xfId="34648"/>
    <cellStyle name="常规 2 5 3 10 4 2" xfId="34649"/>
    <cellStyle name="常规 2 5 3 10 4 2 2" xfId="34650"/>
    <cellStyle name="常规 2 5 3 10 4 2 3" xfId="34651"/>
    <cellStyle name="常规 2 5 3 10 4 2 4" xfId="34652"/>
    <cellStyle name="常规 2 5 3 10 4 3" xfId="34653"/>
    <cellStyle name="常规 2 5 3 10 4 4" xfId="34654"/>
    <cellStyle name="常规 2 5 3 10 4 5" xfId="34655"/>
    <cellStyle name="常规 2 5 3 10 5" xfId="34656"/>
    <cellStyle name="常规 2 5 3 10 5 2" xfId="34657"/>
    <cellStyle name="常规 2 5 3 10 5 3" xfId="34658"/>
    <cellStyle name="常规 2 5 3 10 5 4" xfId="34659"/>
    <cellStyle name="常规 2 5 3 10 6" xfId="34660"/>
    <cellStyle name="常规 2 5 3 10 7" xfId="34661"/>
    <cellStyle name="常规 2 5 3 10 8" xfId="34662"/>
    <cellStyle name="常规 2 5 3 11" xfId="34663"/>
    <cellStyle name="常规 2 5 3 11 2" xfId="34664"/>
    <cellStyle name="常规 2 5 3 11 2 2" xfId="34665"/>
    <cellStyle name="常规 2 5 3 11 2 2 2" xfId="34666"/>
    <cellStyle name="常规 2 5 3 11 2 2 2 2" xfId="34667"/>
    <cellStyle name="常规 2 5 3 11 2 2 2 3" xfId="34668"/>
    <cellStyle name="常规 2 5 3 11 2 2 2 4" xfId="34669"/>
    <cellStyle name="常规 2 5 3 11 2 2 3" xfId="34670"/>
    <cellStyle name="常规 2 5 3 11 2 2 4" xfId="34671"/>
    <cellStyle name="常规 2 5 3 11 2 2 5" xfId="34672"/>
    <cellStyle name="常规 2 5 3 11 2 3" xfId="34673"/>
    <cellStyle name="常规 2 5 3 11 2 3 2" xfId="34674"/>
    <cellStyle name="常规 2 5 3 11 2 3 2 2" xfId="34675"/>
    <cellStyle name="常规 2 5 3 11 2 3 2 3" xfId="34676"/>
    <cellStyle name="常规 2 5 3 11 2 3 2 4" xfId="34677"/>
    <cellStyle name="常规 2 5 3 11 2 3 3" xfId="34678"/>
    <cellStyle name="常规 2 5 3 11 2 3 4" xfId="34679"/>
    <cellStyle name="常规 2 5 3 11 2 3 5" xfId="34680"/>
    <cellStyle name="常规 2 5 3 11 2 4" xfId="34681"/>
    <cellStyle name="常规 2 5 3 11 2 4 2" xfId="34682"/>
    <cellStyle name="常规 2 5 3 11 2 4 3" xfId="34683"/>
    <cellStyle name="常规 2 5 3 11 2 4 4" xfId="34684"/>
    <cellStyle name="常规 2 5 3 11 2 5" xfId="34685"/>
    <cellStyle name="常规 2 5 3 11 2 6" xfId="34686"/>
    <cellStyle name="常规 2 5 3 11 2 7" xfId="34687"/>
    <cellStyle name="常规 2 5 3 11 3" xfId="34688"/>
    <cellStyle name="常规 2 5 3 11 3 2" xfId="34689"/>
    <cellStyle name="常规 2 5 3 11 3 2 2" xfId="34690"/>
    <cellStyle name="常规 2 5 3 11 3 2 3" xfId="34691"/>
    <cellStyle name="常规 2 5 3 11 3 2 4" xfId="34692"/>
    <cellStyle name="常规 2 5 3 11 3 3" xfId="34693"/>
    <cellStyle name="常规 2 5 3 11 3 4" xfId="34694"/>
    <cellStyle name="常规 2 5 3 11 3 5" xfId="34695"/>
    <cellStyle name="常规 2 5 3 11 4" xfId="34696"/>
    <cellStyle name="常规 2 5 3 11 4 2" xfId="34697"/>
    <cellStyle name="常规 2 5 3 11 4 2 2" xfId="34698"/>
    <cellStyle name="常规 2 5 3 11 4 2 3" xfId="34699"/>
    <cellStyle name="常规 2 5 3 11 4 2 4" xfId="34700"/>
    <cellStyle name="常规 2 5 3 11 4 3" xfId="34701"/>
    <cellStyle name="常规 2 5 3 11 4 4" xfId="34702"/>
    <cellStyle name="常规 2 5 3 11 4 5" xfId="34703"/>
    <cellStyle name="常规 2 5 3 11 5" xfId="34704"/>
    <cellStyle name="常规 2 5 3 11 5 2" xfId="34705"/>
    <cellStyle name="常规 2 5 3 11 5 3" xfId="34706"/>
    <cellStyle name="常规 2 5 3 11 5 4" xfId="34707"/>
    <cellStyle name="常规 2 5 3 11 6" xfId="34708"/>
    <cellStyle name="常规 2 5 3 11 7" xfId="34709"/>
    <cellStyle name="常规 2 5 3 11 8" xfId="34710"/>
    <cellStyle name="常规 2 5 3 12" xfId="34711"/>
    <cellStyle name="常规 2 5 3 12 2" xfId="34712"/>
    <cellStyle name="常规 2 5 3 12 2 2" xfId="34713"/>
    <cellStyle name="常规 2 5 3 12 2 2 2" xfId="34714"/>
    <cellStyle name="常规 2 5 3 12 2 2 2 2" xfId="34715"/>
    <cellStyle name="常规 2 5 3 12 2 2 2 3" xfId="34716"/>
    <cellStyle name="常规 2 5 3 12 2 2 2 4" xfId="34717"/>
    <cellStyle name="常规 2 5 3 12 2 2 3" xfId="34718"/>
    <cellStyle name="常规 2 5 3 12 2 2 4" xfId="34719"/>
    <cellStyle name="常规 2 5 3 12 2 2 5" xfId="34720"/>
    <cellStyle name="常规 2 5 3 12 2 3" xfId="34721"/>
    <cellStyle name="常规 2 5 3 12 2 3 2" xfId="34722"/>
    <cellStyle name="常规 2 5 3 12 2 3 2 2" xfId="34723"/>
    <cellStyle name="常规 2 5 3 12 2 3 2 3" xfId="34724"/>
    <cellStyle name="常规 2 5 3 12 2 3 2 4" xfId="34725"/>
    <cellStyle name="常规 2 5 3 12 2 3 3" xfId="34726"/>
    <cellStyle name="常规 2 5 3 12 2 3 4" xfId="34727"/>
    <cellStyle name="常规 2 5 3 12 2 3 5" xfId="34728"/>
    <cellStyle name="常规 2 5 3 12 2 4" xfId="34729"/>
    <cellStyle name="常规 2 5 3 12 2 4 2" xfId="34730"/>
    <cellStyle name="常规 2 5 3 12 2 4 3" xfId="34731"/>
    <cellStyle name="常规 2 5 3 12 2 4 4" xfId="34732"/>
    <cellStyle name="常规 2 5 3 12 2 5" xfId="34733"/>
    <cellStyle name="常规 2 5 3 12 2 6" xfId="34734"/>
    <cellStyle name="常规 2 5 3 12 2 7" xfId="34735"/>
    <cellStyle name="常规 2 5 3 12 3" xfId="34736"/>
    <cellStyle name="常规 2 5 3 12 3 2" xfId="34737"/>
    <cellStyle name="常规 2 5 3 12 3 2 2" xfId="34738"/>
    <cellStyle name="常规 2 5 3 12 3 2 3" xfId="34739"/>
    <cellStyle name="常规 2 5 3 12 3 2 4" xfId="34740"/>
    <cellStyle name="常规 2 5 3 12 3 3" xfId="34741"/>
    <cellStyle name="常规 2 5 3 12 3 4" xfId="34742"/>
    <cellStyle name="常规 2 5 3 12 3 5" xfId="34743"/>
    <cellStyle name="常规 2 5 3 12 4" xfId="34744"/>
    <cellStyle name="常规 2 5 3 12 4 2" xfId="34745"/>
    <cellStyle name="常规 2 5 3 12 4 2 2" xfId="34746"/>
    <cellStyle name="常规 2 5 3 12 4 2 3" xfId="34747"/>
    <cellStyle name="常规 2 5 3 12 4 2 4" xfId="34748"/>
    <cellStyle name="常规 2 5 3 12 4 3" xfId="34749"/>
    <cellStyle name="常规 2 5 3 12 4 4" xfId="34750"/>
    <cellStyle name="常规 2 5 3 12 4 5" xfId="34751"/>
    <cellStyle name="常规 2 5 3 12 5" xfId="34752"/>
    <cellStyle name="常规 2 5 3 12 5 2" xfId="34753"/>
    <cellStyle name="常规 2 5 3 12 5 3" xfId="34754"/>
    <cellStyle name="常规 2 5 3 12 5 4" xfId="34755"/>
    <cellStyle name="常规 2 5 3 12 6" xfId="34756"/>
    <cellStyle name="常规 2 5 3 12 7" xfId="34757"/>
    <cellStyle name="常规 2 5 3 12 8" xfId="34758"/>
    <cellStyle name="常规 2 5 3 13" xfId="34759"/>
    <cellStyle name="常规 2 5 3 13 2" xfId="34760"/>
    <cellStyle name="常规 2 5 3 13 2 2" xfId="34761"/>
    <cellStyle name="常规 2 5 3 13 2 2 2" xfId="34762"/>
    <cellStyle name="常规 2 5 3 13 2 2 2 2" xfId="34763"/>
    <cellStyle name="常规 2 5 3 13 2 2 2 3" xfId="34764"/>
    <cellStyle name="常规 2 5 3 13 2 2 2 4" xfId="34765"/>
    <cellStyle name="常规 2 5 3 13 2 2 3" xfId="34766"/>
    <cellStyle name="常规 2 5 3 13 2 2 4" xfId="34767"/>
    <cellStyle name="常规 2 5 3 13 2 2 5" xfId="34768"/>
    <cellStyle name="常规 2 5 3 13 2 3" xfId="34769"/>
    <cellStyle name="常规 2 5 3 13 2 3 2" xfId="34770"/>
    <cellStyle name="常规 2 5 3 13 2 3 2 2" xfId="34771"/>
    <cellStyle name="常规 2 5 3 13 2 3 2 3" xfId="34772"/>
    <cellStyle name="常规 2 5 3 13 2 3 2 4" xfId="34773"/>
    <cellStyle name="常规 2 5 3 13 2 3 3" xfId="34774"/>
    <cellStyle name="常规 2 5 3 13 2 3 4" xfId="34775"/>
    <cellStyle name="常规 2 5 3 13 2 3 5" xfId="34776"/>
    <cellStyle name="常规 2 5 3 13 2 4" xfId="34777"/>
    <cellStyle name="常规 2 5 3 13 2 4 2" xfId="34778"/>
    <cellStyle name="常规 2 5 3 13 2 4 3" xfId="34779"/>
    <cellStyle name="常规 2 5 3 13 2 4 4" xfId="34780"/>
    <cellStyle name="常规 2 5 3 13 2 5" xfId="34781"/>
    <cellStyle name="常规 2 5 3 13 2 6" xfId="34782"/>
    <cellStyle name="常规 2 5 3 13 2 7" xfId="34783"/>
    <cellStyle name="常规 2 5 3 13 3" xfId="34784"/>
    <cellStyle name="常规 2 5 3 13 3 2" xfId="34785"/>
    <cellStyle name="常规 2 5 3 13 3 2 2" xfId="34786"/>
    <cellStyle name="常规 2 5 3 13 3 2 3" xfId="34787"/>
    <cellStyle name="常规 2 5 3 13 3 2 4" xfId="34788"/>
    <cellStyle name="常规 2 5 3 13 3 3" xfId="34789"/>
    <cellStyle name="常规 2 5 3 13 3 4" xfId="34790"/>
    <cellStyle name="常规 2 5 3 13 3 5" xfId="34791"/>
    <cellStyle name="常规 2 5 3 13 4" xfId="34792"/>
    <cellStyle name="常规 2 5 3 13 4 2" xfId="34793"/>
    <cellStyle name="常规 2 5 3 13 4 2 2" xfId="34794"/>
    <cellStyle name="常规 2 5 3 13 4 2 3" xfId="34795"/>
    <cellStyle name="常规 2 5 3 13 4 2 4" xfId="34796"/>
    <cellStyle name="常规 2 5 3 13 4 3" xfId="34797"/>
    <cellStyle name="常规 2 5 3 13 4 4" xfId="34798"/>
    <cellStyle name="常规 2 5 3 13 4 5" xfId="34799"/>
    <cellStyle name="常规 2 5 3 13 5" xfId="34800"/>
    <cellStyle name="常规 2 5 3 13 5 2" xfId="34801"/>
    <cellStyle name="常规 2 5 3 13 5 3" xfId="34802"/>
    <cellStyle name="常规 2 5 3 13 5 4" xfId="34803"/>
    <cellStyle name="常规 2 5 3 13 6" xfId="34804"/>
    <cellStyle name="常规 2 5 3 13 7" xfId="34805"/>
    <cellStyle name="常规 2 5 3 13 8" xfId="34806"/>
    <cellStyle name="常规 2 5 3 14" xfId="34807"/>
    <cellStyle name="常规 2 5 3 14 2" xfId="34808"/>
    <cellStyle name="常规 2 5 3 14 2 2" xfId="34809"/>
    <cellStyle name="常规 2 5 3 14 2 2 2" xfId="34810"/>
    <cellStyle name="常规 2 5 3 14 2 2 2 2" xfId="34811"/>
    <cellStyle name="常规 2 5 3 14 2 2 2 3" xfId="34812"/>
    <cellStyle name="常规 2 5 3 14 2 2 2 4" xfId="34813"/>
    <cellStyle name="常规 2 5 3 14 2 2 3" xfId="34814"/>
    <cellStyle name="常规 2 5 3 14 2 2 4" xfId="34815"/>
    <cellStyle name="常规 2 5 3 14 2 2 5" xfId="34816"/>
    <cellStyle name="常规 2 5 3 14 2 3" xfId="34817"/>
    <cellStyle name="常规 2 5 3 14 2 3 2" xfId="34818"/>
    <cellStyle name="常规 2 5 3 14 2 3 2 2" xfId="34819"/>
    <cellStyle name="常规 2 5 3 14 2 3 2 3" xfId="34820"/>
    <cellStyle name="常规 2 5 3 14 2 3 2 4" xfId="34821"/>
    <cellStyle name="常规 2 5 3 14 2 3 3" xfId="34822"/>
    <cellStyle name="常规 2 5 3 14 2 3 4" xfId="34823"/>
    <cellStyle name="常规 2 5 3 14 2 3 5" xfId="34824"/>
    <cellStyle name="常规 2 5 3 14 2 4" xfId="34825"/>
    <cellStyle name="常规 2 5 3 14 2 4 2" xfId="34826"/>
    <cellStyle name="常规 2 5 3 14 2 4 3" xfId="34827"/>
    <cellStyle name="常规 2 5 3 14 2 4 4" xfId="34828"/>
    <cellStyle name="常规 2 5 3 14 2 5" xfId="34829"/>
    <cellStyle name="常规 2 5 3 14 2 6" xfId="34830"/>
    <cellStyle name="常规 2 5 3 14 2 7" xfId="34831"/>
    <cellStyle name="常规 2 5 3 14 3" xfId="34832"/>
    <cellStyle name="常规 2 5 3 14 3 2" xfId="34833"/>
    <cellStyle name="常规 2 5 3 14 3 2 2" xfId="34834"/>
    <cellStyle name="常规 2 5 3 14 3 2 3" xfId="34835"/>
    <cellStyle name="常规 2 5 3 14 3 2 4" xfId="34836"/>
    <cellStyle name="常规 2 5 3 14 3 3" xfId="34837"/>
    <cellStyle name="常规 2 5 3 14 3 4" xfId="34838"/>
    <cellStyle name="常规 2 5 3 14 3 5" xfId="34839"/>
    <cellStyle name="常规 2 5 3 14 4" xfId="34840"/>
    <cellStyle name="常规 2 5 3 14 4 2" xfId="34841"/>
    <cellStyle name="常规 2 5 3 14 4 2 2" xfId="34842"/>
    <cellStyle name="常规 2 5 3 14 4 2 3" xfId="34843"/>
    <cellStyle name="常规 2 5 3 14 4 2 4" xfId="34844"/>
    <cellStyle name="常规 2 5 3 14 4 3" xfId="34845"/>
    <cellStyle name="常规 2 5 3 14 4 4" xfId="34846"/>
    <cellStyle name="常规 2 5 3 14 4 5" xfId="34847"/>
    <cellStyle name="常规 2 5 3 14 5" xfId="34848"/>
    <cellStyle name="常规 2 5 3 14 5 2" xfId="34849"/>
    <cellStyle name="常规 2 5 3 14 5 3" xfId="34850"/>
    <cellStyle name="常规 2 5 3 14 5 4" xfId="34851"/>
    <cellStyle name="常规 2 5 3 14 6" xfId="34852"/>
    <cellStyle name="常规 2 5 3 14 7" xfId="34853"/>
    <cellStyle name="常规 2 5 3 14 8" xfId="34854"/>
    <cellStyle name="常规 2 5 3 15" xfId="34855"/>
    <cellStyle name="常规 2 5 3 15 2" xfId="34856"/>
    <cellStyle name="常规 2 5 3 15 2 2" xfId="34857"/>
    <cellStyle name="常规 2 5 3 15 2 3" xfId="34858"/>
    <cellStyle name="常规 2 5 3 15 2 4" xfId="34859"/>
    <cellStyle name="常规 2 5 3 15 3" xfId="34860"/>
    <cellStyle name="常规 2 5 3 15 4" xfId="34861"/>
    <cellStyle name="常规 2 5 3 15 5" xfId="34862"/>
    <cellStyle name="常规 2 5 3 16" xfId="34863"/>
    <cellStyle name="常规 2 5 3 16 2" xfId="34864"/>
    <cellStyle name="常规 2 5 3 16 2 2" xfId="34865"/>
    <cellStyle name="常规 2 5 3 16 2 3" xfId="34866"/>
    <cellStyle name="常规 2 5 3 16 2 4" xfId="34867"/>
    <cellStyle name="常规 2 5 3 16 3" xfId="34868"/>
    <cellStyle name="常规 2 5 3 16 4" xfId="34869"/>
    <cellStyle name="常规 2 5 3 16 5" xfId="34870"/>
    <cellStyle name="常规 2 5 3 17" xfId="34871"/>
    <cellStyle name="常规 2 5 3 17 2" xfId="34872"/>
    <cellStyle name="常规 2 5 3 17 3" xfId="34873"/>
    <cellStyle name="常规 2 5 3 17 4" xfId="34874"/>
    <cellStyle name="常规 2 5 3 18" xfId="34875"/>
    <cellStyle name="常规 2 5 3 19" xfId="34876"/>
    <cellStyle name="常规 2 5 3 2" xfId="34877"/>
    <cellStyle name="常规 2 5 3 2 10" xfId="34878"/>
    <cellStyle name="常规 2 5 3 2 2" xfId="34879"/>
    <cellStyle name="常规 2 5 3 2 2 2" xfId="34880"/>
    <cellStyle name="常规 2 5 3 2 2 2 2" xfId="34881"/>
    <cellStyle name="常规 2 5 3 2 2 2 2 2" xfId="34882"/>
    <cellStyle name="常规 2 5 3 2 2 2 2 2 2" xfId="34883"/>
    <cellStyle name="常规 2 5 3 2 2 2 2 2 3" xfId="34884"/>
    <cellStyle name="常规 2 5 3 2 2 2 2 2 4" xfId="34885"/>
    <cellStyle name="常规 2 5 3 2 2 2 2 3" xfId="34886"/>
    <cellStyle name="常规 2 5 3 2 2 2 2 4" xfId="34887"/>
    <cellStyle name="常规 2 5 3 2 2 2 2 5" xfId="34888"/>
    <cellStyle name="常规 2 5 3 2 2 2 3" xfId="34889"/>
    <cellStyle name="常规 2 5 3 2 2 2 3 2" xfId="34890"/>
    <cellStyle name="常规 2 5 3 2 2 2 3 2 2" xfId="34891"/>
    <cellStyle name="常规 2 5 3 2 2 2 3 2 3" xfId="34892"/>
    <cellStyle name="常规 2 5 3 2 2 2 3 2 4" xfId="34893"/>
    <cellStyle name="常规 2 5 3 2 2 2 3 3" xfId="34894"/>
    <cellStyle name="常规 2 5 3 2 2 2 3 4" xfId="34895"/>
    <cellStyle name="常规 2 5 3 2 2 2 3 5" xfId="34896"/>
    <cellStyle name="常规 2 5 3 2 2 2 4" xfId="34897"/>
    <cellStyle name="常规 2 5 3 2 2 2 4 2" xfId="34898"/>
    <cellStyle name="常规 2 5 3 2 2 2 4 3" xfId="34899"/>
    <cellStyle name="常规 2 5 3 2 2 2 4 4" xfId="34900"/>
    <cellStyle name="常规 2 5 3 2 2 2 5" xfId="34901"/>
    <cellStyle name="常规 2 5 3 2 2 2 6" xfId="34902"/>
    <cellStyle name="常规 2 5 3 2 2 2 7" xfId="34903"/>
    <cellStyle name="常规 2 5 3 2 2 3" xfId="34904"/>
    <cellStyle name="常规 2 5 3 2 2 3 2" xfId="34905"/>
    <cellStyle name="常规 2 5 3 2 2 3 2 2" xfId="34906"/>
    <cellStyle name="常规 2 5 3 2 2 3 2 3" xfId="34907"/>
    <cellStyle name="常规 2 5 3 2 2 3 2 4" xfId="34908"/>
    <cellStyle name="常规 2 5 3 2 2 3 3" xfId="34909"/>
    <cellStyle name="常规 2 5 3 2 2 3 4" xfId="34910"/>
    <cellStyle name="常规 2 5 3 2 2 3 5" xfId="34911"/>
    <cellStyle name="常规 2 5 3 2 2 4" xfId="34912"/>
    <cellStyle name="常规 2 5 3 2 2 4 2" xfId="34913"/>
    <cellStyle name="常规 2 5 3 2 2 4 2 2" xfId="34914"/>
    <cellStyle name="常规 2 5 3 2 2 4 2 3" xfId="34915"/>
    <cellStyle name="常规 2 5 3 2 2 4 2 4" xfId="34916"/>
    <cellStyle name="常规 2 5 3 2 2 4 3" xfId="34917"/>
    <cellStyle name="常规 2 5 3 2 2 4 4" xfId="34918"/>
    <cellStyle name="常规 2 5 3 2 2 4 5" xfId="34919"/>
    <cellStyle name="常规 2 5 3 2 2 5" xfId="34920"/>
    <cellStyle name="常规 2 5 3 2 2 5 2" xfId="34921"/>
    <cellStyle name="常规 2 5 3 2 2 5 3" xfId="34922"/>
    <cellStyle name="常规 2 5 3 2 2 5 4" xfId="34923"/>
    <cellStyle name="常规 2 5 3 2 2 6" xfId="34924"/>
    <cellStyle name="常规 2 5 3 2 2 7" xfId="34925"/>
    <cellStyle name="常规 2 5 3 2 2 8" xfId="34926"/>
    <cellStyle name="常规 2 5 3 2 2 9" xfId="34927"/>
    <cellStyle name="常规 2 5 3 2 2 9 2" xfId="34928"/>
    <cellStyle name="常规 2 5 3 2 3" xfId="34929"/>
    <cellStyle name="常规 2 5 3 2 3 2" xfId="34930"/>
    <cellStyle name="常规 2 5 3 2 3 2 2" xfId="34931"/>
    <cellStyle name="常规 2 5 3 2 3 2 3" xfId="34932"/>
    <cellStyle name="常规 2 5 3 2 3 2 4" xfId="34933"/>
    <cellStyle name="常规 2 5 3 2 3 3" xfId="34934"/>
    <cellStyle name="常规 2 5 3 2 3 4" xfId="34935"/>
    <cellStyle name="常规 2 5 3 2 3 5" xfId="34936"/>
    <cellStyle name="常规 2 5 3 2 3 6" xfId="34937"/>
    <cellStyle name="常规 2 5 3 2 3 6 2" xfId="34938"/>
    <cellStyle name="常规 2 5 3 2 4" xfId="34939"/>
    <cellStyle name="常规 2 5 3 2 4 2" xfId="34940"/>
    <cellStyle name="常规 2 5 3 2 4 2 2" xfId="34941"/>
    <cellStyle name="常规 2 5 3 2 4 2 3" xfId="34942"/>
    <cellStyle name="常规 2 5 3 2 4 2 4" xfId="34943"/>
    <cellStyle name="常规 2 5 3 2 4 2 5" xfId="34944"/>
    <cellStyle name="常规 2 5 3 2 4 3" xfId="34945"/>
    <cellStyle name="常规 2 5 3 2 4 4" xfId="34946"/>
    <cellStyle name="常规 2 5 3 2 4 5" xfId="34947"/>
    <cellStyle name="常规 2 5 3 2 4 6" xfId="34948"/>
    <cellStyle name="常规 2 5 3 2 5" xfId="34949"/>
    <cellStyle name="常规 2 5 3 2 5 2" xfId="34950"/>
    <cellStyle name="常规 2 5 3 2 5 2 2" xfId="34951"/>
    <cellStyle name="常规 2 5 3 2 5 3" xfId="34952"/>
    <cellStyle name="常规 2 5 3 2 5 4" xfId="34953"/>
    <cellStyle name="常规 2 5 3 2 5 5" xfId="34954"/>
    <cellStyle name="常规 2 5 3 2 6" xfId="34955"/>
    <cellStyle name="常规 2 5 3 2 7" xfId="34956"/>
    <cellStyle name="常规 2 5 3 2 8" xfId="34957"/>
    <cellStyle name="常规 2 5 3 2 9" xfId="34958"/>
    <cellStyle name="常规 2 5 3 2 9 2" xfId="34959"/>
    <cellStyle name="常规 2 5 3 20" xfId="34960"/>
    <cellStyle name="常规 2 5 3 21" xfId="34961"/>
    <cellStyle name="常规 2 5 3 21 2" xfId="34962"/>
    <cellStyle name="常规 2 5 3 22" xfId="34963"/>
    <cellStyle name="常规 2 5 3 3" xfId="34964"/>
    <cellStyle name="常规 2 5 3 3 10" xfId="34965"/>
    <cellStyle name="常规 2 5 3 3 2" xfId="34966"/>
    <cellStyle name="常规 2 5 3 3 2 10" xfId="34967"/>
    <cellStyle name="常规 2 5 3 3 2 2" xfId="34968"/>
    <cellStyle name="常规 2 5 3 3 2 2 2" xfId="34969"/>
    <cellStyle name="常规 2 5 3 3 2 2 2 2" xfId="34970"/>
    <cellStyle name="常规 2 5 3 3 2 2 2 2 2" xfId="34971"/>
    <cellStyle name="常规 2 5 3 3 2 2 2 2 3" xfId="34972"/>
    <cellStyle name="常规 2 5 3 3 2 2 2 2 4" xfId="34973"/>
    <cellStyle name="常规 2 5 3 3 2 2 2 3" xfId="34974"/>
    <cellStyle name="常规 2 5 3 3 2 2 2 4" xfId="34975"/>
    <cellStyle name="常规 2 5 3 3 2 2 2 5" xfId="34976"/>
    <cellStyle name="常规 2 5 3 3 2 2 3" xfId="34977"/>
    <cellStyle name="常规 2 5 3 3 2 2 3 2" xfId="34978"/>
    <cellStyle name="常规 2 5 3 3 2 2 3 2 2" xfId="34979"/>
    <cellStyle name="常规 2 5 3 3 2 2 3 2 3" xfId="34980"/>
    <cellStyle name="常规 2 5 3 3 2 2 3 2 4" xfId="34981"/>
    <cellStyle name="常规 2 5 3 3 2 2 3 3" xfId="34982"/>
    <cellStyle name="常规 2 5 3 3 2 2 3 4" xfId="34983"/>
    <cellStyle name="常规 2 5 3 3 2 2 3 5" xfId="34984"/>
    <cellStyle name="常规 2 5 3 3 2 2 4" xfId="34985"/>
    <cellStyle name="常规 2 5 3 3 2 2 4 2" xfId="34986"/>
    <cellStyle name="常规 2 5 3 3 2 2 4 3" xfId="34987"/>
    <cellStyle name="常规 2 5 3 3 2 2 4 4" xfId="34988"/>
    <cellStyle name="常规 2 5 3 3 2 2 5" xfId="34989"/>
    <cellStyle name="常规 2 5 3 3 2 2 6" xfId="34990"/>
    <cellStyle name="常规 2 5 3 3 2 2 7" xfId="34991"/>
    <cellStyle name="常规 2 5 3 3 2 2 8" xfId="34992"/>
    <cellStyle name="常规 2 5 3 3 2 3" xfId="34993"/>
    <cellStyle name="常规 2 5 3 3 2 3 2" xfId="34994"/>
    <cellStyle name="常规 2 5 3 3 2 3 2 2" xfId="34995"/>
    <cellStyle name="常规 2 5 3 3 2 3 2 3" xfId="34996"/>
    <cellStyle name="常规 2 5 3 3 2 3 2 4" xfId="34997"/>
    <cellStyle name="常规 2 5 3 3 2 3 3" xfId="34998"/>
    <cellStyle name="常规 2 5 3 3 2 3 4" xfId="34999"/>
    <cellStyle name="常规 2 5 3 3 2 3 5" xfId="35000"/>
    <cellStyle name="常规 2 5 3 3 2 4" xfId="35001"/>
    <cellStyle name="常规 2 5 3 3 2 4 2" xfId="35002"/>
    <cellStyle name="常规 2 5 3 3 2 4 2 2" xfId="35003"/>
    <cellStyle name="常规 2 5 3 3 2 4 2 3" xfId="35004"/>
    <cellStyle name="常规 2 5 3 3 2 4 2 4" xfId="35005"/>
    <cellStyle name="常规 2 5 3 3 2 4 3" xfId="35006"/>
    <cellStyle name="常规 2 5 3 3 2 4 4" xfId="35007"/>
    <cellStyle name="常规 2 5 3 3 2 4 5" xfId="35008"/>
    <cellStyle name="常规 2 5 3 3 2 5" xfId="35009"/>
    <cellStyle name="常规 2 5 3 3 2 5 2" xfId="35010"/>
    <cellStyle name="常规 2 5 3 3 2 5 3" xfId="35011"/>
    <cellStyle name="常规 2 5 3 3 2 5 4" xfId="35012"/>
    <cellStyle name="常规 2 5 3 3 2 6" xfId="35013"/>
    <cellStyle name="常规 2 5 3 3 2 7" xfId="35014"/>
    <cellStyle name="常规 2 5 3 3 2 8" xfId="35015"/>
    <cellStyle name="常规 2 5 3 3 2 9" xfId="35016"/>
    <cellStyle name="常规 2 5 3 3 2 9 2" xfId="35017"/>
    <cellStyle name="常规 2 5 3 3 3" xfId="35018"/>
    <cellStyle name="常规 2 5 3 3 3 2" xfId="35019"/>
    <cellStyle name="常规 2 5 3 3 3 2 2" xfId="35020"/>
    <cellStyle name="常规 2 5 3 3 3 2 3" xfId="35021"/>
    <cellStyle name="常规 2 5 3 3 3 2 4" xfId="35022"/>
    <cellStyle name="常规 2 5 3 3 3 2 5" xfId="35023"/>
    <cellStyle name="常规 2 5 3 3 3 3" xfId="35024"/>
    <cellStyle name="常规 2 5 3 3 3 4" xfId="35025"/>
    <cellStyle name="常规 2 5 3 3 3 5" xfId="35026"/>
    <cellStyle name="常规 2 5 3 3 3 6" xfId="35027"/>
    <cellStyle name="常规 2 5 3 3 4" xfId="35028"/>
    <cellStyle name="常规 2 5 3 3 4 2" xfId="35029"/>
    <cellStyle name="常规 2 5 3 3 4 2 2" xfId="35030"/>
    <cellStyle name="常规 2 5 3 3 4 2 3" xfId="35031"/>
    <cellStyle name="常规 2 5 3 3 4 2 4" xfId="35032"/>
    <cellStyle name="常规 2 5 3 3 4 2 5" xfId="35033"/>
    <cellStyle name="常规 2 5 3 3 4 3" xfId="35034"/>
    <cellStyle name="常规 2 5 3 3 4 4" xfId="35035"/>
    <cellStyle name="常规 2 5 3 3 4 5" xfId="35036"/>
    <cellStyle name="常规 2 5 3 3 4 6" xfId="35037"/>
    <cellStyle name="常规 2 5 3 3 5" xfId="35038"/>
    <cellStyle name="常规 2 5 3 3 5 2" xfId="35039"/>
    <cellStyle name="常规 2 5 3 3 5 3" xfId="35040"/>
    <cellStyle name="常规 2 5 3 3 5 4" xfId="35041"/>
    <cellStyle name="常规 2 5 3 3 5 5" xfId="35042"/>
    <cellStyle name="常规 2 5 3 3 6" xfId="35043"/>
    <cellStyle name="常规 2 5 3 3 7" xfId="35044"/>
    <cellStyle name="常规 2 5 3 3 8" xfId="35045"/>
    <cellStyle name="常规 2 5 3 3 9" xfId="35046"/>
    <cellStyle name="常规 2 5 3 3 9 2" xfId="35047"/>
    <cellStyle name="常规 2 5 3 4" xfId="35048"/>
    <cellStyle name="常规 2 5 3 4 2" xfId="35049"/>
    <cellStyle name="常规 2 5 3 4 2 2" xfId="35050"/>
    <cellStyle name="常规 2 5 3 4 2 2 2" xfId="35051"/>
    <cellStyle name="常规 2 5 3 4 2 2 2 2" xfId="35052"/>
    <cellStyle name="常规 2 5 3 4 2 2 2 2 2" xfId="35053"/>
    <cellStyle name="常规 2 5 3 4 2 2 2 2 3" xfId="35054"/>
    <cellStyle name="常规 2 5 3 4 2 2 2 2 4" xfId="35055"/>
    <cellStyle name="常规 2 5 3 4 2 2 2 3" xfId="35056"/>
    <cellStyle name="常规 2 5 3 4 2 2 2 4" xfId="35057"/>
    <cellStyle name="常规 2 5 3 4 2 2 2 5" xfId="35058"/>
    <cellStyle name="常规 2 5 3 4 2 2 3" xfId="35059"/>
    <cellStyle name="常规 2 5 3 4 2 2 3 2" xfId="35060"/>
    <cellStyle name="常规 2 5 3 4 2 2 3 2 2" xfId="35061"/>
    <cellStyle name="常规 2 5 3 4 2 2 3 2 3" xfId="35062"/>
    <cellStyle name="常规 2 5 3 4 2 2 3 2 4" xfId="35063"/>
    <cellStyle name="常规 2 5 3 4 2 2 3 3" xfId="35064"/>
    <cellStyle name="常规 2 5 3 4 2 2 3 4" xfId="35065"/>
    <cellStyle name="常规 2 5 3 4 2 2 3 5" xfId="35066"/>
    <cellStyle name="常规 2 5 3 4 2 2 4" xfId="35067"/>
    <cellStyle name="常规 2 5 3 4 2 2 4 2" xfId="35068"/>
    <cellStyle name="常规 2 5 3 4 2 2 4 3" xfId="35069"/>
    <cellStyle name="常规 2 5 3 4 2 2 4 4" xfId="35070"/>
    <cellStyle name="常规 2 5 3 4 2 2 5" xfId="35071"/>
    <cellStyle name="常规 2 5 3 4 2 2 6" xfId="35072"/>
    <cellStyle name="常规 2 5 3 4 2 2 7" xfId="35073"/>
    <cellStyle name="常规 2 5 3 4 2 3" xfId="35074"/>
    <cellStyle name="常规 2 5 3 4 2 3 2" xfId="35075"/>
    <cellStyle name="常规 2 5 3 4 2 3 2 2" xfId="35076"/>
    <cellStyle name="常规 2 5 3 4 2 3 2 3" xfId="35077"/>
    <cellStyle name="常规 2 5 3 4 2 3 2 4" xfId="35078"/>
    <cellStyle name="常规 2 5 3 4 2 3 3" xfId="35079"/>
    <cellStyle name="常规 2 5 3 4 2 3 4" xfId="35080"/>
    <cellStyle name="常规 2 5 3 4 2 3 5" xfId="35081"/>
    <cellStyle name="常规 2 5 3 4 2 4" xfId="35082"/>
    <cellStyle name="常规 2 5 3 4 2 4 2" xfId="35083"/>
    <cellStyle name="常规 2 5 3 4 2 4 2 2" xfId="35084"/>
    <cellStyle name="常规 2 5 3 4 2 4 2 3" xfId="35085"/>
    <cellStyle name="常规 2 5 3 4 2 4 2 4" xfId="35086"/>
    <cellStyle name="常规 2 5 3 4 2 4 3" xfId="35087"/>
    <cellStyle name="常规 2 5 3 4 2 4 4" xfId="35088"/>
    <cellStyle name="常规 2 5 3 4 2 4 5" xfId="35089"/>
    <cellStyle name="常规 2 5 3 4 2 5" xfId="35090"/>
    <cellStyle name="常规 2 5 3 4 2 5 2" xfId="35091"/>
    <cellStyle name="常规 2 5 3 4 2 5 3" xfId="35092"/>
    <cellStyle name="常规 2 5 3 4 2 5 4" xfId="35093"/>
    <cellStyle name="常规 2 5 3 4 2 6" xfId="35094"/>
    <cellStyle name="常规 2 5 3 4 2 7" xfId="35095"/>
    <cellStyle name="常规 2 5 3 4 2 8" xfId="35096"/>
    <cellStyle name="常规 2 5 3 4 3" xfId="35097"/>
    <cellStyle name="常规 2 5 3 4 3 2" xfId="35098"/>
    <cellStyle name="常规 2 5 3 4 3 2 2" xfId="35099"/>
    <cellStyle name="常规 2 5 3 4 3 2 3" xfId="35100"/>
    <cellStyle name="常规 2 5 3 4 3 2 4" xfId="35101"/>
    <cellStyle name="常规 2 5 3 4 3 3" xfId="35102"/>
    <cellStyle name="常规 2 5 3 4 3 4" xfId="35103"/>
    <cellStyle name="常规 2 5 3 4 3 5" xfId="35104"/>
    <cellStyle name="常规 2 5 3 4 4" xfId="35105"/>
    <cellStyle name="常规 2 5 3 4 4 2" xfId="35106"/>
    <cellStyle name="常规 2 5 3 4 4 2 2" xfId="35107"/>
    <cellStyle name="常规 2 5 3 4 4 2 3" xfId="35108"/>
    <cellStyle name="常规 2 5 3 4 4 2 4" xfId="35109"/>
    <cellStyle name="常规 2 5 3 4 4 3" xfId="35110"/>
    <cellStyle name="常规 2 5 3 4 4 4" xfId="35111"/>
    <cellStyle name="常规 2 5 3 4 4 5" xfId="35112"/>
    <cellStyle name="常规 2 5 3 4 5" xfId="35113"/>
    <cellStyle name="常规 2 5 3 4 5 2" xfId="35114"/>
    <cellStyle name="常规 2 5 3 4 5 3" xfId="35115"/>
    <cellStyle name="常规 2 5 3 4 5 4" xfId="35116"/>
    <cellStyle name="常规 2 5 3 4 6" xfId="35117"/>
    <cellStyle name="常规 2 5 3 4 7" xfId="35118"/>
    <cellStyle name="常规 2 5 3 4 8" xfId="35119"/>
    <cellStyle name="常规 2 5 3 4 9" xfId="35120"/>
    <cellStyle name="常规 2 5 3 4 9 2" xfId="35121"/>
    <cellStyle name="常规 2 5 3 5" xfId="35122"/>
    <cellStyle name="常规 2 5 3 5 2" xfId="35123"/>
    <cellStyle name="常规 2 5 3 5 2 2" xfId="35124"/>
    <cellStyle name="常规 2 5 3 5 2 2 2" xfId="35125"/>
    <cellStyle name="常规 2 5 3 5 2 2 2 2" xfId="35126"/>
    <cellStyle name="常规 2 5 3 5 2 2 2 2 2" xfId="35127"/>
    <cellStyle name="常规 2 5 3 5 2 2 2 2 3" xfId="35128"/>
    <cellStyle name="常规 2 5 3 5 2 2 2 2 4" xfId="35129"/>
    <cellStyle name="常规 2 5 3 5 2 2 2 3" xfId="35130"/>
    <cellStyle name="常规 2 5 3 5 2 2 2 4" xfId="35131"/>
    <cellStyle name="常规 2 5 3 5 2 2 2 5" xfId="35132"/>
    <cellStyle name="常规 2 5 3 5 2 2 3" xfId="35133"/>
    <cellStyle name="常规 2 5 3 5 2 2 3 2" xfId="35134"/>
    <cellStyle name="常规 2 5 3 5 2 2 3 2 2" xfId="35135"/>
    <cellStyle name="常规 2 5 3 5 2 2 3 2 3" xfId="35136"/>
    <cellStyle name="常规 2 5 3 5 2 2 3 2 4" xfId="35137"/>
    <cellStyle name="常规 2 5 3 5 2 2 3 3" xfId="35138"/>
    <cellStyle name="常规 2 5 3 5 2 2 3 4" xfId="35139"/>
    <cellStyle name="常规 2 5 3 5 2 2 3 5" xfId="35140"/>
    <cellStyle name="常规 2 5 3 5 2 2 4" xfId="35141"/>
    <cellStyle name="常规 2 5 3 5 2 2 4 2" xfId="35142"/>
    <cellStyle name="常规 2 5 3 5 2 2 4 3" xfId="35143"/>
    <cellStyle name="常规 2 5 3 5 2 2 4 4" xfId="35144"/>
    <cellStyle name="常规 2 5 3 5 2 2 5" xfId="35145"/>
    <cellStyle name="常规 2 5 3 5 2 2 6" xfId="35146"/>
    <cellStyle name="常规 2 5 3 5 2 2 7" xfId="35147"/>
    <cellStyle name="常规 2 5 3 5 2 3" xfId="35148"/>
    <cellStyle name="常规 2 5 3 5 2 3 2" xfId="35149"/>
    <cellStyle name="常规 2 5 3 5 2 3 2 2" xfId="35150"/>
    <cellStyle name="常规 2 5 3 5 2 3 2 3" xfId="35151"/>
    <cellStyle name="常规 2 5 3 5 2 3 2 4" xfId="35152"/>
    <cellStyle name="常规 2 5 3 5 2 3 3" xfId="35153"/>
    <cellStyle name="常规 2 5 3 5 2 3 4" xfId="35154"/>
    <cellStyle name="常规 2 5 3 5 2 3 5" xfId="35155"/>
    <cellStyle name="常规 2 5 3 5 2 4" xfId="35156"/>
    <cellStyle name="常规 2 5 3 5 2 4 2" xfId="35157"/>
    <cellStyle name="常规 2 5 3 5 2 4 2 2" xfId="35158"/>
    <cellStyle name="常规 2 5 3 5 2 4 2 3" xfId="35159"/>
    <cellStyle name="常规 2 5 3 5 2 4 2 4" xfId="35160"/>
    <cellStyle name="常规 2 5 3 5 2 4 3" xfId="35161"/>
    <cellStyle name="常规 2 5 3 5 2 4 4" xfId="35162"/>
    <cellStyle name="常规 2 5 3 5 2 4 5" xfId="35163"/>
    <cellStyle name="常规 2 5 3 5 2 5" xfId="35164"/>
    <cellStyle name="常规 2 5 3 5 2 5 2" xfId="35165"/>
    <cellStyle name="常规 2 5 3 5 2 5 3" xfId="35166"/>
    <cellStyle name="常规 2 5 3 5 2 5 4" xfId="35167"/>
    <cellStyle name="常规 2 5 3 5 2 6" xfId="35168"/>
    <cellStyle name="常规 2 5 3 5 2 7" xfId="35169"/>
    <cellStyle name="常规 2 5 3 5 2 8" xfId="35170"/>
    <cellStyle name="常规 2 5 3 5 3" xfId="35171"/>
    <cellStyle name="常规 2 5 3 5 3 2" xfId="35172"/>
    <cellStyle name="常规 2 5 3 5 3 2 2" xfId="35173"/>
    <cellStyle name="常规 2 5 3 5 3 2 3" xfId="35174"/>
    <cellStyle name="常规 2 5 3 5 3 2 4" xfId="35175"/>
    <cellStyle name="常规 2 5 3 5 3 3" xfId="35176"/>
    <cellStyle name="常规 2 5 3 5 3 4" xfId="35177"/>
    <cellStyle name="常规 2 5 3 5 3 5" xfId="35178"/>
    <cellStyle name="常规 2 5 3 5 4" xfId="35179"/>
    <cellStyle name="常规 2 5 3 5 4 2" xfId="35180"/>
    <cellStyle name="常规 2 5 3 5 4 2 2" xfId="35181"/>
    <cellStyle name="常规 2 5 3 5 4 2 3" xfId="35182"/>
    <cellStyle name="常规 2 5 3 5 4 2 4" xfId="35183"/>
    <cellStyle name="常规 2 5 3 5 4 3" xfId="35184"/>
    <cellStyle name="常规 2 5 3 5 4 4" xfId="35185"/>
    <cellStyle name="常规 2 5 3 5 4 5" xfId="35186"/>
    <cellStyle name="常规 2 5 3 5 5" xfId="35187"/>
    <cellStyle name="常规 2 5 3 5 5 2" xfId="35188"/>
    <cellStyle name="常规 2 5 3 5 5 3" xfId="35189"/>
    <cellStyle name="常规 2 5 3 5 5 4" xfId="35190"/>
    <cellStyle name="常规 2 5 3 5 6" xfId="35191"/>
    <cellStyle name="常规 2 5 3 5 7" xfId="35192"/>
    <cellStyle name="常规 2 5 3 5 8" xfId="35193"/>
    <cellStyle name="常规 2 5 3 5 9" xfId="35194"/>
    <cellStyle name="常规 2 5 3 5 9 2" xfId="35195"/>
    <cellStyle name="常规 2 5 3 6" xfId="35196"/>
    <cellStyle name="常规 2 5 3 6 2" xfId="35197"/>
    <cellStyle name="常规 2 5 3 6 2 2" xfId="35198"/>
    <cellStyle name="常规 2 5 3 6 2 2 2" xfId="35199"/>
    <cellStyle name="常规 2 5 3 6 2 2 2 2" xfId="35200"/>
    <cellStyle name="常规 2 5 3 6 2 2 2 2 2" xfId="35201"/>
    <cellStyle name="常规 2 5 3 6 2 2 2 2 3" xfId="35202"/>
    <cellStyle name="常规 2 5 3 6 2 2 2 2 4" xfId="35203"/>
    <cellStyle name="常规 2 5 3 6 2 2 2 3" xfId="35204"/>
    <cellStyle name="常规 2 5 3 6 2 2 2 4" xfId="35205"/>
    <cellStyle name="常规 2 5 3 6 2 2 2 5" xfId="35206"/>
    <cellStyle name="常规 2 5 3 6 2 2 3" xfId="35207"/>
    <cellStyle name="常规 2 5 3 6 2 2 3 2" xfId="35208"/>
    <cellStyle name="常规 2 5 3 6 2 2 3 2 2" xfId="35209"/>
    <cellStyle name="常规 2 5 3 6 2 2 3 2 3" xfId="35210"/>
    <cellStyle name="常规 2 5 3 6 2 2 3 2 4" xfId="35211"/>
    <cellStyle name="常规 2 5 3 6 2 2 3 3" xfId="35212"/>
    <cellStyle name="常规 2 5 3 6 2 2 3 4" xfId="35213"/>
    <cellStyle name="常规 2 5 3 6 2 2 3 5" xfId="35214"/>
    <cellStyle name="常规 2 5 3 6 2 2 4" xfId="35215"/>
    <cellStyle name="常规 2 5 3 6 2 2 4 2" xfId="35216"/>
    <cellStyle name="常规 2 5 3 6 2 2 4 3" xfId="35217"/>
    <cellStyle name="常规 2 5 3 6 2 2 4 4" xfId="35218"/>
    <cellStyle name="常规 2 5 3 6 2 2 5" xfId="35219"/>
    <cellStyle name="常规 2 5 3 6 2 2 6" xfId="35220"/>
    <cellStyle name="常规 2 5 3 6 2 2 7" xfId="35221"/>
    <cellStyle name="常规 2 5 3 6 2 3" xfId="35222"/>
    <cellStyle name="常规 2 5 3 6 2 3 2" xfId="35223"/>
    <cellStyle name="常规 2 5 3 6 2 3 2 2" xfId="35224"/>
    <cellStyle name="常规 2 5 3 6 2 3 2 3" xfId="35225"/>
    <cellStyle name="常规 2 5 3 6 2 3 2 4" xfId="35226"/>
    <cellStyle name="常规 2 5 3 6 2 3 3" xfId="35227"/>
    <cellStyle name="常规 2 5 3 6 2 3 4" xfId="35228"/>
    <cellStyle name="常规 2 5 3 6 2 3 5" xfId="35229"/>
    <cellStyle name="常规 2 5 3 6 2 4" xfId="35230"/>
    <cellStyle name="常规 2 5 3 6 2 4 2" xfId="35231"/>
    <cellStyle name="常规 2 5 3 6 2 4 2 2" xfId="35232"/>
    <cellStyle name="常规 2 5 3 6 2 4 2 3" xfId="35233"/>
    <cellStyle name="常规 2 5 3 6 2 4 2 4" xfId="35234"/>
    <cellStyle name="常规 2 5 3 6 2 4 3" xfId="35235"/>
    <cellStyle name="常规 2 5 3 6 2 4 4" xfId="35236"/>
    <cellStyle name="常规 2 5 3 6 2 4 5" xfId="35237"/>
    <cellStyle name="常规 2 5 3 6 2 5" xfId="35238"/>
    <cellStyle name="常规 2 5 3 6 2 5 2" xfId="35239"/>
    <cellStyle name="常规 2 5 3 6 2 5 3" xfId="35240"/>
    <cellStyle name="常规 2 5 3 6 2 5 4" xfId="35241"/>
    <cellStyle name="常规 2 5 3 6 2 6" xfId="35242"/>
    <cellStyle name="常规 2 5 3 6 2 7" xfId="35243"/>
    <cellStyle name="常规 2 5 3 6 2 8" xfId="35244"/>
    <cellStyle name="常规 2 5 3 6 3" xfId="35245"/>
    <cellStyle name="常规 2 5 3 6 3 2" xfId="35246"/>
    <cellStyle name="常规 2 5 3 6 3 2 2" xfId="35247"/>
    <cellStyle name="常规 2 5 3 6 3 2 3" xfId="35248"/>
    <cellStyle name="常规 2 5 3 6 3 2 4" xfId="35249"/>
    <cellStyle name="常规 2 5 3 6 3 3" xfId="35250"/>
    <cellStyle name="常规 2 5 3 6 3 4" xfId="35251"/>
    <cellStyle name="常规 2 5 3 6 3 5" xfId="35252"/>
    <cellStyle name="常规 2 5 3 6 4" xfId="35253"/>
    <cellStyle name="常规 2 5 3 6 4 2" xfId="35254"/>
    <cellStyle name="常规 2 5 3 6 4 2 2" xfId="35255"/>
    <cellStyle name="常规 2 5 3 6 4 2 3" xfId="35256"/>
    <cellStyle name="常规 2 5 3 6 4 2 4" xfId="35257"/>
    <cellStyle name="常规 2 5 3 6 4 3" xfId="35258"/>
    <cellStyle name="常规 2 5 3 6 4 4" xfId="35259"/>
    <cellStyle name="常规 2 5 3 6 4 5" xfId="35260"/>
    <cellStyle name="常规 2 5 3 6 5" xfId="35261"/>
    <cellStyle name="常规 2 5 3 6 5 2" xfId="35262"/>
    <cellStyle name="常规 2 5 3 6 5 3" xfId="35263"/>
    <cellStyle name="常规 2 5 3 6 5 4" xfId="35264"/>
    <cellStyle name="常规 2 5 3 6 6" xfId="35265"/>
    <cellStyle name="常规 2 5 3 6 7" xfId="35266"/>
    <cellStyle name="常规 2 5 3 6 8" xfId="35267"/>
    <cellStyle name="常规 2 5 3 6 9" xfId="35268"/>
    <cellStyle name="常规 2 5 3 6 9 2" xfId="35269"/>
    <cellStyle name="常规 2 5 3 7" xfId="35270"/>
    <cellStyle name="常规 2 5 3 7 2" xfId="35271"/>
    <cellStyle name="常规 2 5 3 7 2 2" xfId="35272"/>
    <cellStyle name="常规 2 5 3 7 2 2 2" xfId="35273"/>
    <cellStyle name="常规 2 5 3 7 2 2 2 2" xfId="35274"/>
    <cellStyle name="常规 2 5 3 7 2 2 2 3" xfId="35275"/>
    <cellStyle name="常规 2 5 3 7 2 2 2 4" xfId="35276"/>
    <cellStyle name="常规 2 5 3 7 2 2 3" xfId="35277"/>
    <cellStyle name="常规 2 5 3 7 2 2 4" xfId="35278"/>
    <cellStyle name="常规 2 5 3 7 2 2 5" xfId="35279"/>
    <cellStyle name="常规 2 5 3 7 2 3" xfId="35280"/>
    <cellStyle name="常规 2 5 3 7 2 3 2" xfId="35281"/>
    <cellStyle name="常规 2 5 3 7 2 3 2 2" xfId="35282"/>
    <cellStyle name="常规 2 5 3 7 2 3 2 3" xfId="35283"/>
    <cellStyle name="常规 2 5 3 7 2 3 2 4" xfId="35284"/>
    <cellStyle name="常规 2 5 3 7 2 3 3" xfId="35285"/>
    <cellStyle name="常规 2 5 3 7 2 3 4" xfId="35286"/>
    <cellStyle name="常规 2 5 3 7 2 3 5" xfId="35287"/>
    <cellStyle name="常规 2 5 3 7 2 4" xfId="35288"/>
    <cellStyle name="常规 2 5 3 7 2 4 2" xfId="35289"/>
    <cellStyle name="常规 2 5 3 7 2 4 3" xfId="35290"/>
    <cellStyle name="常规 2 5 3 7 2 4 4" xfId="35291"/>
    <cellStyle name="常规 2 5 3 7 2 5" xfId="35292"/>
    <cellStyle name="常规 2 5 3 7 2 6" xfId="35293"/>
    <cellStyle name="常规 2 5 3 7 2 7" xfId="35294"/>
    <cellStyle name="常规 2 5 3 7 2 8" xfId="35295"/>
    <cellStyle name="常规 2 5 3 7 3" xfId="35296"/>
    <cellStyle name="常规 2 5 3 7 3 2" xfId="35297"/>
    <cellStyle name="常规 2 5 3 7 3 2 2" xfId="35298"/>
    <cellStyle name="常规 2 5 3 7 3 2 3" xfId="35299"/>
    <cellStyle name="常规 2 5 3 7 3 2 4" xfId="35300"/>
    <cellStyle name="常规 2 5 3 7 3 3" xfId="35301"/>
    <cellStyle name="常规 2 5 3 7 3 4" xfId="35302"/>
    <cellStyle name="常规 2 5 3 7 3 5" xfId="35303"/>
    <cellStyle name="常规 2 5 3 7 4" xfId="35304"/>
    <cellStyle name="常规 2 5 3 7 4 2" xfId="35305"/>
    <cellStyle name="常规 2 5 3 7 4 2 2" xfId="35306"/>
    <cellStyle name="常规 2 5 3 7 4 2 3" xfId="35307"/>
    <cellStyle name="常规 2 5 3 7 4 2 4" xfId="35308"/>
    <cellStyle name="常规 2 5 3 7 4 3" xfId="35309"/>
    <cellStyle name="常规 2 5 3 7 4 4" xfId="35310"/>
    <cellStyle name="常规 2 5 3 7 4 5" xfId="35311"/>
    <cellStyle name="常规 2 5 3 7 5" xfId="35312"/>
    <cellStyle name="常规 2 5 3 7 5 2" xfId="35313"/>
    <cellStyle name="常规 2 5 3 7 5 3" xfId="35314"/>
    <cellStyle name="常规 2 5 3 7 5 4" xfId="35315"/>
    <cellStyle name="常规 2 5 3 7 6" xfId="35316"/>
    <cellStyle name="常规 2 5 3 7 7" xfId="35317"/>
    <cellStyle name="常规 2 5 3 7 8" xfId="35318"/>
    <cellStyle name="常规 2 5 3 7 9" xfId="35319"/>
    <cellStyle name="常规 2 5 3 8" xfId="35320"/>
    <cellStyle name="常规 2 5 3 8 2" xfId="35321"/>
    <cellStyle name="常规 2 5 3 8 2 2" xfId="35322"/>
    <cellStyle name="常规 2 5 3 8 2 2 2" xfId="35323"/>
    <cellStyle name="常规 2 5 3 8 2 2 2 2" xfId="35324"/>
    <cellStyle name="常规 2 5 3 8 2 2 2 3" xfId="35325"/>
    <cellStyle name="常规 2 5 3 8 2 2 2 4" xfId="35326"/>
    <cellStyle name="常规 2 5 3 8 2 2 3" xfId="35327"/>
    <cellStyle name="常规 2 5 3 8 2 2 4" xfId="35328"/>
    <cellStyle name="常规 2 5 3 8 2 2 5" xfId="35329"/>
    <cellStyle name="常规 2 5 3 8 2 3" xfId="35330"/>
    <cellStyle name="常规 2 5 3 8 2 3 2" xfId="35331"/>
    <cellStyle name="常规 2 5 3 8 2 3 2 2" xfId="35332"/>
    <cellStyle name="常规 2 5 3 8 2 3 2 3" xfId="35333"/>
    <cellStyle name="常规 2 5 3 8 2 3 2 4" xfId="35334"/>
    <cellStyle name="常规 2 5 3 8 2 3 3" xfId="35335"/>
    <cellStyle name="常规 2 5 3 8 2 3 4" xfId="35336"/>
    <cellStyle name="常规 2 5 3 8 2 3 5" xfId="35337"/>
    <cellStyle name="常规 2 5 3 8 2 4" xfId="35338"/>
    <cellStyle name="常规 2 5 3 8 2 4 2" xfId="35339"/>
    <cellStyle name="常规 2 5 3 8 2 4 3" xfId="35340"/>
    <cellStyle name="常规 2 5 3 8 2 4 4" xfId="35341"/>
    <cellStyle name="常规 2 5 3 8 2 5" xfId="35342"/>
    <cellStyle name="常规 2 5 3 8 2 6" xfId="35343"/>
    <cellStyle name="常规 2 5 3 8 2 7" xfId="35344"/>
    <cellStyle name="常规 2 5 3 8 2 8" xfId="35345"/>
    <cellStyle name="常规 2 5 3 8 3" xfId="35346"/>
    <cellStyle name="常规 2 5 3 8 3 2" xfId="35347"/>
    <cellStyle name="常规 2 5 3 8 3 2 2" xfId="35348"/>
    <cellStyle name="常规 2 5 3 8 3 2 3" xfId="35349"/>
    <cellStyle name="常规 2 5 3 8 3 2 4" xfId="35350"/>
    <cellStyle name="常规 2 5 3 8 3 3" xfId="35351"/>
    <cellStyle name="常规 2 5 3 8 3 4" xfId="35352"/>
    <cellStyle name="常规 2 5 3 8 3 5" xfId="35353"/>
    <cellStyle name="常规 2 5 3 8 4" xfId="35354"/>
    <cellStyle name="常规 2 5 3 8 4 2" xfId="35355"/>
    <cellStyle name="常规 2 5 3 8 4 2 2" xfId="35356"/>
    <cellStyle name="常规 2 5 3 8 4 2 3" xfId="35357"/>
    <cellStyle name="常规 2 5 3 8 4 2 4" xfId="35358"/>
    <cellStyle name="常规 2 5 3 8 4 3" xfId="35359"/>
    <cellStyle name="常规 2 5 3 8 4 4" xfId="35360"/>
    <cellStyle name="常规 2 5 3 8 4 5" xfId="35361"/>
    <cellStyle name="常规 2 5 3 8 5" xfId="35362"/>
    <cellStyle name="常规 2 5 3 8 5 2" xfId="35363"/>
    <cellStyle name="常规 2 5 3 8 5 3" xfId="35364"/>
    <cellStyle name="常规 2 5 3 8 5 4" xfId="35365"/>
    <cellStyle name="常规 2 5 3 8 6" xfId="35366"/>
    <cellStyle name="常规 2 5 3 8 7" xfId="35367"/>
    <cellStyle name="常规 2 5 3 8 8" xfId="35368"/>
    <cellStyle name="常规 2 5 3 8 9" xfId="35369"/>
    <cellStyle name="常规 2 5 3 9" xfId="35370"/>
    <cellStyle name="常规 2 5 3 9 2" xfId="35371"/>
    <cellStyle name="常规 2 5 3 9 2 2" xfId="35372"/>
    <cellStyle name="常规 2 5 3 9 2 2 2" xfId="35373"/>
    <cellStyle name="常规 2 5 3 9 2 2 2 2" xfId="35374"/>
    <cellStyle name="常规 2 5 3 9 2 2 2 3" xfId="35375"/>
    <cellStyle name="常规 2 5 3 9 2 2 2 4" xfId="35376"/>
    <cellStyle name="常规 2 5 3 9 2 2 3" xfId="35377"/>
    <cellStyle name="常规 2 5 3 9 2 2 4" xfId="35378"/>
    <cellStyle name="常规 2 5 3 9 2 2 5" xfId="35379"/>
    <cellStyle name="常规 2 5 3 9 2 3" xfId="35380"/>
    <cellStyle name="常规 2 5 3 9 2 3 2" xfId="35381"/>
    <cellStyle name="常规 2 5 3 9 2 3 2 2" xfId="35382"/>
    <cellStyle name="常规 2 5 3 9 2 3 2 3" xfId="35383"/>
    <cellStyle name="常规 2 5 3 9 2 3 2 4" xfId="35384"/>
    <cellStyle name="常规 2 5 3 9 2 3 3" xfId="35385"/>
    <cellStyle name="常规 2 5 3 9 2 3 4" xfId="35386"/>
    <cellStyle name="常规 2 5 3 9 2 3 5" xfId="35387"/>
    <cellStyle name="常规 2 5 3 9 2 4" xfId="35388"/>
    <cellStyle name="常规 2 5 3 9 2 4 2" xfId="35389"/>
    <cellStyle name="常规 2 5 3 9 2 4 3" xfId="35390"/>
    <cellStyle name="常规 2 5 3 9 2 4 4" xfId="35391"/>
    <cellStyle name="常规 2 5 3 9 2 5" xfId="35392"/>
    <cellStyle name="常规 2 5 3 9 2 6" xfId="35393"/>
    <cellStyle name="常规 2 5 3 9 2 7" xfId="35394"/>
    <cellStyle name="常规 2 5 3 9 3" xfId="35395"/>
    <cellStyle name="常规 2 5 3 9 3 2" xfId="35396"/>
    <cellStyle name="常规 2 5 3 9 3 2 2" xfId="35397"/>
    <cellStyle name="常规 2 5 3 9 3 2 3" xfId="35398"/>
    <cellStyle name="常规 2 5 3 9 3 2 4" xfId="35399"/>
    <cellStyle name="常规 2 5 3 9 3 3" xfId="35400"/>
    <cellStyle name="常规 2 5 3 9 3 4" xfId="35401"/>
    <cellStyle name="常规 2 5 3 9 3 5" xfId="35402"/>
    <cellStyle name="常规 2 5 3 9 4" xfId="35403"/>
    <cellStyle name="常规 2 5 3 9 4 2" xfId="35404"/>
    <cellStyle name="常规 2 5 3 9 4 2 2" xfId="35405"/>
    <cellStyle name="常规 2 5 3 9 4 2 3" xfId="35406"/>
    <cellStyle name="常规 2 5 3 9 4 2 4" xfId="35407"/>
    <cellStyle name="常规 2 5 3 9 4 3" xfId="35408"/>
    <cellStyle name="常规 2 5 3 9 4 4" xfId="35409"/>
    <cellStyle name="常规 2 5 3 9 4 5" xfId="35410"/>
    <cellStyle name="常规 2 5 3 9 5" xfId="35411"/>
    <cellStyle name="常规 2 5 3 9 5 2" xfId="35412"/>
    <cellStyle name="常规 2 5 3 9 5 3" xfId="35413"/>
    <cellStyle name="常规 2 5 3 9 5 4" xfId="35414"/>
    <cellStyle name="常规 2 5 3 9 6" xfId="35415"/>
    <cellStyle name="常规 2 5 3 9 7" xfId="35416"/>
    <cellStyle name="常规 2 5 3 9 8" xfId="35417"/>
    <cellStyle name="常规 2 5 4" xfId="35418"/>
    <cellStyle name="常规 2 5 4 10" xfId="35419"/>
    <cellStyle name="常规 2 5 4 10 2" xfId="35420"/>
    <cellStyle name="常规 2 5 4 10 2 2" xfId="35421"/>
    <cellStyle name="常规 2 5 4 10 2 2 2" xfId="35422"/>
    <cellStyle name="常规 2 5 4 10 2 2 2 2" xfId="35423"/>
    <cellStyle name="常规 2 5 4 10 2 2 2 2 2" xfId="35424"/>
    <cellStyle name="常规 2 5 4 10 2 2 2 2 3" xfId="35425"/>
    <cellStyle name="常规 2 5 4 10 2 2 2 2 4" xfId="35426"/>
    <cellStyle name="常规 2 5 4 10 2 2 2 3" xfId="35427"/>
    <cellStyle name="常规 2 5 4 10 2 2 2 4" xfId="35428"/>
    <cellStyle name="常规 2 5 4 10 2 2 2 5" xfId="35429"/>
    <cellStyle name="常规 2 5 4 10 2 2 3" xfId="35430"/>
    <cellStyle name="常规 2 5 4 10 2 2 3 2" xfId="35431"/>
    <cellStyle name="常规 2 5 4 10 2 2 3 2 2" xfId="35432"/>
    <cellStyle name="常规 2 5 4 10 2 2 3 2 3" xfId="35433"/>
    <cellStyle name="常规 2 5 4 10 2 2 3 2 4" xfId="35434"/>
    <cellStyle name="常规 2 5 4 10 2 2 3 3" xfId="35435"/>
    <cellStyle name="常规 2 5 4 10 2 2 3 4" xfId="35436"/>
    <cellStyle name="常规 2 5 4 10 2 2 3 5" xfId="35437"/>
    <cellStyle name="常规 2 5 4 10 2 2 4" xfId="35438"/>
    <cellStyle name="常规 2 5 4 10 2 2 4 2" xfId="35439"/>
    <cellStyle name="常规 2 5 4 10 2 2 4 3" xfId="35440"/>
    <cellStyle name="常规 2 5 4 10 2 2 4 4" xfId="35441"/>
    <cellStyle name="常规 2 5 4 10 2 2 5" xfId="35442"/>
    <cellStyle name="常规 2 5 4 10 2 2 6" xfId="35443"/>
    <cellStyle name="常规 2 5 4 10 2 2 7" xfId="35444"/>
    <cellStyle name="常规 2 5 4 10 2 3" xfId="35445"/>
    <cellStyle name="常规 2 5 4 10 2 3 2" xfId="35446"/>
    <cellStyle name="常规 2 5 4 10 2 3 2 2" xfId="35447"/>
    <cellStyle name="常规 2 5 4 10 2 3 2 3" xfId="35448"/>
    <cellStyle name="常规 2 5 4 10 2 3 2 4" xfId="35449"/>
    <cellStyle name="常规 2 5 4 10 2 3 3" xfId="35450"/>
    <cellStyle name="常规 2 5 4 10 2 3 4" xfId="35451"/>
    <cellStyle name="常规 2 5 4 10 2 3 5" xfId="35452"/>
    <cellStyle name="常规 2 5 4 10 2 4" xfId="35453"/>
    <cellStyle name="常规 2 5 4 10 2 4 2" xfId="35454"/>
    <cellStyle name="常规 2 5 4 10 2 4 2 2" xfId="35455"/>
    <cellStyle name="常规 2 5 4 10 2 4 2 3" xfId="35456"/>
    <cellStyle name="常规 2 5 4 10 2 4 2 4" xfId="35457"/>
    <cellStyle name="常规 2 5 4 10 2 4 3" xfId="35458"/>
    <cellStyle name="常规 2 5 4 10 2 4 4" xfId="35459"/>
    <cellStyle name="常规 2 5 4 10 2 4 5" xfId="35460"/>
    <cellStyle name="常规 2 5 4 10 2 5" xfId="35461"/>
    <cellStyle name="常规 2 5 4 10 2 5 2" xfId="35462"/>
    <cellStyle name="常规 2 5 4 10 2 5 3" xfId="35463"/>
    <cellStyle name="常规 2 5 4 10 2 5 4" xfId="35464"/>
    <cellStyle name="常规 2 5 4 10 2 6" xfId="35465"/>
    <cellStyle name="常规 2 5 4 10 2 7" xfId="35466"/>
    <cellStyle name="常规 2 5 4 10 2 8" xfId="35467"/>
    <cellStyle name="常规 2 5 4 10 3" xfId="35468"/>
    <cellStyle name="常规 2 5 4 10 3 2" xfId="35469"/>
    <cellStyle name="常规 2 5 4 10 3 2 2" xfId="35470"/>
    <cellStyle name="常规 2 5 4 10 3 2 3" xfId="35471"/>
    <cellStyle name="常规 2 5 4 10 3 2 4" xfId="35472"/>
    <cellStyle name="常规 2 5 4 10 3 3" xfId="35473"/>
    <cellStyle name="常规 2 5 4 10 3 4" xfId="35474"/>
    <cellStyle name="常规 2 5 4 10 3 5" xfId="35475"/>
    <cellStyle name="常规 2 5 4 10 4" xfId="35476"/>
    <cellStyle name="常规 2 5 4 10 4 2" xfId="35477"/>
    <cellStyle name="常规 2 5 4 10 4 2 2" xfId="35478"/>
    <cellStyle name="常规 2 5 4 10 4 2 3" xfId="35479"/>
    <cellStyle name="常规 2 5 4 10 4 2 4" xfId="35480"/>
    <cellStyle name="常规 2 5 4 10 4 3" xfId="35481"/>
    <cellStyle name="常规 2 5 4 10 4 4" xfId="35482"/>
    <cellStyle name="常规 2 5 4 10 4 5" xfId="35483"/>
    <cellStyle name="常规 2 5 4 10 5" xfId="35484"/>
    <cellStyle name="常规 2 5 4 10 5 2" xfId="35485"/>
    <cellStyle name="常规 2 5 4 10 5 3" xfId="35486"/>
    <cellStyle name="常规 2 5 4 10 5 4" xfId="35487"/>
    <cellStyle name="常规 2 5 4 10 6" xfId="35488"/>
    <cellStyle name="常规 2 5 4 10 7" xfId="35489"/>
    <cellStyle name="常规 2 5 4 10 8" xfId="35490"/>
    <cellStyle name="常规 2 5 4 11" xfId="35491"/>
    <cellStyle name="常规 2 5 4 11 2" xfId="35492"/>
    <cellStyle name="常规 2 5 4 11 2 2" xfId="35493"/>
    <cellStyle name="常规 2 5 4 11 2 2 2" xfId="35494"/>
    <cellStyle name="常规 2 5 4 11 2 2 2 2" xfId="35495"/>
    <cellStyle name="常规 2 5 4 11 2 2 2 2 2" xfId="35496"/>
    <cellStyle name="常规 2 5 4 11 2 2 2 2 3" xfId="35497"/>
    <cellStyle name="常规 2 5 4 11 2 2 2 2 4" xfId="35498"/>
    <cellStyle name="常规 2 5 4 11 2 2 2 3" xfId="35499"/>
    <cellStyle name="常规 2 5 4 11 2 2 2 4" xfId="35500"/>
    <cellStyle name="常规 2 5 4 11 2 2 2 5" xfId="35501"/>
    <cellStyle name="常规 2 5 4 11 2 2 3" xfId="35502"/>
    <cellStyle name="常规 2 5 4 11 2 2 3 2" xfId="35503"/>
    <cellStyle name="常规 2 5 4 11 2 2 3 2 2" xfId="35504"/>
    <cellStyle name="常规 2 5 4 11 2 2 3 2 3" xfId="35505"/>
    <cellStyle name="常规 2 5 4 11 2 2 3 2 4" xfId="35506"/>
    <cellStyle name="常规 2 5 4 11 2 2 3 3" xfId="35507"/>
    <cellStyle name="常规 2 5 4 11 2 2 3 4" xfId="35508"/>
    <cellStyle name="常规 2 5 4 11 2 2 3 5" xfId="35509"/>
    <cellStyle name="常规 2 5 4 11 2 2 4" xfId="35510"/>
    <cellStyle name="常规 2 5 4 11 2 2 4 2" xfId="35511"/>
    <cellStyle name="常规 2 5 4 11 2 2 4 3" xfId="35512"/>
    <cellStyle name="常规 2 5 4 11 2 2 4 4" xfId="35513"/>
    <cellStyle name="常规 2 5 4 11 2 2 5" xfId="35514"/>
    <cellStyle name="常规 2 5 4 11 2 2 6" xfId="35515"/>
    <cellStyle name="常规 2 5 4 11 2 2 7" xfId="35516"/>
    <cellStyle name="常规 2 5 4 11 2 3" xfId="35517"/>
    <cellStyle name="常规 2 5 4 11 2 3 2" xfId="35518"/>
    <cellStyle name="常规 2 5 4 11 2 3 2 2" xfId="35519"/>
    <cellStyle name="常规 2 5 4 11 2 3 2 3" xfId="35520"/>
    <cellStyle name="常规 2 5 4 11 2 3 2 4" xfId="35521"/>
    <cellStyle name="常规 2 5 4 11 2 3 3" xfId="35522"/>
    <cellStyle name="常规 2 5 4 11 2 3 4" xfId="35523"/>
    <cellStyle name="常规 2 5 4 11 2 3 5" xfId="35524"/>
    <cellStyle name="常规 2 5 4 11 2 4" xfId="35525"/>
    <cellStyle name="常规 2 5 4 11 2 4 2" xfId="35526"/>
    <cellStyle name="常规 2 5 4 11 2 4 2 2" xfId="35527"/>
    <cellStyle name="常规 2 5 4 11 2 4 2 3" xfId="35528"/>
    <cellStyle name="常规 2 5 4 11 2 4 2 4" xfId="35529"/>
    <cellStyle name="常规 2 5 4 11 2 4 3" xfId="35530"/>
    <cellStyle name="常规 2 5 4 11 2 4 4" xfId="35531"/>
    <cellStyle name="常规 2 5 4 11 2 4 5" xfId="35532"/>
    <cellStyle name="常规 2 5 4 11 2 5" xfId="35533"/>
    <cellStyle name="常规 2 5 4 11 2 5 2" xfId="35534"/>
    <cellStyle name="常规 2 5 4 11 2 5 3" xfId="35535"/>
    <cellStyle name="常规 2 5 4 11 2 5 4" xfId="35536"/>
    <cellStyle name="常规 2 5 4 11 2 6" xfId="35537"/>
    <cellStyle name="常规 2 5 4 11 2 7" xfId="35538"/>
    <cellStyle name="常规 2 5 4 11 2 8" xfId="35539"/>
    <cellStyle name="常规 2 5 4 11 3" xfId="35540"/>
    <cellStyle name="常规 2 5 4 11 3 2" xfId="35541"/>
    <cellStyle name="常规 2 5 4 11 3 2 2" xfId="35542"/>
    <cellStyle name="常规 2 5 4 11 3 2 3" xfId="35543"/>
    <cellStyle name="常规 2 5 4 11 3 2 4" xfId="35544"/>
    <cellStyle name="常规 2 5 4 11 3 3" xfId="35545"/>
    <cellStyle name="常规 2 5 4 11 3 4" xfId="35546"/>
    <cellStyle name="常规 2 5 4 11 3 5" xfId="35547"/>
    <cellStyle name="常规 2 5 4 11 4" xfId="35548"/>
    <cellStyle name="常规 2 5 4 11 4 2" xfId="35549"/>
    <cellStyle name="常规 2 5 4 11 4 2 2" xfId="35550"/>
    <cellStyle name="常规 2 5 4 11 4 2 3" xfId="35551"/>
    <cellStyle name="常规 2 5 4 11 4 2 4" xfId="35552"/>
    <cellStyle name="常规 2 5 4 11 4 3" xfId="35553"/>
    <cellStyle name="常规 2 5 4 11 4 4" xfId="35554"/>
    <cellStyle name="常规 2 5 4 11 4 5" xfId="35555"/>
    <cellStyle name="常规 2 5 4 11 5" xfId="35556"/>
    <cellStyle name="常规 2 5 4 11 5 2" xfId="35557"/>
    <cellStyle name="常规 2 5 4 11 5 3" xfId="35558"/>
    <cellStyle name="常规 2 5 4 11 5 4" xfId="35559"/>
    <cellStyle name="常规 2 5 4 11 6" xfId="35560"/>
    <cellStyle name="常规 2 5 4 11 7" xfId="35561"/>
    <cellStyle name="常规 2 5 4 11 8" xfId="35562"/>
    <cellStyle name="常规 2 5 4 12" xfId="35563"/>
    <cellStyle name="常规 2 5 4 12 2" xfId="35564"/>
    <cellStyle name="常规 2 5 4 12 2 2" xfId="35565"/>
    <cellStyle name="常规 2 5 4 12 2 2 2" xfId="35566"/>
    <cellStyle name="常规 2 5 4 12 2 2 2 2" xfId="35567"/>
    <cellStyle name="常规 2 5 4 12 2 2 2 2 2" xfId="35568"/>
    <cellStyle name="常规 2 5 4 12 2 2 2 2 3" xfId="35569"/>
    <cellStyle name="常规 2 5 4 12 2 2 2 2 4" xfId="35570"/>
    <cellStyle name="常规 2 5 4 12 2 2 2 3" xfId="35571"/>
    <cellStyle name="常规 2 5 4 12 2 2 2 4" xfId="35572"/>
    <cellStyle name="常规 2 5 4 12 2 2 2 5" xfId="35573"/>
    <cellStyle name="常规 2 5 4 12 2 2 3" xfId="35574"/>
    <cellStyle name="常规 2 5 4 12 2 2 3 2" xfId="35575"/>
    <cellStyle name="常规 2 5 4 12 2 2 3 2 2" xfId="35576"/>
    <cellStyle name="常规 2 5 4 12 2 2 3 2 3" xfId="35577"/>
    <cellStyle name="常规 2 5 4 12 2 2 3 2 4" xfId="35578"/>
    <cellStyle name="常规 2 5 4 12 2 2 3 3" xfId="35579"/>
    <cellStyle name="常规 2 5 4 12 2 2 3 4" xfId="35580"/>
    <cellStyle name="常规 2 5 4 12 2 2 3 5" xfId="35581"/>
    <cellStyle name="常规 2 5 4 12 2 2 4" xfId="35582"/>
    <cellStyle name="常规 2 5 4 12 2 2 4 2" xfId="35583"/>
    <cellStyle name="常规 2 5 4 12 2 2 4 3" xfId="35584"/>
    <cellStyle name="常规 2 5 4 12 2 2 4 4" xfId="35585"/>
    <cellStyle name="常规 2 5 4 12 2 2 5" xfId="35586"/>
    <cellStyle name="常规 2 5 4 12 2 2 6" xfId="35587"/>
    <cellStyle name="常规 2 5 4 12 2 2 7" xfId="35588"/>
    <cellStyle name="常规 2 5 4 12 2 3" xfId="35589"/>
    <cellStyle name="常规 2 5 4 12 2 3 2" xfId="35590"/>
    <cellStyle name="常规 2 5 4 12 2 3 2 2" xfId="35591"/>
    <cellStyle name="常规 2 5 4 12 2 3 2 3" xfId="35592"/>
    <cellStyle name="常规 2 5 4 12 2 3 2 4" xfId="35593"/>
    <cellStyle name="常规 2 5 4 12 2 3 3" xfId="35594"/>
    <cellStyle name="常规 2 5 4 12 2 3 4" xfId="35595"/>
    <cellStyle name="常规 2 5 4 12 2 3 5" xfId="35596"/>
    <cellStyle name="常规 2 5 4 12 2 4" xfId="35597"/>
    <cellStyle name="常规 2 5 4 12 2 4 2" xfId="35598"/>
    <cellStyle name="常规 2 5 4 12 2 4 2 2" xfId="35599"/>
    <cellStyle name="常规 2 5 4 12 2 4 2 3" xfId="35600"/>
    <cellStyle name="常规 2 5 4 12 2 4 2 4" xfId="35601"/>
    <cellStyle name="常规 2 5 4 12 2 4 3" xfId="35602"/>
    <cellStyle name="常规 2 5 4 12 2 4 4" xfId="35603"/>
    <cellStyle name="常规 2 5 4 12 2 4 5" xfId="35604"/>
    <cellStyle name="常规 2 5 4 12 2 5" xfId="35605"/>
    <cellStyle name="常规 2 5 4 12 2 5 2" xfId="35606"/>
    <cellStyle name="常规 2 5 4 12 2 5 3" xfId="35607"/>
    <cellStyle name="常规 2 5 4 12 2 5 4" xfId="35608"/>
    <cellStyle name="常规 2 5 4 12 2 6" xfId="35609"/>
    <cellStyle name="常规 2 5 4 12 2 7" xfId="35610"/>
    <cellStyle name="常规 2 5 4 12 2 8" xfId="35611"/>
    <cellStyle name="常规 2 5 4 12 3" xfId="35612"/>
    <cellStyle name="常规 2 5 4 12 3 2" xfId="35613"/>
    <cellStyle name="常规 2 5 4 12 3 2 2" xfId="35614"/>
    <cellStyle name="常规 2 5 4 12 3 2 3" xfId="35615"/>
    <cellStyle name="常规 2 5 4 12 3 2 4" xfId="35616"/>
    <cellStyle name="常规 2 5 4 12 3 3" xfId="35617"/>
    <cellStyle name="常规 2 5 4 12 3 4" xfId="35618"/>
    <cellStyle name="常规 2 5 4 12 3 5" xfId="35619"/>
    <cellStyle name="常规 2 5 4 12 4" xfId="35620"/>
    <cellStyle name="常规 2 5 4 12 4 2" xfId="35621"/>
    <cellStyle name="常规 2 5 4 12 4 2 2" xfId="35622"/>
    <cellStyle name="常规 2 5 4 12 4 2 3" xfId="35623"/>
    <cellStyle name="常规 2 5 4 12 4 2 4" xfId="35624"/>
    <cellStyle name="常规 2 5 4 12 4 3" xfId="35625"/>
    <cellStyle name="常规 2 5 4 12 4 4" xfId="35626"/>
    <cellStyle name="常规 2 5 4 12 4 5" xfId="35627"/>
    <cellStyle name="常规 2 5 4 12 5" xfId="35628"/>
    <cellStyle name="常规 2 5 4 12 5 2" xfId="35629"/>
    <cellStyle name="常规 2 5 4 12 5 3" xfId="35630"/>
    <cellStyle name="常规 2 5 4 12 5 4" xfId="35631"/>
    <cellStyle name="常规 2 5 4 12 6" xfId="35632"/>
    <cellStyle name="常规 2 5 4 12 7" xfId="35633"/>
    <cellStyle name="常规 2 5 4 12 8" xfId="35634"/>
    <cellStyle name="常规 2 5 4 13" xfId="35635"/>
    <cellStyle name="常规 2 5 4 13 2" xfId="35636"/>
    <cellStyle name="常规 2 5 4 13 2 2" xfId="35637"/>
    <cellStyle name="常规 2 5 4 13 2 2 2" xfId="35638"/>
    <cellStyle name="常规 2 5 4 13 2 2 2 2" xfId="35639"/>
    <cellStyle name="常规 2 5 4 13 2 2 2 2 2" xfId="35640"/>
    <cellStyle name="常规 2 5 4 13 2 2 2 2 3" xfId="35641"/>
    <cellStyle name="常规 2 5 4 13 2 2 2 2 4" xfId="35642"/>
    <cellStyle name="常规 2 5 4 13 2 2 2 3" xfId="35643"/>
    <cellStyle name="常规 2 5 4 13 2 2 2 4" xfId="35644"/>
    <cellStyle name="常规 2 5 4 13 2 2 2 5" xfId="35645"/>
    <cellStyle name="常规 2 5 4 13 2 2 3" xfId="35646"/>
    <cellStyle name="常规 2 5 4 13 2 2 3 2" xfId="35647"/>
    <cellStyle name="常规 2 5 4 13 2 2 3 2 2" xfId="35648"/>
    <cellStyle name="常规 2 5 4 13 2 2 3 2 3" xfId="35649"/>
    <cellStyle name="常规 2 5 4 13 2 2 3 2 4" xfId="35650"/>
    <cellStyle name="常规 2 5 4 13 2 2 3 3" xfId="35651"/>
    <cellStyle name="常规 2 5 4 13 2 2 3 4" xfId="35652"/>
    <cellStyle name="常规 2 5 4 13 2 2 3 5" xfId="35653"/>
    <cellStyle name="常规 2 5 4 13 2 2 4" xfId="35654"/>
    <cellStyle name="常规 2 5 4 13 2 2 4 2" xfId="35655"/>
    <cellStyle name="常规 2 5 4 13 2 2 4 3" xfId="35656"/>
    <cellStyle name="常规 2 5 4 13 2 2 4 4" xfId="35657"/>
    <cellStyle name="常规 2 5 4 13 2 2 5" xfId="35658"/>
    <cellStyle name="常规 2 5 4 13 2 2 6" xfId="35659"/>
    <cellStyle name="常规 2 5 4 13 2 2 7" xfId="35660"/>
    <cellStyle name="常规 2 5 4 13 2 3" xfId="35661"/>
    <cellStyle name="常规 2 5 4 13 2 3 2" xfId="35662"/>
    <cellStyle name="常规 2 5 4 13 2 3 2 2" xfId="35663"/>
    <cellStyle name="常规 2 5 4 13 2 3 2 3" xfId="35664"/>
    <cellStyle name="常规 2 5 4 13 2 3 2 4" xfId="35665"/>
    <cellStyle name="常规 2 5 4 13 2 3 3" xfId="35666"/>
    <cellStyle name="常规 2 5 4 13 2 3 4" xfId="35667"/>
    <cellStyle name="常规 2 5 4 13 2 3 5" xfId="35668"/>
    <cellStyle name="常规 2 5 4 13 2 4" xfId="35669"/>
    <cellStyle name="常规 2 5 4 13 2 4 2" xfId="35670"/>
    <cellStyle name="常规 2 5 4 13 2 4 2 2" xfId="35671"/>
    <cellStyle name="常规 2 5 4 13 2 4 2 3" xfId="35672"/>
    <cellStyle name="常规 2 5 4 13 2 4 2 4" xfId="35673"/>
    <cellStyle name="常规 2 5 4 13 2 4 3" xfId="35674"/>
    <cellStyle name="常规 2 5 4 13 2 4 4" xfId="35675"/>
    <cellStyle name="常规 2 5 4 13 2 4 5" xfId="35676"/>
    <cellStyle name="常规 2 5 4 13 2 5" xfId="35677"/>
    <cellStyle name="常规 2 5 4 13 2 5 2" xfId="35678"/>
    <cellStyle name="常规 2 5 4 13 2 5 3" xfId="35679"/>
    <cellStyle name="常规 2 5 4 13 2 5 4" xfId="35680"/>
    <cellStyle name="常规 2 5 4 13 2 6" xfId="35681"/>
    <cellStyle name="常规 2 5 4 13 2 7" xfId="35682"/>
    <cellStyle name="常规 2 5 4 13 2 8" xfId="35683"/>
    <cellStyle name="常规 2 5 4 13 3" xfId="35684"/>
    <cellStyle name="常规 2 5 4 13 3 2" xfId="35685"/>
    <cellStyle name="常规 2 5 4 13 3 2 2" xfId="35686"/>
    <cellStyle name="常规 2 5 4 13 3 2 3" xfId="35687"/>
    <cellStyle name="常规 2 5 4 13 3 2 4" xfId="35688"/>
    <cellStyle name="常规 2 5 4 13 3 3" xfId="35689"/>
    <cellStyle name="常规 2 5 4 13 3 4" xfId="35690"/>
    <cellStyle name="常规 2 5 4 13 3 5" xfId="35691"/>
    <cellStyle name="常规 2 5 4 13 4" xfId="35692"/>
    <cellStyle name="常规 2 5 4 13 4 2" xfId="35693"/>
    <cellStyle name="常规 2 5 4 13 4 2 2" xfId="35694"/>
    <cellStyle name="常规 2 5 4 13 4 2 3" xfId="35695"/>
    <cellStyle name="常规 2 5 4 13 4 2 4" xfId="35696"/>
    <cellStyle name="常规 2 5 4 13 4 3" xfId="35697"/>
    <cellStyle name="常规 2 5 4 13 4 4" xfId="35698"/>
    <cellStyle name="常规 2 5 4 13 4 5" xfId="35699"/>
    <cellStyle name="常规 2 5 4 13 5" xfId="35700"/>
    <cellStyle name="常规 2 5 4 13 5 2" xfId="35701"/>
    <cellStyle name="常规 2 5 4 13 5 3" xfId="35702"/>
    <cellStyle name="常规 2 5 4 13 5 4" xfId="35703"/>
    <cellStyle name="常规 2 5 4 13 6" xfId="35704"/>
    <cellStyle name="常规 2 5 4 13 7" xfId="35705"/>
    <cellStyle name="常规 2 5 4 13 8" xfId="35706"/>
    <cellStyle name="常规 2 5 4 14" xfId="35707"/>
    <cellStyle name="常规 2 5 4 14 2" xfId="35708"/>
    <cellStyle name="常规 2 5 4 14 2 2" xfId="35709"/>
    <cellStyle name="常规 2 5 4 14 2 2 2" xfId="35710"/>
    <cellStyle name="常规 2 5 4 14 2 2 2 2" xfId="35711"/>
    <cellStyle name="常规 2 5 4 14 2 2 2 2 2" xfId="35712"/>
    <cellStyle name="常规 2 5 4 14 2 2 2 2 3" xfId="35713"/>
    <cellStyle name="常规 2 5 4 14 2 2 2 2 4" xfId="35714"/>
    <cellStyle name="常规 2 5 4 14 2 2 2 3" xfId="35715"/>
    <cellStyle name="常规 2 5 4 14 2 2 2 4" xfId="35716"/>
    <cellStyle name="常规 2 5 4 14 2 2 2 5" xfId="35717"/>
    <cellStyle name="常规 2 5 4 14 2 2 3" xfId="35718"/>
    <cellStyle name="常规 2 5 4 14 2 2 3 2" xfId="35719"/>
    <cellStyle name="常规 2 5 4 14 2 2 3 2 2" xfId="35720"/>
    <cellStyle name="常规 2 5 4 14 2 2 3 2 3" xfId="35721"/>
    <cellStyle name="常规 2 5 4 14 2 2 3 2 4" xfId="35722"/>
    <cellStyle name="常规 2 5 4 14 2 2 3 3" xfId="35723"/>
    <cellStyle name="常规 2 5 4 14 2 2 3 4" xfId="35724"/>
    <cellStyle name="常规 2 5 4 14 2 2 3 5" xfId="35725"/>
    <cellStyle name="常规 2 5 4 14 2 2 4" xfId="35726"/>
    <cellStyle name="常规 2 5 4 14 2 2 4 2" xfId="35727"/>
    <cellStyle name="常规 2 5 4 14 2 2 4 3" xfId="35728"/>
    <cellStyle name="常规 2 5 4 14 2 2 4 4" xfId="35729"/>
    <cellStyle name="常规 2 5 4 14 2 2 5" xfId="35730"/>
    <cellStyle name="常规 2 5 4 14 2 2 6" xfId="35731"/>
    <cellStyle name="常规 2 5 4 14 2 2 7" xfId="35732"/>
    <cellStyle name="常规 2 5 4 14 2 3" xfId="35733"/>
    <cellStyle name="常规 2 5 4 14 2 3 2" xfId="35734"/>
    <cellStyle name="常规 2 5 4 14 2 3 2 2" xfId="35735"/>
    <cellStyle name="常规 2 5 4 14 2 3 2 3" xfId="35736"/>
    <cellStyle name="常规 2 5 4 14 2 3 2 4" xfId="35737"/>
    <cellStyle name="常规 2 5 4 14 2 3 3" xfId="35738"/>
    <cellStyle name="常规 2 5 4 14 2 3 4" xfId="35739"/>
    <cellStyle name="常规 2 5 4 14 2 3 5" xfId="35740"/>
    <cellStyle name="常规 2 5 4 14 2 4" xfId="35741"/>
    <cellStyle name="常规 2 5 4 14 2 4 2" xfId="35742"/>
    <cellStyle name="常规 2 5 4 14 2 4 2 2" xfId="35743"/>
    <cellStyle name="常规 2 5 4 14 2 4 2 3" xfId="35744"/>
    <cellStyle name="常规 2 5 4 14 2 4 2 4" xfId="35745"/>
    <cellStyle name="常规 2 5 4 14 2 4 3" xfId="35746"/>
    <cellStyle name="常规 2 5 4 14 2 4 4" xfId="35747"/>
    <cellStyle name="常规 2 5 4 14 2 4 5" xfId="35748"/>
    <cellStyle name="常规 2 5 4 14 2 5" xfId="35749"/>
    <cellStyle name="常规 2 5 4 14 2 5 2" xfId="35750"/>
    <cellStyle name="常规 2 5 4 14 2 5 3" xfId="35751"/>
    <cellStyle name="常规 2 5 4 14 2 5 4" xfId="35752"/>
    <cellStyle name="常规 2 5 4 14 2 6" xfId="35753"/>
    <cellStyle name="常规 2 5 4 14 2 7" xfId="35754"/>
    <cellStyle name="常规 2 5 4 14 2 8" xfId="35755"/>
    <cellStyle name="常规 2 5 4 14 3" xfId="35756"/>
    <cellStyle name="常规 2 5 4 14 3 2" xfId="35757"/>
    <cellStyle name="常规 2 5 4 14 3 2 2" xfId="35758"/>
    <cellStyle name="常规 2 5 4 14 3 2 3" xfId="35759"/>
    <cellStyle name="常规 2 5 4 14 3 2 4" xfId="35760"/>
    <cellStyle name="常规 2 5 4 14 3 3" xfId="35761"/>
    <cellStyle name="常规 2 5 4 14 3 4" xfId="35762"/>
    <cellStyle name="常规 2 5 4 14 3 5" xfId="35763"/>
    <cellStyle name="常规 2 5 4 14 4" xfId="35764"/>
    <cellStyle name="常规 2 5 4 14 4 2" xfId="35765"/>
    <cellStyle name="常规 2 5 4 14 4 2 2" xfId="35766"/>
    <cellStyle name="常规 2 5 4 14 4 2 3" xfId="35767"/>
    <cellStyle name="常规 2 5 4 14 4 2 4" xfId="35768"/>
    <cellStyle name="常规 2 5 4 14 4 3" xfId="35769"/>
    <cellStyle name="常规 2 5 4 14 4 4" xfId="35770"/>
    <cellStyle name="常规 2 5 4 14 4 5" xfId="35771"/>
    <cellStyle name="常规 2 5 4 14 5" xfId="35772"/>
    <cellStyle name="常规 2 5 4 14 5 2" xfId="35773"/>
    <cellStyle name="常规 2 5 4 14 5 3" xfId="35774"/>
    <cellStyle name="常规 2 5 4 14 5 4" xfId="35775"/>
    <cellStyle name="常规 2 5 4 14 6" xfId="35776"/>
    <cellStyle name="常规 2 5 4 14 7" xfId="35777"/>
    <cellStyle name="常规 2 5 4 14 8" xfId="35778"/>
    <cellStyle name="常规 2 5 4 15" xfId="35779"/>
    <cellStyle name="常规 2 5 4 15 2" xfId="35780"/>
    <cellStyle name="常规 2 5 4 15 2 2" xfId="35781"/>
    <cellStyle name="常规 2 5 4 15 2 2 2" xfId="35782"/>
    <cellStyle name="常规 2 5 4 15 2 2 2 2" xfId="35783"/>
    <cellStyle name="常规 2 5 4 15 2 2 2 3" xfId="35784"/>
    <cellStyle name="常规 2 5 4 15 2 2 2 4" xfId="35785"/>
    <cellStyle name="常规 2 5 4 15 2 2 3" xfId="35786"/>
    <cellStyle name="常规 2 5 4 15 2 2 4" xfId="35787"/>
    <cellStyle name="常规 2 5 4 15 2 2 5" xfId="35788"/>
    <cellStyle name="常规 2 5 4 15 2 3" xfId="35789"/>
    <cellStyle name="常规 2 5 4 15 2 3 2" xfId="35790"/>
    <cellStyle name="常规 2 5 4 15 2 3 2 2" xfId="35791"/>
    <cellStyle name="常规 2 5 4 15 2 3 2 3" xfId="35792"/>
    <cellStyle name="常规 2 5 4 15 2 3 2 4" xfId="35793"/>
    <cellStyle name="常规 2 5 4 15 2 3 3" xfId="35794"/>
    <cellStyle name="常规 2 5 4 15 2 3 4" xfId="35795"/>
    <cellStyle name="常规 2 5 4 15 2 3 5" xfId="35796"/>
    <cellStyle name="常规 2 5 4 15 2 4" xfId="35797"/>
    <cellStyle name="常规 2 5 4 15 2 4 2" xfId="35798"/>
    <cellStyle name="常规 2 5 4 15 2 4 3" xfId="35799"/>
    <cellStyle name="常规 2 5 4 15 2 4 4" xfId="35800"/>
    <cellStyle name="常规 2 5 4 15 2 5" xfId="35801"/>
    <cellStyle name="常规 2 5 4 15 2 6" xfId="35802"/>
    <cellStyle name="常规 2 5 4 15 2 7" xfId="35803"/>
    <cellStyle name="常规 2 5 4 15 3" xfId="35804"/>
    <cellStyle name="常规 2 5 4 15 3 2" xfId="35805"/>
    <cellStyle name="常规 2 5 4 15 3 2 2" xfId="35806"/>
    <cellStyle name="常规 2 5 4 15 3 2 3" xfId="35807"/>
    <cellStyle name="常规 2 5 4 15 3 2 4" xfId="35808"/>
    <cellStyle name="常规 2 5 4 15 3 3" xfId="35809"/>
    <cellStyle name="常规 2 5 4 15 3 4" xfId="35810"/>
    <cellStyle name="常规 2 5 4 15 3 5" xfId="35811"/>
    <cellStyle name="常规 2 5 4 15 4" xfId="35812"/>
    <cellStyle name="常规 2 5 4 15 4 2" xfId="35813"/>
    <cellStyle name="常规 2 5 4 15 4 2 2" xfId="35814"/>
    <cellStyle name="常规 2 5 4 15 4 2 3" xfId="35815"/>
    <cellStyle name="常规 2 5 4 15 4 2 4" xfId="35816"/>
    <cellStyle name="常规 2 5 4 15 4 3" xfId="35817"/>
    <cellStyle name="常规 2 5 4 15 4 4" xfId="35818"/>
    <cellStyle name="常规 2 5 4 15 4 5" xfId="35819"/>
    <cellStyle name="常规 2 5 4 15 5" xfId="35820"/>
    <cellStyle name="常规 2 5 4 15 5 2" xfId="35821"/>
    <cellStyle name="常规 2 5 4 15 5 3" xfId="35822"/>
    <cellStyle name="常规 2 5 4 15 5 4" xfId="35823"/>
    <cellStyle name="常规 2 5 4 15 6" xfId="35824"/>
    <cellStyle name="常规 2 5 4 15 7" xfId="35825"/>
    <cellStyle name="常规 2 5 4 15 8" xfId="35826"/>
    <cellStyle name="常规 2 5 4 16" xfId="35827"/>
    <cellStyle name="常规 2 5 4 16 2" xfId="35828"/>
    <cellStyle name="常规 2 5 4 16 2 2" xfId="35829"/>
    <cellStyle name="常规 2 5 4 16 2 3" xfId="35830"/>
    <cellStyle name="常规 2 5 4 16 2 4" xfId="35831"/>
    <cellStyle name="常规 2 5 4 16 3" xfId="35832"/>
    <cellStyle name="常规 2 5 4 16 4" xfId="35833"/>
    <cellStyle name="常规 2 5 4 16 5" xfId="35834"/>
    <cellStyle name="常规 2 5 4 17" xfId="35835"/>
    <cellStyle name="常规 2 5 4 17 2" xfId="35836"/>
    <cellStyle name="常规 2 5 4 17 2 2" xfId="35837"/>
    <cellStyle name="常规 2 5 4 17 2 3" xfId="35838"/>
    <cellStyle name="常规 2 5 4 17 2 4" xfId="35839"/>
    <cellStyle name="常规 2 5 4 17 3" xfId="35840"/>
    <cellStyle name="常规 2 5 4 17 4" xfId="35841"/>
    <cellStyle name="常规 2 5 4 17 5" xfId="35842"/>
    <cellStyle name="常规 2 5 4 18" xfId="35843"/>
    <cellStyle name="常规 2 5 4 18 2" xfId="35844"/>
    <cellStyle name="常规 2 5 4 18 3" xfId="35845"/>
    <cellStyle name="常规 2 5 4 18 4" xfId="35846"/>
    <cellStyle name="常规 2 5 4 19" xfId="35847"/>
    <cellStyle name="常规 2 5 4 2" xfId="35848"/>
    <cellStyle name="常规 2 5 4 2 10" xfId="35849"/>
    <cellStyle name="常规 2 5 4 2 2" xfId="35850"/>
    <cellStyle name="常规 2 5 4 2 2 2" xfId="35851"/>
    <cellStyle name="常规 2 5 4 2 2 2 2" xfId="35852"/>
    <cellStyle name="常规 2 5 4 2 2 2 2 2" xfId="35853"/>
    <cellStyle name="常规 2 5 4 2 2 2 2 2 2" xfId="35854"/>
    <cellStyle name="常规 2 5 4 2 2 2 2 2 3" xfId="35855"/>
    <cellStyle name="常规 2 5 4 2 2 2 2 2 4" xfId="35856"/>
    <cellStyle name="常规 2 5 4 2 2 2 2 3" xfId="35857"/>
    <cellStyle name="常规 2 5 4 2 2 2 2 4" xfId="35858"/>
    <cellStyle name="常规 2 5 4 2 2 2 2 5" xfId="35859"/>
    <cellStyle name="常规 2 5 4 2 2 2 3" xfId="35860"/>
    <cellStyle name="常规 2 5 4 2 2 2 3 2" xfId="35861"/>
    <cellStyle name="常规 2 5 4 2 2 2 3 2 2" xfId="35862"/>
    <cellStyle name="常规 2 5 4 2 2 2 3 2 3" xfId="35863"/>
    <cellStyle name="常规 2 5 4 2 2 2 3 2 4" xfId="35864"/>
    <cellStyle name="常规 2 5 4 2 2 2 3 3" xfId="35865"/>
    <cellStyle name="常规 2 5 4 2 2 2 3 4" xfId="35866"/>
    <cellStyle name="常规 2 5 4 2 2 2 3 5" xfId="35867"/>
    <cellStyle name="常规 2 5 4 2 2 2 4" xfId="35868"/>
    <cellStyle name="常规 2 5 4 2 2 2 4 2" xfId="35869"/>
    <cellStyle name="常规 2 5 4 2 2 2 4 3" xfId="35870"/>
    <cellStyle name="常规 2 5 4 2 2 2 4 4" xfId="35871"/>
    <cellStyle name="常规 2 5 4 2 2 2 5" xfId="35872"/>
    <cellStyle name="常规 2 5 4 2 2 2 6" xfId="35873"/>
    <cellStyle name="常规 2 5 4 2 2 2 7" xfId="35874"/>
    <cellStyle name="常规 2 5 4 2 2 3" xfId="35875"/>
    <cellStyle name="常规 2 5 4 2 2 3 2" xfId="35876"/>
    <cellStyle name="常规 2 5 4 2 2 3 2 2" xfId="35877"/>
    <cellStyle name="常规 2 5 4 2 2 3 2 3" xfId="35878"/>
    <cellStyle name="常规 2 5 4 2 2 3 2 4" xfId="35879"/>
    <cellStyle name="常规 2 5 4 2 2 3 3" xfId="35880"/>
    <cellStyle name="常规 2 5 4 2 2 3 4" xfId="35881"/>
    <cellStyle name="常规 2 5 4 2 2 3 5" xfId="35882"/>
    <cellStyle name="常规 2 5 4 2 2 4" xfId="35883"/>
    <cellStyle name="常规 2 5 4 2 2 4 2" xfId="35884"/>
    <cellStyle name="常规 2 5 4 2 2 4 2 2" xfId="35885"/>
    <cellStyle name="常规 2 5 4 2 2 4 2 3" xfId="35886"/>
    <cellStyle name="常规 2 5 4 2 2 4 2 4" xfId="35887"/>
    <cellStyle name="常规 2 5 4 2 2 4 3" xfId="35888"/>
    <cellStyle name="常规 2 5 4 2 2 4 4" xfId="35889"/>
    <cellStyle name="常规 2 5 4 2 2 4 5" xfId="35890"/>
    <cellStyle name="常规 2 5 4 2 2 5" xfId="35891"/>
    <cellStyle name="常规 2 5 4 2 2 5 2" xfId="35892"/>
    <cellStyle name="常规 2 5 4 2 2 5 3" xfId="35893"/>
    <cellStyle name="常规 2 5 4 2 2 5 4" xfId="35894"/>
    <cellStyle name="常规 2 5 4 2 2 6" xfId="35895"/>
    <cellStyle name="常规 2 5 4 2 2 7" xfId="35896"/>
    <cellStyle name="常规 2 5 4 2 2 8" xfId="35897"/>
    <cellStyle name="常规 2 5 4 2 2 9" xfId="35898"/>
    <cellStyle name="常规 2 5 4 2 2 9 2" xfId="35899"/>
    <cellStyle name="常规 2 5 4 2 3" xfId="35900"/>
    <cellStyle name="常规 2 5 4 2 3 2" xfId="35901"/>
    <cellStyle name="常规 2 5 4 2 3 2 2" xfId="35902"/>
    <cellStyle name="常规 2 5 4 2 3 2 3" xfId="35903"/>
    <cellStyle name="常规 2 5 4 2 3 2 4" xfId="35904"/>
    <cellStyle name="常规 2 5 4 2 3 3" xfId="35905"/>
    <cellStyle name="常规 2 5 4 2 3 4" xfId="35906"/>
    <cellStyle name="常规 2 5 4 2 3 5" xfId="35907"/>
    <cellStyle name="常规 2 5 4 2 3 6" xfId="35908"/>
    <cellStyle name="常规 2 5 4 2 3 6 2" xfId="35909"/>
    <cellStyle name="常规 2 5 4 2 4" xfId="35910"/>
    <cellStyle name="常规 2 5 4 2 4 2" xfId="35911"/>
    <cellStyle name="常规 2 5 4 2 4 2 2" xfId="35912"/>
    <cellStyle name="常规 2 5 4 2 4 2 3" xfId="35913"/>
    <cellStyle name="常规 2 5 4 2 4 2 4" xfId="35914"/>
    <cellStyle name="常规 2 5 4 2 4 2 5" xfId="35915"/>
    <cellStyle name="常规 2 5 4 2 4 3" xfId="35916"/>
    <cellStyle name="常规 2 5 4 2 4 4" xfId="35917"/>
    <cellStyle name="常规 2 5 4 2 4 5" xfId="35918"/>
    <cellStyle name="常规 2 5 4 2 4 6" xfId="35919"/>
    <cellStyle name="常规 2 5 4 2 5" xfId="35920"/>
    <cellStyle name="常规 2 5 4 2 5 2" xfId="35921"/>
    <cellStyle name="常规 2 5 4 2 5 2 2" xfId="35922"/>
    <cellStyle name="常规 2 5 4 2 5 3" xfId="35923"/>
    <cellStyle name="常规 2 5 4 2 5 4" xfId="35924"/>
    <cellStyle name="常规 2 5 4 2 5 5" xfId="35925"/>
    <cellStyle name="常规 2 5 4 2 6" xfId="35926"/>
    <cellStyle name="常规 2 5 4 2 7" xfId="35927"/>
    <cellStyle name="常规 2 5 4 2 8" xfId="35928"/>
    <cellStyle name="常规 2 5 4 2 9" xfId="35929"/>
    <cellStyle name="常规 2 5 4 2 9 2" xfId="35930"/>
    <cellStyle name="常规 2 5 4 20" xfId="35931"/>
    <cellStyle name="常规 2 5 4 21" xfId="35932"/>
    <cellStyle name="常规 2 5 4 22" xfId="35933"/>
    <cellStyle name="常规 2 5 4 22 2" xfId="35934"/>
    <cellStyle name="常规 2 5 4 23" xfId="35935"/>
    <cellStyle name="常规 2 5 4 3" xfId="35936"/>
    <cellStyle name="常规 2 5 4 3 2" xfId="35937"/>
    <cellStyle name="常规 2 5 4 3 2 2" xfId="35938"/>
    <cellStyle name="常规 2 5 4 3 2 2 2" xfId="35939"/>
    <cellStyle name="常规 2 5 4 3 2 2 2 2" xfId="35940"/>
    <cellStyle name="常规 2 5 4 3 2 2 2 2 2" xfId="35941"/>
    <cellStyle name="常规 2 5 4 3 2 2 2 2 3" xfId="35942"/>
    <cellStyle name="常规 2 5 4 3 2 2 2 2 4" xfId="35943"/>
    <cellStyle name="常规 2 5 4 3 2 2 2 3" xfId="35944"/>
    <cellStyle name="常规 2 5 4 3 2 2 2 4" xfId="35945"/>
    <cellStyle name="常规 2 5 4 3 2 2 2 5" xfId="35946"/>
    <cellStyle name="常规 2 5 4 3 2 2 3" xfId="35947"/>
    <cellStyle name="常规 2 5 4 3 2 2 3 2" xfId="35948"/>
    <cellStyle name="常规 2 5 4 3 2 2 3 2 2" xfId="35949"/>
    <cellStyle name="常规 2 5 4 3 2 2 3 2 3" xfId="35950"/>
    <cellStyle name="常规 2 5 4 3 2 2 3 2 4" xfId="35951"/>
    <cellStyle name="常规 2 5 4 3 2 2 3 3" xfId="35952"/>
    <cellStyle name="常规 2 5 4 3 2 2 3 4" xfId="35953"/>
    <cellStyle name="常规 2 5 4 3 2 2 3 5" xfId="35954"/>
    <cellStyle name="常规 2 5 4 3 2 2 4" xfId="35955"/>
    <cellStyle name="常规 2 5 4 3 2 2 4 2" xfId="35956"/>
    <cellStyle name="常规 2 5 4 3 2 2 4 3" xfId="35957"/>
    <cellStyle name="常规 2 5 4 3 2 2 4 4" xfId="35958"/>
    <cellStyle name="常规 2 5 4 3 2 2 5" xfId="35959"/>
    <cellStyle name="常规 2 5 4 3 2 2 6" xfId="35960"/>
    <cellStyle name="常规 2 5 4 3 2 2 7" xfId="35961"/>
    <cellStyle name="常规 2 5 4 3 2 3" xfId="35962"/>
    <cellStyle name="常规 2 5 4 3 2 3 2" xfId="35963"/>
    <cellStyle name="常规 2 5 4 3 2 3 2 2" xfId="35964"/>
    <cellStyle name="常规 2 5 4 3 2 3 2 3" xfId="35965"/>
    <cellStyle name="常规 2 5 4 3 2 3 2 4" xfId="35966"/>
    <cellStyle name="常规 2 5 4 3 2 3 3" xfId="35967"/>
    <cellStyle name="常规 2 5 4 3 2 3 4" xfId="35968"/>
    <cellStyle name="常规 2 5 4 3 2 3 5" xfId="35969"/>
    <cellStyle name="常规 2 5 4 3 2 4" xfId="35970"/>
    <cellStyle name="常规 2 5 4 3 2 4 2" xfId="35971"/>
    <cellStyle name="常规 2 5 4 3 2 4 2 2" xfId="35972"/>
    <cellStyle name="常规 2 5 4 3 2 4 2 3" xfId="35973"/>
    <cellStyle name="常规 2 5 4 3 2 4 2 4" xfId="35974"/>
    <cellStyle name="常规 2 5 4 3 2 4 3" xfId="35975"/>
    <cellStyle name="常规 2 5 4 3 2 4 4" xfId="35976"/>
    <cellStyle name="常规 2 5 4 3 2 4 5" xfId="35977"/>
    <cellStyle name="常规 2 5 4 3 2 5" xfId="35978"/>
    <cellStyle name="常规 2 5 4 3 2 5 2" xfId="35979"/>
    <cellStyle name="常规 2 5 4 3 2 5 3" xfId="35980"/>
    <cellStyle name="常规 2 5 4 3 2 5 4" xfId="35981"/>
    <cellStyle name="常规 2 5 4 3 2 6" xfId="35982"/>
    <cellStyle name="常规 2 5 4 3 2 7" xfId="35983"/>
    <cellStyle name="常规 2 5 4 3 2 8" xfId="35984"/>
    <cellStyle name="常规 2 5 4 3 3" xfId="35985"/>
    <cellStyle name="常规 2 5 4 3 3 2" xfId="35986"/>
    <cellStyle name="常规 2 5 4 3 3 2 2" xfId="35987"/>
    <cellStyle name="常规 2 5 4 3 3 2 3" xfId="35988"/>
    <cellStyle name="常规 2 5 4 3 3 2 4" xfId="35989"/>
    <cellStyle name="常规 2 5 4 3 3 3" xfId="35990"/>
    <cellStyle name="常规 2 5 4 3 3 4" xfId="35991"/>
    <cellStyle name="常规 2 5 4 3 3 5" xfId="35992"/>
    <cellStyle name="常规 2 5 4 3 4" xfId="35993"/>
    <cellStyle name="常规 2 5 4 3 4 2" xfId="35994"/>
    <cellStyle name="常规 2 5 4 3 4 2 2" xfId="35995"/>
    <cellStyle name="常规 2 5 4 3 4 2 3" xfId="35996"/>
    <cellStyle name="常规 2 5 4 3 4 2 4" xfId="35997"/>
    <cellStyle name="常规 2 5 4 3 4 3" xfId="35998"/>
    <cellStyle name="常规 2 5 4 3 4 4" xfId="35999"/>
    <cellStyle name="常规 2 5 4 3 4 5" xfId="36000"/>
    <cellStyle name="常规 2 5 4 3 5" xfId="36001"/>
    <cellStyle name="常规 2 5 4 3 5 2" xfId="36002"/>
    <cellStyle name="常规 2 5 4 3 5 3" xfId="36003"/>
    <cellStyle name="常规 2 5 4 3 5 4" xfId="36004"/>
    <cellStyle name="常规 2 5 4 3 6" xfId="36005"/>
    <cellStyle name="常规 2 5 4 3 7" xfId="36006"/>
    <cellStyle name="常规 2 5 4 3 8" xfId="36007"/>
    <cellStyle name="常规 2 5 4 3 9" xfId="36008"/>
    <cellStyle name="常规 2 5 4 3 9 2" xfId="36009"/>
    <cellStyle name="常规 2 5 4 4" xfId="36010"/>
    <cellStyle name="常规 2 5 4 4 2" xfId="36011"/>
    <cellStyle name="常规 2 5 4 4 2 2" xfId="36012"/>
    <cellStyle name="常规 2 5 4 4 2 2 2" xfId="36013"/>
    <cellStyle name="常规 2 5 4 4 2 2 2 2" xfId="36014"/>
    <cellStyle name="常规 2 5 4 4 2 2 2 2 2" xfId="36015"/>
    <cellStyle name="常规 2 5 4 4 2 2 2 2 3" xfId="36016"/>
    <cellStyle name="常规 2 5 4 4 2 2 2 2 4" xfId="36017"/>
    <cellStyle name="常规 2 5 4 4 2 2 2 3" xfId="36018"/>
    <cellStyle name="常规 2 5 4 4 2 2 2 4" xfId="36019"/>
    <cellStyle name="常规 2 5 4 4 2 2 2 5" xfId="36020"/>
    <cellStyle name="常规 2 5 4 4 2 2 3" xfId="36021"/>
    <cellStyle name="常规 2 5 4 4 2 2 3 2" xfId="36022"/>
    <cellStyle name="常规 2 5 4 4 2 2 3 2 2" xfId="36023"/>
    <cellStyle name="常规 2 5 4 4 2 2 3 2 3" xfId="36024"/>
    <cellStyle name="常规 2 5 4 4 2 2 3 2 4" xfId="36025"/>
    <cellStyle name="常规 2 5 4 4 2 2 3 3" xfId="36026"/>
    <cellStyle name="常规 2 5 4 4 2 2 3 4" xfId="36027"/>
    <cellStyle name="常规 2 5 4 4 2 2 3 5" xfId="36028"/>
    <cellStyle name="常规 2 5 4 4 2 2 4" xfId="36029"/>
    <cellStyle name="常规 2 5 4 4 2 2 4 2" xfId="36030"/>
    <cellStyle name="常规 2 5 4 4 2 2 4 3" xfId="36031"/>
    <cellStyle name="常规 2 5 4 4 2 2 4 4" xfId="36032"/>
    <cellStyle name="常规 2 5 4 4 2 2 5" xfId="36033"/>
    <cellStyle name="常规 2 5 4 4 2 2 6" xfId="36034"/>
    <cellStyle name="常规 2 5 4 4 2 2 7" xfId="36035"/>
    <cellStyle name="常规 2 5 4 4 2 3" xfId="36036"/>
    <cellStyle name="常规 2 5 4 4 2 3 2" xfId="36037"/>
    <cellStyle name="常规 2 5 4 4 2 3 2 2" xfId="36038"/>
    <cellStyle name="常规 2 5 4 4 2 3 2 3" xfId="36039"/>
    <cellStyle name="常规 2 5 4 4 2 3 2 4" xfId="36040"/>
    <cellStyle name="常规 2 5 4 4 2 3 3" xfId="36041"/>
    <cellStyle name="常规 2 5 4 4 2 3 4" xfId="36042"/>
    <cellStyle name="常规 2 5 4 4 2 3 5" xfId="36043"/>
    <cellStyle name="常规 2 5 4 4 2 4" xfId="36044"/>
    <cellStyle name="常规 2 5 4 4 2 4 2" xfId="36045"/>
    <cellStyle name="常规 2 5 4 4 2 4 2 2" xfId="36046"/>
    <cellStyle name="常规 2 5 4 4 2 4 2 3" xfId="36047"/>
    <cellStyle name="常规 2 5 4 4 2 4 2 4" xfId="36048"/>
    <cellStyle name="常规 2 5 4 4 2 4 3" xfId="36049"/>
    <cellStyle name="常规 2 5 4 4 2 4 4" xfId="36050"/>
    <cellStyle name="常规 2 5 4 4 2 4 5" xfId="36051"/>
    <cellStyle name="常规 2 5 4 4 2 5" xfId="36052"/>
    <cellStyle name="常规 2 5 4 4 2 5 2" xfId="36053"/>
    <cellStyle name="常规 2 5 4 4 2 5 3" xfId="36054"/>
    <cellStyle name="常规 2 5 4 4 2 5 4" xfId="36055"/>
    <cellStyle name="常规 2 5 4 4 2 6" xfId="36056"/>
    <cellStyle name="常规 2 5 4 4 2 7" xfId="36057"/>
    <cellStyle name="常规 2 5 4 4 2 8" xfId="36058"/>
    <cellStyle name="常规 2 5 4 4 3" xfId="36059"/>
    <cellStyle name="常规 2 5 4 4 3 2" xfId="36060"/>
    <cellStyle name="常规 2 5 4 4 3 2 2" xfId="36061"/>
    <cellStyle name="常规 2 5 4 4 3 2 3" xfId="36062"/>
    <cellStyle name="常规 2 5 4 4 3 2 4" xfId="36063"/>
    <cellStyle name="常规 2 5 4 4 3 3" xfId="36064"/>
    <cellStyle name="常规 2 5 4 4 3 4" xfId="36065"/>
    <cellStyle name="常规 2 5 4 4 3 5" xfId="36066"/>
    <cellStyle name="常规 2 5 4 4 4" xfId="36067"/>
    <cellStyle name="常规 2 5 4 4 4 2" xfId="36068"/>
    <cellStyle name="常规 2 5 4 4 4 2 2" xfId="36069"/>
    <cellStyle name="常规 2 5 4 4 4 2 3" xfId="36070"/>
    <cellStyle name="常规 2 5 4 4 4 2 4" xfId="36071"/>
    <cellStyle name="常规 2 5 4 4 4 3" xfId="36072"/>
    <cellStyle name="常规 2 5 4 4 4 4" xfId="36073"/>
    <cellStyle name="常规 2 5 4 4 4 5" xfId="36074"/>
    <cellStyle name="常规 2 5 4 4 5" xfId="36075"/>
    <cellStyle name="常规 2 5 4 4 5 2" xfId="36076"/>
    <cellStyle name="常规 2 5 4 4 5 3" xfId="36077"/>
    <cellStyle name="常规 2 5 4 4 5 4" xfId="36078"/>
    <cellStyle name="常规 2 5 4 4 6" xfId="36079"/>
    <cellStyle name="常规 2 5 4 4 7" xfId="36080"/>
    <cellStyle name="常规 2 5 4 4 8" xfId="36081"/>
    <cellStyle name="常规 2 5 4 4 9" xfId="36082"/>
    <cellStyle name="常规 2 5 4 4 9 2" xfId="36083"/>
    <cellStyle name="常规 2 5 4 5" xfId="36084"/>
    <cellStyle name="常规 2 5 4 5 2" xfId="36085"/>
    <cellStyle name="常规 2 5 4 5 2 2" xfId="36086"/>
    <cellStyle name="常规 2 5 4 5 2 2 2" xfId="36087"/>
    <cellStyle name="常规 2 5 4 5 2 2 2 2" xfId="36088"/>
    <cellStyle name="常规 2 5 4 5 2 2 2 2 2" xfId="36089"/>
    <cellStyle name="常规 2 5 4 5 2 2 2 2 3" xfId="36090"/>
    <cellStyle name="常规 2 5 4 5 2 2 2 2 4" xfId="36091"/>
    <cellStyle name="常规 2 5 4 5 2 2 2 3" xfId="36092"/>
    <cellStyle name="常规 2 5 4 5 2 2 2 4" xfId="36093"/>
    <cellStyle name="常规 2 5 4 5 2 2 2 5" xfId="36094"/>
    <cellStyle name="常规 2 5 4 5 2 2 3" xfId="36095"/>
    <cellStyle name="常规 2 5 4 5 2 2 3 2" xfId="36096"/>
    <cellStyle name="常规 2 5 4 5 2 2 3 2 2" xfId="36097"/>
    <cellStyle name="常规 2 5 4 5 2 2 3 2 3" xfId="36098"/>
    <cellStyle name="常规 2 5 4 5 2 2 3 2 4" xfId="36099"/>
    <cellStyle name="常规 2 5 4 5 2 2 3 3" xfId="36100"/>
    <cellStyle name="常规 2 5 4 5 2 2 3 4" xfId="36101"/>
    <cellStyle name="常规 2 5 4 5 2 2 3 5" xfId="36102"/>
    <cellStyle name="常规 2 5 4 5 2 2 4" xfId="36103"/>
    <cellStyle name="常规 2 5 4 5 2 2 4 2" xfId="36104"/>
    <cellStyle name="常规 2 5 4 5 2 2 4 3" xfId="36105"/>
    <cellStyle name="常规 2 5 4 5 2 2 4 4" xfId="36106"/>
    <cellStyle name="常规 2 5 4 5 2 2 5" xfId="36107"/>
    <cellStyle name="常规 2 5 4 5 2 2 6" xfId="36108"/>
    <cellStyle name="常规 2 5 4 5 2 2 7" xfId="36109"/>
    <cellStyle name="常规 2 5 4 5 2 3" xfId="36110"/>
    <cellStyle name="常规 2 5 4 5 2 3 2" xfId="36111"/>
    <cellStyle name="常规 2 5 4 5 2 3 2 2" xfId="36112"/>
    <cellStyle name="常规 2 5 4 5 2 3 2 3" xfId="36113"/>
    <cellStyle name="常规 2 5 4 5 2 3 2 4" xfId="36114"/>
    <cellStyle name="常规 2 5 4 5 2 3 3" xfId="36115"/>
    <cellStyle name="常规 2 5 4 5 2 3 4" xfId="36116"/>
    <cellStyle name="常规 2 5 4 5 2 3 5" xfId="36117"/>
    <cellStyle name="常规 2 5 4 5 2 4" xfId="36118"/>
    <cellStyle name="常规 2 5 4 5 2 4 2" xfId="36119"/>
    <cellStyle name="常规 2 5 4 5 2 4 2 2" xfId="36120"/>
    <cellStyle name="常规 2 5 4 5 2 4 2 3" xfId="36121"/>
    <cellStyle name="常规 2 5 4 5 2 4 2 4" xfId="36122"/>
    <cellStyle name="常规 2 5 4 5 2 4 3" xfId="36123"/>
    <cellStyle name="常规 2 5 4 5 2 4 4" xfId="36124"/>
    <cellStyle name="常规 2 5 4 5 2 4 5" xfId="36125"/>
    <cellStyle name="常规 2 5 4 5 2 5" xfId="36126"/>
    <cellStyle name="常规 2 5 4 5 2 5 2" xfId="36127"/>
    <cellStyle name="常规 2 5 4 5 2 5 3" xfId="36128"/>
    <cellStyle name="常规 2 5 4 5 2 5 4" xfId="36129"/>
    <cellStyle name="常规 2 5 4 5 2 6" xfId="36130"/>
    <cellStyle name="常规 2 5 4 5 2 7" xfId="36131"/>
    <cellStyle name="常规 2 5 4 5 2 8" xfId="36132"/>
    <cellStyle name="常规 2 5 4 5 3" xfId="36133"/>
    <cellStyle name="常规 2 5 4 5 3 2" xfId="36134"/>
    <cellStyle name="常规 2 5 4 5 3 2 2" xfId="36135"/>
    <cellStyle name="常规 2 5 4 5 3 2 3" xfId="36136"/>
    <cellStyle name="常规 2 5 4 5 3 2 4" xfId="36137"/>
    <cellStyle name="常规 2 5 4 5 3 3" xfId="36138"/>
    <cellStyle name="常规 2 5 4 5 3 4" xfId="36139"/>
    <cellStyle name="常规 2 5 4 5 3 5" xfId="36140"/>
    <cellStyle name="常规 2 5 4 5 4" xfId="36141"/>
    <cellStyle name="常规 2 5 4 5 4 2" xfId="36142"/>
    <cellStyle name="常规 2 5 4 5 4 2 2" xfId="36143"/>
    <cellStyle name="常规 2 5 4 5 4 2 3" xfId="36144"/>
    <cellStyle name="常规 2 5 4 5 4 2 4" xfId="36145"/>
    <cellStyle name="常规 2 5 4 5 4 3" xfId="36146"/>
    <cellStyle name="常规 2 5 4 5 4 4" xfId="36147"/>
    <cellStyle name="常规 2 5 4 5 4 5" xfId="36148"/>
    <cellStyle name="常规 2 5 4 5 5" xfId="36149"/>
    <cellStyle name="常规 2 5 4 5 5 2" xfId="36150"/>
    <cellStyle name="常规 2 5 4 5 5 3" xfId="36151"/>
    <cellStyle name="常规 2 5 4 5 5 4" xfId="36152"/>
    <cellStyle name="常规 2 5 4 5 6" xfId="36153"/>
    <cellStyle name="常规 2 5 4 5 7" xfId="36154"/>
    <cellStyle name="常规 2 5 4 5 8" xfId="36155"/>
    <cellStyle name="常规 2 5 4 5 9" xfId="36156"/>
    <cellStyle name="常规 2 5 4 5 9 2" xfId="36157"/>
    <cellStyle name="常规 2 5 4 6" xfId="36158"/>
    <cellStyle name="常规 2 5 4 6 2" xfId="36159"/>
    <cellStyle name="常规 2 5 4 6 2 2" xfId="36160"/>
    <cellStyle name="常规 2 5 4 6 2 2 2" xfId="36161"/>
    <cellStyle name="常规 2 5 4 6 2 2 2 2" xfId="36162"/>
    <cellStyle name="常规 2 5 4 6 2 2 2 2 2" xfId="36163"/>
    <cellStyle name="常规 2 5 4 6 2 2 2 2 3" xfId="36164"/>
    <cellStyle name="常规 2 5 4 6 2 2 2 2 4" xfId="36165"/>
    <cellStyle name="常规 2 5 4 6 2 2 2 3" xfId="36166"/>
    <cellStyle name="常规 2 5 4 6 2 2 2 4" xfId="36167"/>
    <cellStyle name="常规 2 5 4 6 2 2 2 5" xfId="36168"/>
    <cellStyle name="常规 2 5 4 6 2 2 3" xfId="36169"/>
    <cellStyle name="常规 2 5 4 6 2 2 3 2" xfId="36170"/>
    <cellStyle name="常规 2 5 4 6 2 2 3 2 2" xfId="36171"/>
    <cellStyle name="常规 2 5 4 6 2 2 3 2 3" xfId="36172"/>
    <cellStyle name="常规 2 5 4 6 2 2 3 2 4" xfId="36173"/>
    <cellStyle name="常规 2 5 4 6 2 2 3 3" xfId="36174"/>
    <cellStyle name="常规 2 5 4 6 2 2 3 4" xfId="36175"/>
    <cellStyle name="常规 2 5 4 6 2 2 3 5" xfId="36176"/>
    <cellStyle name="常规 2 5 4 6 2 2 4" xfId="36177"/>
    <cellStyle name="常规 2 5 4 6 2 2 4 2" xfId="36178"/>
    <cellStyle name="常规 2 5 4 6 2 2 4 3" xfId="36179"/>
    <cellStyle name="常规 2 5 4 6 2 2 4 4" xfId="36180"/>
    <cellStyle name="常规 2 5 4 6 2 2 5" xfId="36181"/>
    <cellStyle name="常规 2 5 4 6 2 2 6" xfId="36182"/>
    <cellStyle name="常规 2 5 4 6 2 2 7" xfId="36183"/>
    <cellStyle name="常规 2 5 4 6 2 3" xfId="36184"/>
    <cellStyle name="常规 2 5 4 6 2 3 2" xfId="36185"/>
    <cellStyle name="常规 2 5 4 6 2 3 2 2" xfId="36186"/>
    <cellStyle name="常规 2 5 4 6 2 3 2 3" xfId="36187"/>
    <cellStyle name="常规 2 5 4 6 2 3 2 4" xfId="36188"/>
    <cellStyle name="常规 2 5 4 6 2 3 3" xfId="36189"/>
    <cellStyle name="常规 2 5 4 6 2 3 4" xfId="36190"/>
    <cellStyle name="常规 2 5 4 6 2 3 5" xfId="36191"/>
    <cellStyle name="常规 2 5 4 6 2 4" xfId="36192"/>
    <cellStyle name="常规 2 5 4 6 2 4 2" xfId="36193"/>
    <cellStyle name="常规 2 5 4 6 2 4 2 2" xfId="36194"/>
    <cellStyle name="常规 2 5 4 6 2 4 2 3" xfId="36195"/>
    <cellStyle name="常规 2 5 4 6 2 4 2 4" xfId="36196"/>
    <cellStyle name="常规 2 5 4 6 2 4 3" xfId="36197"/>
    <cellStyle name="常规 2 5 4 6 2 4 4" xfId="36198"/>
    <cellStyle name="常规 2 5 4 6 2 4 5" xfId="36199"/>
    <cellStyle name="常规 2 5 4 6 2 5" xfId="36200"/>
    <cellStyle name="常规 2 5 4 6 2 5 2" xfId="36201"/>
    <cellStyle name="常规 2 5 4 6 2 5 3" xfId="36202"/>
    <cellStyle name="常规 2 5 4 6 2 5 4" xfId="36203"/>
    <cellStyle name="常规 2 5 4 6 2 6" xfId="36204"/>
    <cellStyle name="常规 2 5 4 6 2 7" xfId="36205"/>
    <cellStyle name="常规 2 5 4 6 2 8" xfId="36206"/>
    <cellStyle name="常规 2 5 4 6 3" xfId="36207"/>
    <cellStyle name="常规 2 5 4 6 3 2" xfId="36208"/>
    <cellStyle name="常规 2 5 4 6 3 2 2" xfId="36209"/>
    <cellStyle name="常规 2 5 4 6 3 2 3" xfId="36210"/>
    <cellStyle name="常规 2 5 4 6 3 2 4" xfId="36211"/>
    <cellStyle name="常规 2 5 4 6 3 3" xfId="36212"/>
    <cellStyle name="常规 2 5 4 6 3 4" xfId="36213"/>
    <cellStyle name="常规 2 5 4 6 3 5" xfId="36214"/>
    <cellStyle name="常规 2 5 4 6 4" xfId="36215"/>
    <cellStyle name="常规 2 5 4 6 4 2" xfId="36216"/>
    <cellStyle name="常规 2 5 4 6 4 2 2" xfId="36217"/>
    <cellStyle name="常规 2 5 4 6 4 2 3" xfId="36218"/>
    <cellStyle name="常规 2 5 4 6 4 2 4" xfId="36219"/>
    <cellStyle name="常规 2 5 4 6 4 3" xfId="36220"/>
    <cellStyle name="常规 2 5 4 6 4 4" xfId="36221"/>
    <cellStyle name="常规 2 5 4 6 4 5" xfId="36222"/>
    <cellStyle name="常规 2 5 4 6 5" xfId="36223"/>
    <cellStyle name="常规 2 5 4 6 5 2" xfId="36224"/>
    <cellStyle name="常规 2 5 4 6 5 3" xfId="36225"/>
    <cellStyle name="常规 2 5 4 6 5 4" xfId="36226"/>
    <cellStyle name="常规 2 5 4 6 6" xfId="36227"/>
    <cellStyle name="常规 2 5 4 6 7" xfId="36228"/>
    <cellStyle name="常规 2 5 4 6 8" xfId="36229"/>
    <cellStyle name="常规 2 5 4 6 9" xfId="36230"/>
    <cellStyle name="常规 2 5 4 6 9 2" xfId="36231"/>
    <cellStyle name="常规 2 5 4 7" xfId="36232"/>
    <cellStyle name="常规 2 5 4 7 2" xfId="36233"/>
    <cellStyle name="常规 2 5 4 7 2 2" xfId="36234"/>
    <cellStyle name="常规 2 5 4 7 2 2 2" xfId="36235"/>
    <cellStyle name="常规 2 5 4 7 2 2 2 2" xfId="36236"/>
    <cellStyle name="常规 2 5 4 7 2 2 2 2 2" xfId="36237"/>
    <cellStyle name="常规 2 5 4 7 2 2 2 2 3" xfId="36238"/>
    <cellStyle name="常规 2 5 4 7 2 2 2 2 4" xfId="36239"/>
    <cellStyle name="常规 2 5 4 7 2 2 2 3" xfId="36240"/>
    <cellStyle name="常规 2 5 4 7 2 2 2 4" xfId="36241"/>
    <cellStyle name="常规 2 5 4 7 2 2 2 5" xfId="36242"/>
    <cellStyle name="常规 2 5 4 7 2 2 3" xfId="36243"/>
    <cellStyle name="常规 2 5 4 7 2 2 3 2" xfId="36244"/>
    <cellStyle name="常规 2 5 4 7 2 2 3 2 2" xfId="36245"/>
    <cellStyle name="常规 2 5 4 7 2 2 3 2 3" xfId="36246"/>
    <cellStyle name="常规 2 5 4 7 2 2 3 2 4" xfId="36247"/>
    <cellStyle name="常规 2 5 4 7 2 2 3 3" xfId="36248"/>
    <cellStyle name="常规 2 5 4 7 2 2 3 4" xfId="36249"/>
    <cellStyle name="常规 2 5 4 7 2 2 3 5" xfId="36250"/>
    <cellStyle name="常规 2 5 4 7 2 2 4" xfId="36251"/>
    <cellStyle name="常规 2 5 4 7 2 2 4 2" xfId="36252"/>
    <cellStyle name="常规 2 5 4 7 2 2 4 3" xfId="36253"/>
    <cellStyle name="常规 2 5 4 7 2 2 4 4" xfId="36254"/>
    <cellStyle name="常规 2 5 4 7 2 2 5" xfId="36255"/>
    <cellStyle name="常规 2 5 4 7 2 2 6" xfId="36256"/>
    <cellStyle name="常规 2 5 4 7 2 2 7" xfId="36257"/>
    <cellStyle name="常规 2 5 4 7 2 3" xfId="36258"/>
    <cellStyle name="常规 2 5 4 7 2 3 2" xfId="36259"/>
    <cellStyle name="常规 2 5 4 7 2 3 2 2" xfId="36260"/>
    <cellStyle name="常规 2 5 4 7 2 3 2 3" xfId="36261"/>
    <cellStyle name="常规 2 5 4 7 2 3 2 4" xfId="36262"/>
    <cellStyle name="常规 2 5 4 7 2 3 3" xfId="36263"/>
    <cellStyle name="常规 2 5 4 7 2 3 4" xfId="36264"/>
    <cellStyle name="常规 2 5 4 7 2 3 5" xfId="36265"/>
    <cellStyle name="常规 2 5 4 7 2 4" xfId="36266"/>
    <cellStyle name="常规 2 5 4 7 2 4 2" xfId="36267"/>
    <cellStyle name="常规 2 5 4 7 2 4 2 2" xfId="36268"/>
    <cellStyle name="常规 2 5 4 7 2 4 2 3" xfId="36269"/>
    <cellStyle name="常规 2 5 4 7 2 4 2 4" xfId="36270"/>
    <cellStyle name="常规 2 5 4 7 2 4 3" xfId="36271"/>
    <cellStyle name="常规 2 5 4 7 2 4 4" xfId="36272"/>
    <cellStyle name="常规 2 5 4 7 2 4 5" xfId="36273"/>
    <cellStyle name="常规 2 5 4 7 2 5" xfId="36274"/>
    <cellStyle name="常规 2 5 4 7 2 5 2" xfId="36275"/>
    <cellStyle name="常规 2 5 4 7 2 5 3" xfId="36276"/>
    <cellStyle name="常规 2 5 4 7 2 5 4" xfId="36277"/>
    <cellStyle name="常规 2 5 4 7 2 6" xfId="36278"/>
    <cellStyle name="常规 2 5 4 7 2 7" xfId="36279"/>
    <cellStyle name="常规 2 5 4 7 2 8" xfId="36280"/>
    <cellStyle name="常规 2 5 4 7 2 9" xfId="36281"/>
    <cellStyle name="常规 2 5 4 7 3" xfId="36282"/>
    <cellStyle name="常规 2 5 4 7 3 2" xfId="36283"/>
    <cellStyle name="常规 2 5 4 7 3 2 2" xfId="36284"/>
    <cellStyle name="常规 2 5 4 7 3 2 3" xfId="36285"/>
    <cellStyle name="常规 2 5 4 7 3 2 4" xfId="36286"/>
    <cellStyle name="常规 2 5 4 7 3 3" xfId="36287"/>
    <cellStyle name="常规 2 5 4 7 3 4" xfId="36288"/>
    <cellStyle name="常规 2 5 4 7 3 5" xfId="36289"/>
    <cellStyle name="常规 2 5 4 7 4" xfId="36290"/>
    <cellStyle name="常规 2 5 4 7 4 2" xfId="36291"/>
    <cellStyle name="常规 2 5 4 7 4 2 2" xfId="36292"/>
    <cellStyle name="常规 2 5 4 7 4 2 3" xfId="36293"/>
    <cellStyle name="常规 2 5 4 7 4 2 4" xfId="36294"/>
    <cellStyle name="常规 2 5 4 7 4 3" xfId="36295"/>
    <cellStyle name="常规 2 5 4 7 4 4" xfId="36296"/>
    <cellStyle name="常规 2 5 4 7 4 5" xfId="36297"/>
    <cellStyle name="常规 2 5 4 7 5" xfId="36298"/>
    <cellStyle name="常规 2 5 4 7 5 2" xfId="36299"/>
    <cellStyle name="常规 2 5 4 7 5 3" xfId="36300"/>
    <cellStyle name="常规 2 5 4 7 5 4" xfId="36301"/>
    <cellStyle name="常规 2 5 4 7 6" xfId="36302"/>
    <cellStyle name="常规 2 5 4 7 7" xfId="36303"/>
    <cellStyle name="常规 2 5 4 7 8" xfId="36304"/>
    <cellStyle name="常规 2 5 4 7 9" xfId="36305"/>
    <cellStyle name="常规 2 5 4 8" xfId="36306"/>
    <cellStyle name="常规 2 5 4 8 2" xfId="36307"/>
    <cellStyle name="常规 2 5 4 8 2 2" xfId="36308"/>
    <cellStyle name="常规 2 5 4 8 2 2 2" xfId="36309"/>
    <cellStyle name="常规 2 5 4 8 2 2 2 2" xfId="36310"/>
    <cellStyle name="常规 2 5 4 8 2 2 2 2 2" xfId="36311"/>
    <cellStyle name="常规 2 5 4 8 2 2 2 2 3" xfId="36312"/>
    <cellStyle name="常规 2 5 4 8 2 2 2 2 4" xfId="36313"/>
    <cellStyle name="常规 2 5 4 8 2 2 2 3" xfId="36314"/>
    <cellStyle name="常规 2 5 4 8 2 2 2 4" xfId="36315"/>
    <cellStyle name="常规 2 5 4 8 2 2 2 5" xfId="36316"/>
    <cellStyle name="常规 2 5 4 8 2 2 3" xfId="36317"/>
    <cellStyle name="常规 2 5 4 8 2 2 3 2" xfId="36318"/>
    <cellStyle name="常规 2 5 4 8 2 2 3 2 2" xfId="36319"/>
    <cellStyle name="常规 2 5 4 8 2 2 3 2 3" xfId="36320"/>
    <cellStyle name="常规 2 5 4 8 2 2 3 2 4" xfId="36321"/>
    <cellStyle name="常规 2 5 4 8 2 2 3 3" xfId="36322"/>
    <cellStyle name="常规 2 5 4 8 2 2 3 4" xfId="36323"/>
    <cellStyle name="常规 2 5 4 8 2 2 3 5" xfId="36324"/>
    <cellStyle name="常规 2 5 4 8 2 2 4" xfId="36325"/>
    <cellStyle name="常规 2 5 4 8 2 2 4 2" xfId="36326"/>
    <cellStyle name="常规 2 5 4 8 2 2 4 3" xfId="36327"/>
    <cellStyle name="常规 2 5 4 8 2 2 4 4" xfId="36328"/>
    <cellStyle name="常规 2 5 4 8 2 2 5" xfId="36329"/>
    <cellStyle name="常规 2 5 4 8 2 2 6" xfId="36330"/>
    <cellStyle name="常规 2 5 4 8 2 2 7" xfId="36331"/>
    <cellStyle name="常规 2 5 4 8 2 3" xfId="36332"/>
    <cellStyle name="常规 2 5 4 8 2 3 2" xfId="36333"/>
    <cellStyle name="常规 2 5 4 8 2 3 2 2" xfId="36334"/>
    <cellStyle name="常规 2 5 4 8 2 3 2 3" xfId="36335"/>
    <cellStyle name="常规 2 5 4 8 2 3 2 4" xfId="36336"/>
    <cellStyle name="常规 2 5 4 8 2 3 3" xfId="36337"/>
    <cellStyle name="常规 2 5 4 8 2 3 4" xfId="36338"/>
    <cellStyle name="常规 2 5 4 8 2 3 5" xfId="36339"/>
    <cellStyle name="常规 2 5 4 8 2 4" xfId="36340"/>
    <cellStyle name="常规 2 5 4 8 2 4 2" xfId="36341"/>
    <cellStyle name="常规 2 5 4 8 2 4 2 2" xfId="36342"/>
    <cellStyle name="常规 2 5 4 8 2 4 2 3" xfId="36343"/>
    <cellStyle name="常规 2 5 4 8 2 4 2 4" xfId="36344"/>
    <cellStyle name="常规 2 5 4 8 2 4 3" xfId="36345"/>
    <cellStyle name="常规 2 5 4 8 2 4 4" xfId="36346"/>
    <cellStyle name="常规 2 5 4 8 2 4 5" xfId="36347"/>
    <cellStyle name="常规 2 5 4 8 2 5" xfId="36348"/>
    <cellStyle name="常规 2 5 4 8 2 5 2" xfId="36349"/>
    <cellStyle name="常规 2 5 4 8 2 5 3" xfId="36350"/>
    <cellStyle name="常规 2 5 4 8 2 5 4" xfId="36351"/>
    <cellStyle name="常规 2 5 4 8 2 6" xfId="36352"/>
    <cellStyle name="常规 2 5 4 8 2 7" xfId="36353"/>
    <cellStyle name="常规 2 5 4 8 2 8" xfId="36354"/>
    <cellStyle name="常规 2 5 4 8 2 9" xfId="36355"/>
    <cellStyle name="常规 2 5 4 8 3" xfId="36356"/>
    <cellStyle name="常规 2 5 4 8 3 2" xfId="36357"/>
    <cellStyle name="常规 2 5 4 8 3 2 2" xfId="36358"/>
    <cellStyle name="常规 2 5 4 8 3 2 3" xfId="36359"/>
    <cellStyle name="常规 2 5 4 8 3 2 4" xfId="36360"/>
    <cellStyle name="常规 2 5 4 8 3 3" xfId="36361"/>
    <cellStyle name="常规 2 5 4 8 3 4" xfId="36362"/>
    <cellStyle name="常规 2 5 4 8 3 5" xfId="36363"/>
    <cellStyle name="常规 2 5 4 8 4" xfId="36364"/>
    <cellStyle name="常规 2 5 4 8 4 2" xfId="36365"/>
    <cellStyle name="常规 2 5 4 8 4 2 2" xfId="36366"/>
    <cellStyle name="常规 2 5 4 8 4 2 3" xfId="36367"/>
    <cellStyle name="常规 2 5 4 8 4 2 4" xfId="36368"/>
    <cellStyle name="常规 2 5 4 8 4 3" xfId="36369"/>
    <cellStyle name="常规 2 5 4 8 4 4" xfId="36370"/>
    <cellStyle name="常规 2 5 4 8 4 5" xfId="36371"/>
    <cellStyle name="常规 2 5 4 8 5" xfId="36372"/>
    <cellStyle name="常规 2 5 4 8 5 2" xfId="36373"/>
    <cellStyle name="常规 2 5 4 8 5 3" xfId="36374"/>
    <cellStyle name="常规 2 5 4 8 5 4" xfId="36375"/>
    <cellStyle name="常规 2 5 4 8 6" xfId="36376"/>
    <cellStyle name="常规 2 5 4 8 7" xfId="36377"/>
    <cellStyle name="常规 2 5 4 8 8" xfId="36378"/>
    <cellStyle name="常规 2 5 4 8 9" xfId="36379"/>
    <cellStyle name="常规 2 5 4 9" xfId="36380"/>
    <cellStyle name="常规 2 5 4 9 2" xfId="36381"/>
    <cellStyle name="常规 2 5 4 9 2 2" xfId="36382"/>
    <cellStyle name="常规 2 5 4 9 2 2 2" xfId="36383"/>
    <cellStyle name="常规 2 5 4 9 2 2 2 2" xfId="36384"/>
    <cellStyle name="常规 2 5 4 9 2 2 2 2 2" xfId="36385"/>
    <cellStyle name="常规 2 5 4 9 2 2 2 2 3" xfId="36386"/>
    <cellStyle name="常规 2 5 4 9 2 2 2 2 4" xfId="36387"/>
    <cellStyle name="常规 2 5 4 9 2 2 2 3" xfId="36388"/>
    <cellStyle name="常规 2 5 4 9 2 2 2 4" xfId="36389"/>
    <cellStyle name="常规 2 5 4 9 2 2 2 5" xfId="36390"/>
    <cellStyle name="常规 2 5 4 9 2 2 3" xfId="36391"/>
    <cellStyle name="常规 2 5 4 9 2 2 3 2" xfId="36392"/>
    <cellStyle name="常规 2 5 4 9 2 2 3 2 2" xfId="36393"/>
    <cellStyle name="常规 2 5 4 9 2 2 3 2 3" xfId="36394"/>
    <cellStyle name="常规 2 5 4 9 2 2 3 2 4" xfId="36395"/>
    <cellStyle name="常规 2 5 4 9 2 2 3 3" xfId="36396"/>
    <cellStyle name="常规 2 5 4 9 2 2 3 4" xfId="36397"/>
    <cellStyle name="常规 2 5 4 9 2 2 3 5" xfId="36398"/>
    <cellStyle name="常规 2 5 4 9 2 2 4" xfId="36399"/>
    <cellStyle name="常规 2 5 4 9 2 2 4 2" xfId="36400"/>
    <cellStyle name="常规 2 5 4 9 2 2 4 3" xfId="36401"/>
    <cellStyle name="常规 2 5 4 9 2 2 4 4" xfId="36402"/>
    <cellStyle name="常规 2 5 4 9 2 2 5" xfId="36403"/>
    <cellStyle name="常规 2 5 4 9 2 2 6" xfId="36404"/>
    <cellStyle name="常规 2 5 4 9 2 2 7" xfId="36405"/>
    <cellStyle name="常规 2 5 4 9 2 3" xfId="36406"/>
    <cellStyle name="常规 2 5 4 9 2 3 2" xfId="36407"/>
    <cellStyle name="常规 2 5 4 9 2 3 2 2" xfId="36408"/>
    <cellStyle name="常规 2 5 4 9 2 3 2 3" xfId="36409"/>
    <cellStyle name="常规 2 5 4 9 2 3 2 4" xfId="36410"/>
    <cellStyle name="常规 2 5 4 9 2 3 3" xfId="36411"/>
    <cellStyle name="常规 2 5 4 9 2 3 4" xfId="36412"/>
    <cellStyle name="常规 2 5 4 9 2 3 5" xfId="36413"/>
    <cellStyle name="常规 2 5 4 9 2 4" xfId="36414"/>
    <cellStyle name="常规 2 5 4 9 2 4 2" xfId="36415"/>
    <cellStyle name="常规 2 5 4 9 2 4 2 2" xfId="36416"/>
    <cellStyle name="常规 2 5 4 9 2 4 2 3" xfId="36417"/>
    <cellStyle name="常规 2 5 4 9 2 4 2 4" xfId="36418"/>
    <cellStyle name="常规 2 5 4 9 2 4 3" xfId="36419"/>
    <cellStyle name="常规 2 5 4 9 2 4 4" xfId="36420"/>
    <cellStyle name="常规 2 5 4 9 2 4 5" xfId="36421"/>
    <cellStyle name="常规 2 5 4 9 2 5" xfId="36422"/>
    <cellStyle name="常规 2 5 4 9 2 5 2" xfId="36423"/>
    <cellStyle name="常规 2 5 4 9 2 5 3" xfId="36424"/>
    <cellStyle name="常规 2 5 4 9 2 5 4" xfId="36425"/>
    <cellStyle name="常规 2 5 4 9 2 6" xfId="36426"/>
    <cellStyle name="常规 2 5 4 9 2 7" xfId="36427"/>
    <cellStyle name="常规 2 5 4 9 2 8" xfId="36428"/>
    <cellStyle name="常规 2 5 4 9 3" xfId="36429"/>
    <cellStyle name="常规 2 5 4 9 3 2" xfId="36430"/>
    <cellStyle name="常规 2 5 4 9 3 2 2" xfId="36431"/>
    <cellStyle name="常规 2 5 4 9 3 2 3" xfId="36432"/>
    <cellStyle name="常规 2 5 4 9 3 2 4" xfId="36433"/>
    <cellStyle name="常规 2 5 4 9 3 3" xfId="36434"/>
    <cellStyle name="常规 2 5 4 9 3 4" xfId="36435"/>
    <cellStyle name="常规 2 5 4 9 3 5" xfId="36436"/>
    <cellStyle name="常规 2 5 4 9 4" xfId="36437"/>
    <cellStyle name="常规 2 5 4 9 4 2" xfId="36438"/>
    <cellStyle name="常规 2 5 4 9 4 2 2" xfId="36439"/>
    <cellStyle name="常规 2 5 4 9 4 2 3" xfId="36440"/>
    <cellStyle name="常规 2 5 4 9 4 2 4" xfId="36441"/>
    <cellStyle name="常规 2 5 4 9 4 3" xfId="36442"/>
    <cellStyle name="常规 2 5 4 9 4 4" xfId="36443"/>
    <cellStyle name="常规 2 5 4 9 4 5" xfId="36444"/>
    <cellStyle name="常规 2 5 4 9 5" xfId="36445"/>
    <cellStyle name="常规 2 5 4 9 5 2" xfId="36446"/>
    <cellStyle name="常规 2 5 4 9 5 3" xfId="36447"/>
    <cellStyle name="常规 2 5 4 9 5 4" xfId="36448"/>
    <cellStyle name="常规 2 5 4 9 6" xfId="36449"/>
    <cellStyle name="常规 2 5 4 9 7" xfId="36450"/>
    <cellStyle name="常规 2 5 4 9 8" xfId="36451"/>
    <cellStyle name="常规 2 5 5" xfId="36452"/>
    <cellStyle name="常规 2 5 5 10" xfId="36453"/>
    <cellStyle name="常规 2 5 5 2" xfId="36454"/>
    <cellStyle name="常规 2 5 5 2 10" xfId="36455"/>
    <cellStyle name="常规 2 5 5 2 2" xfId="36456"/>
    <cellStyle name="常规 2 5 5 2 2 2" xfId="36457"/>
    <cellStyle name="常规 2 5 5 2 2 2 2" xfId="36458"/>
    <cellStyle name="常规 2 5 5 2 2 2 2 2" xfId="36459"/>
    <cellStyle name="常规 2 5 5 2 2 2 2 3" xfId="36460"/>
    <cellStyle name="常规 2 5 5 2 2 2 2 4" xfId="36461"/>
    <cellStyle name="常规 2 5 5 2 2 2 3" xfId="36462"/>
    <cellStyle name="常规 2 5 5 2 2 2 4" xfId="36463"/>
    <cellStyle name="常规 2 5 5 2 2 2 5" xfId="36464"/>
    <cellStyle name="常规 2 5 5 2 2 2 6" xfId="36465"/>
    <cellStyle name="常规 2 5 5 2 2 3" xfId="36466"/>
    <cellStyle name="常规 2 5 5 2 2 3 2" xfId="36467"/>
    <cellStyle name="常规 2 5 5 2 2 3 2 2" xfId="36468"/>
    <cellStyle name="常规 2 5 5 2 2 3 2 3" xfId="36469"/>
    <cellStyle name="常规 2 5 5 2 2 3 2 4" xfId="36470"/>
    <cellStyle name="常规 2 5 5 2 2 3 3" xfId="36471"/>
    <cellStyle name="常规 2 5 5 2 2 3 4" xfId="36472"/>
    <cellStyle name="常规 2 5 5 2 2 3 5" xfId="36473"/>
    <cellStyle name="常规 2 5 5 2 2 4" xfId="36474"/>
    <cellStyle name="常规 2 5 5 2 2 4 2" xfId="36475"/>
    <cellStyle name="常规 2 5 5 2 2 4 3" xfId="36476"/>
    <cellStyle name="常规 2 5 5 2 2 4 4" xfId="36477"/>
    <cellStyle name="常规 2 5 5 2 2 5" xfId="36478"/>
    <cellStyle name="常规 2 5 5 2 2 6" xfId="36479"/>
    <cellStyle name="常规 2 5 5 2 2 7" xfId="36480"/>
    <cellStyle name="常规 2 5 5 2 2 8" xfId="36481"/>
    <cellStyle name="常规 2 5 5 2 2 8 2" xfId="36482"/>
    <cellStyle name="常规 2 5 5 2 2 9" xfId="36483"/>
    <cellStyle name="常规 2 5 5 2 3" xfId="36484"/>
    <cellStyle name="常规 2 5 5 2 3 2" xfId="36485"/>
    <cellStyle name="常规 2 5 5 2 3 2 2" xfId="36486"/>
    <cellStyle name="常规 2 5 5 2 3 2 3" xfId="36487"/>
    <cellStyle name="常规 2 5 5 2 3 2 4" xfId="36488"/>
    <cellStyle name="常规 2 5 5 2 3 2 5" xfId="36489"/>
    <cellStyle name="常规 2 5 5 2 3 3" xfId="36490"/>
    <cellStyle name="常规 2 5 5 2 3 4" xfId="36491"/>
    <cellStyle name="常规 2 5 5 2 3 5" xfId="36492"/>
    <cellStyle name="常规 2 5 5 2 3 6" xfId="36493"/>
    <cellStyle name="常规 2 5 5 2 4" xfId="36494"/>
    <cellStyle name="常规 2 5 5 2 4 2" xfId="36495"/>
    <cellStyle name="常规 2 5 5 2 4 2 2" xfId="36496"/>
    <cellStyle name="常规 2 5 5 2 4 2 3" xfId="36497"/>
    <cellStyle name="常规 2 5 5 2 4 2 4" xfId="36498"/>
    <cellStyle name="常规 2 5 5 2 4 2 5" xfId="36499"/>
    <cellStyle name="常规 2 5 5 2 4 3" xfId="36500"/>
    <cellStyle name="常规 2 5 5 2 4 4" xfId="36501"/>
    <cellStyle name="常规 2 5 5 2 4 5" xfId="36502"/>
    <cellStyle name="常规 2 5 5 2 4 6" xfId="36503"/>
    <cellStyle name="常规 2 5 5 2 5" xfId="36504"/>
    <cellStyle name="常规 2 5 5 2 5 2" xfId="36505"/>
    <cellStyle name="常规 2 5 5 2 5 3" xfId="36506"/>
    <cellStyle name="常规 2 5 5 2 5 4" xfId="36507"/>
    <cellStyle name="常规 2 5 5 2 5 5" xfId="36508"/>
    <cellStyle name="常规 2 5 5 2 6" xfId="36509"/>
    <cellStyle name="常规 2 5 5 2 7" xfId="36510"/>
    <cellStyle name="常规 2 5 5 2 8" xfId="36511"/>
    <cellStyle name="常规 2 5 5 2 9" xfId="36512"/>
    <cellStyle name="常规 2 5 5 2 9 2" xfId="36513"/>
    <cellStyle name="常规 2 5 5 3" xfId="36514"/>
    <cellStyle name="常规 2 5 5 3 2" xfId="36515"/>
    <cellStyle name="常规 2 5 5 3 2 2" xfId="36516"/>
    <cellStyle name="常规 2 5 5 3 2 3" xfId="36517"/>
    <cellStyle name="常规 2 5 5 3 2 4" xfId="36518"/>
    <cellStyle name="常规 2 5 5 3 3" xfId="36519"/>
    <cellStyle name="常规 2 5 5 3 4" xfId="36520"/>
    <cellStyle name="常规 2 5 5 3 5" xfId="36521"/>
    <cellStyle name="常规 2 5 5 3 6" xfId="36522"/>
    <cellStyle name="常规 2 5 5 3 6 2" xfId="36523"/>
    <cellStyle name="常规 2 5 5 4" xfId="36524"/>
    <cellStyle name="常规 2 5 5 4 2" xfId="36525"/>
    <cellStyle name="常规 2 5 5 4 2 2" xfId="36526"/>
    <cellStyle name="常规 2 5 5 4 2 3" xfId="36527"/>
    <cellStyle name="常规 2 5 5 4 2 4" xfId="36528"/>
    <cellStyle name="常规 2 5 5 4 2 5" xfId="36529"/>
    <cellStyle name="常规 2 5 5 4 3" xfId="36530"/>
    <cellStyle name="常规 2 5 5 4 4" xfId="36531"/>
    <cellStyle name="常规 2 5 5 4 5" xfId="36532"/>
    <cellStyle name="常规 2 5 5 4 6" xfId="36533"/>
    <cellStyle name="常规 2 5 5 5" xfId="36534"/>
    <cellStyle name="常规 2 5 5 5 2" xfId="36535"/>
    <cellStyle name="常规 2 5 5 5 2 2" xfId="36536"/>
    <cellStyle name="常规 2 5 5 5 3" xfId="36537"/>
    <cellStyle name="常规 2 5 5 5 4" xfId="36538"/>
    <cellStyle name="常规 2 5 5 5 5" xfId="36539"/>
    <cellStyle name="常规 2 5 5 6" xfId="36540"/>
    <cellStyle name="常规 2 5 5 7" xfId="36541"/>
    <cellStyle name="常规 2 5 5 8" xfId="36542"/>
    <cellStyle name="常规 2 5 5 9" xfId="36543"/>
    <cellStyle name="常规 2 5 5 9 2" xfId="36544"/>
    <cellStyle name="常规 2 5 6" xfId="36545"/>
    <cellStyle name="常规 2 5 6 10" xfId="36546"/>
    <cellStyle name="常规 2 5 6 2" xfId="36547"/>
    <cellStyle name="常规 2 5 6 2 10" xfId="36548"/>
    <cellStyle name="常规 2 5 6 2 2" xfId="36549"/>
    <cellStyle name="常规 2 5 6 2 2 2" xfId="36550"/>
    <cellStyle name="常规 2 5 6 2 2 2 2" xfId="36551"/>
    <cellStyle name="常规 2 5 6 2 2 2 2 2" xfId="36552"/>
    <cellStyle name="常规 2 5 6 2 2 2 2 3" xfId="36553"/>
    <cellStyle name="常规 2 5 6 2 2 2 2 4" xfId="36554"/>
    <cellStyle name="常规 2 5 6 2 2 2 3" xfId="36555"/>
    <cellStyle name="常规 2 5 6 2 2 2 4" xfId="36556"/>
    <cellStyle name="常规 2 5 6 2 2 2 5" xfId="36557"/>
    <cellStyle name="常规 2 5 6 2 2 3" xfId="36558"/>
    <cellStyle name="常规 2 5 6 2 2 3 2" xfId="36559"/>
    <cellStyle name="常规 2 5 6 2 2 3 2 2" xfId="36560"/>
    <cellStyle name="常规 2 5 6 2 2 3 2 3" xfId="36561"/>
    <cellStyle name="常规 2 5 6 2 2 3 2 4" xfId="36562"/>
    <cellStyle name="常规 2 5 6 2 2 3 3" xfId="36563"/>
    <cellStyle name="常规 2 5 6 2 2 3 4" xfId="36564"/>
    <cellStyle name="常规 2 5 6 2 2 3 5" xfId="36565"/>
    <cellStyle name="常规 2 5 6 2 2 4" xfId="36566"/>
    <cellStyle name="常规 2 5 6 2 2 4 2" xfId="36567"/>
    <cellStyle name="常规 2 5 6 2 2 4 3" xfId="36568"/>
    <cellStyle name="常规 2 5 6 2 2 4 4" xfId="36569"/>
    <cellStyle name="常规 2 5 6 2 2 5" xfId="36570"/>
    <cellStyle name="常规 2 5 6 2 2 6" xfId="36571"/>
    <cellStyle name="常规 2 5 6 2 2 7" xfId="36572"/>
    <cellStyle name="常规 2 5 6 2 2 8" xfId="36573"/>
    <cellStyle name="常规 2 5 6 2 3" xfId="36574"/>
    <cellStyle name="常规 2 5 6 2 3 2" xfId="36575"/>
    <cellStyle name="常规 2 5 6 2 3 2 2" xfId="36576"/>
    <cellStyle name="常规 2 5 6 2 3 2 3" xfId="36577"/>
    <cellStyle name="常规 2 5 6 2 3 2 4" xfId="36578"/>
    <cellStyle name="常规 2 5 6 2 3 3" xfId="36579"/>
    <cellStyle name="常规 2 5 6 2 3 4" xfId="36580"/>
    <cellStyle name="常规 2 5 6 2 3 5" xfId="36581"/>
    <cellStyle name="常规 2 5 6 2 4" xfId="36582"/>
    <cellStyle name="常规 2 5 6 2 4 2" xfId="36583"/>
    <cellStyle name="常规 2 5 6 2 4 2 2" xfId="36584"/>
    <cellStyle name="常规 2 5 6 2 4 2 3" xfId="36585"/>
    <cellStyle name="常规 2 5 6 2 4 2 4" xfId="36586"/>
    <cellStyle name="常规 2 5 6 2 4 3" xfId="36587"/>
    <cellStyle name="常规 2 5 6 2 4 4" xfId="36588"/>
    <cellStyle name="常规 2 5 6 2 4 5" xfId="36589"/>
    <cellStyle name="常规 2 5 6 2 5" xfId="36590"/>
    <cellStyle name="常规 2 5 6 2 5 2" xfId="36591"/>
    <cellStyle name="常规 2 5 6 2 5 3" xfId="36592"/>
    <cellStyle name="常规 2 5 6 2 5 4" xfId="36593"/>
    <cellStyle name="常规 2 5 6 2 6" xfId="36594"/>
    <cellStyle name="常规 2 5 6 2 7" xfId="36595"/>
    <cellStyle name="常规 2 5 6 2 8" xfId="36596"/>
    <cellStyle name="常规 2 5 6 2 9" xfId="36597"/>
    <cellStyle name="常规 2 5 6 2 9 2" xfId="36598"/>
    <cellStyle name="常规 2 5 6 3" xfId="36599"/>
    <cellStyle name="常规 2 5 6 3 2" xfId="36600"/>
    <cellStyle name="常规 2 5 6 3 2 2" xfId="36601"/>
    <cellStyle name="常规 2 5 6 3 2 3" xfId="36602"/>
    <cellStyle name="常规 2 5 6 3 2 4" xfId="36603"/>
    <cellStyle name="常规 2 5 6 3 2 5" xfId="36604"/>
    <cellStyle name="常规 2 5 6 3 3" xfId="36605"/>
    <cellStyle name="常规 2 5 6 3 4" xfId="36606"/>
    <cellStyle name="常规 2 5 6 3 5" xfId="36607"/>
    <cellStyle name="常规 2 5 6 3 6" xfId="36608"/>
    <cellStyle name="常规 2 5 6 4" xfId="36609"/>
    <cellStyle name="常规 2 5 6 4 2" xfId="36610"/>
    <cellStyle name="常规 2 5 6 4 2 2" xfId="36611"/>
    <cellStyle name="常规 2 5 6 4 2 3" xfId="36612"/>
    <cellStyle name="常规 2 5 6 4 2 4" xfId="36613"/>
    <cellStyle name="常规 2 5 6 4 2 5" xfId="36614"/>
    <cellStyle name="常规 2 5 6 4 3" xfId="36615"/>
    <cellStyle name="常规 2 5 6 4 4" xfId="36616"/>
    <cellStyle name="常规 2 5 6 4 5" xfId="36617"/>
    <cellStyle name="常规 2 5 6 4 6" xfId="36618"/>
    <cellStyle name="常规 2 5 6 5" xfId="36619"/>
    <cellStyle name="常规 2 5 6 5 2" xfId="36620"/>
    <cellStyle name="常规 2 5 6 5 3" xfId="36621"/>
    <cellStyle name="常规 2 5 6 5 4" xfId="36622"/>
    <cellStyle name="常规 2 5 6 5 5" xfId="36623"/>
    <cellStyle name="常规 2 5 6 6" xfId="36624"/>
    <cellStyle name="常规 2 5 6 7" xfId="36625"/>
    <cellStyle name="常规 2 5 6 8" xfId="36626"/>
    <cellStyle name="常规 2 5 6 9" xfId="36627"/>
    <cellStyle name="常规 2 5 6 9 2" xfId="36628"/>
    <cellStyle name="常规 2 5 7" xfId="36629"/>
    <cellStyle name="常规 2 5 7 2" xfId="36630"/>
    <cellStyle name="常规 2 5 7 2 2" xfId="36631"/>
    <cellStyle name="常规 2 5 7 2 2 2" xfId="36632"/>
    <cellStyle name="常规 2 5 7 2 2 2 2" xfId="36633"/>
    <cellStyle name="常规 2 5 7 2 2 2 2 2" xfId="36634"/>
    <cellStyle name="常规 2 5 7 2 2 2 2 3" xfId="36635"/>
    <cellStyle name="常规 2 5 7 2 2 2 2 4" xfId="36636"/>
    <cellStyle name="常规 2 5 7 2 2 2 3" xfId="36637"/>
    <cellStyle name="常规 2 5 7 2 2 2 4" xfId="36638"/>
    <cellStyle name="常规 2 5 7 2 2 2 5" xfId="36639"/>
    <cellStyle name="常规 2 5 7 2 2 3" xfId="36640"/>
    <cellStyle name="常规 2 5 7 2 2 3 2" xfId="36641"/>
    <cellStyle name="常规 2 5 7 2 2 3 2 2" xfId="36642"/>
    <cellStyle name="常规 2 5 7 2 2 3 2 3" xfId="36643"/>
    <cellStyle name="常规 2 5 7 2 2 3 2 4" xfId="36644"/>
    <cellStyle name="常规 2 5 7 2 2 3 3" xfId="36645"/>
    <cellStyle name="常规 2 5 7 2 2 3 4" xfId="36646"/>
    <cellStyle name="常规 2 5 7 2 2 3 5" xfId="36647"/>
    <cellStyle name="常规 2 5 7 2 2 4" xfId="36648"/>
    <cellStyle name="常规 2 5 7 2 2 4 2" xfId="36649"/>
    <cellStyle name="常规 2 5 7 2 2 4 3" xfId="36650"/>
    <cellStyle name="常规 2 5 7 2 2 4 4" xfId="36651"/>
    <cellStyle name="常规 2 5 7 2 2 5" xfId="36652"/>
    <cellStyle name="常规 2 5 7 2 2 6" xfId="36653"/>
    <cellStyle name="常规 2 5 7 2 2 7" xfId="36654"/>
    <cellStyle name="常规 2 5 7 2 3" xfId="36655"/>
    <cellStyle name="常规 2 5 7 2 3 2" xfId="36656"/>
    <cellStyle name="常规 2 5 7 2 3 2 2" xfId="36657"/>
    <cellStyle name="常规 2 5 7 2 3 2 3" xfId="36658"/>
    <cellStyle name="常规 2 5 7 2 3 2 4" xfId="36659"/>
    <cellStyle name="常规 2 5 7 2 3 3" xfId="36660"/>
    <cellStyle name="常规 2 5 7 2 3 4" xfId="36661"/>
    <cellStyle name="常规 2 5 7 2 3 5" xfId="36662"/>
    <cellStyle name="常规 2 5 7 2 4" xfId="36663"/>
    <cellStyle name="常规 2 5 7 2 4 2" xfId="36664"/>
    <cellStyle name="常规 2 5 7 2 4 2 2" xfId="36665"/>
    <cellStyle name="常规 2 5 7 2 4 2 3" xfId="36666"/>
    <cellStyle name="常规 2 5 7 2 4 2 4" xfId="36667"/>
    <cellStyle name="常规 2 5 7 2 4 3" xfId="36668"/>
    <cellStyle name="常规 2 5 7 2 4 4" xfId="36669"/>
    <cellStyle name="常规 2 5 7 2 4 5" xfId="36670"/>
    <cellStyle name="常规 2 5 7 2 5" xfId="36671"/>
    <cellStyle name="常规 2 5 7 2 5 2" xfId="36672"/>
    <cellStyle name="常规 2 5 7 2 5 3" xfId="36673"/>
    <cellStyle name="常规 2 5 7 2 5 4" xfId="36674"/>
    <cellStyle name="常规 2 5 7 2 6" xfId="36675"/>
    <cellStyle name="常规 2 5 7 2 7" xfId="36676"/>
    <cellStyle name="常规 2 5 7 2 8" xfId="36677"/>
    <cellStyle name="常规 2 5 7 3" xfId="36678"/>
    <cellStyle name="常规 2 5 7 3 2" xfId="36679"/>
    <cellStyle name="常规 2 5 7 3 2 2" xfId="36680"/>
    <cellStyle name="常规 2 5 7 3 2 3" xfId="36681"/>
    <cellStyle name="常规 2 5 7 3 2 4" xfId="36682"/>
    <cellStyle name="常规 2 5 7 3 3" xfId="36683"/>
    <cellStyle name="常规 2 5 7 3 4" xfId="36684"/>
    <cellStyle name="常规 2 5 7 3 5" xfId="36685"/>
    <cellStyle name="常规 2 5 7 4" xfId="36686"/>
    <cellStyle name="常规 2 5 7 4 2" xfId="36687"/>
    <cellStyle name="常规 2 5 7 4 2 2" xfId="36688"/>
    <cellStyle name="常规 2 5 7 4 2 3" xfId="36689"/>
    <cellStyle name="常规 2 5 7 4 2 4" xfId="36690"/>
    <cellStyle name="常规 2 5 7 4 3" xfId="36691"/>
    <cellStyle name="常规 2 5 7 4 4" xfId="36692"/>
    <cellStyle name="常规 2 5 7 4 5" xfId="36693"/>
    <cellStyle name="常规 2 5 7 5" xfId="36694"/>
    <cellStyle name="常规 2 5 7 5 2" xfId="36695"/>
    <cellStyle name="常规 2 5 7 5 3" xfId="36696"/>
    <cellStyle name="常规 2 5 7 5 4" xfId="36697"/>
    <cellStyle name="常规 2 5 7 6" xfId="36698"/>
    <cellStyle name="常规 2 5 7 7" xfId="36699"/>
    <cellStyle name="常规 2 5 7 8" xfId="36700"/>
    <cellStyle name="常规 2 5 7 9" xfId="36701"/>
    <cellStyle name="常规 2 5 7 9 2" xfId="36702"/>
    <cellStyle name="常规 2 5 8" xfId="36703"/>
    <cellStyle name="常规 2 5 8 2" xfId="36704"/>
    <cellStyle name="常规 2 5 8 2 2" xfId="36705"/>
    <cellStyle name="常规 2 5 8 2 2 2" xfId="36706"/>
    <cellStyle name="常规 2 5 8 2 2 2 2" xfId="36707"/>
    <cellStyle name="常规 2 5 8 2 2 2 2 2" xfId="36708"/>
    <cellStyle name="常规 2 5 8 2 2 2 2 3" xfId="36709"/>
    <cellStyle name="常规 2 5 8 2 2 2 2 4" xfId="36710"/>
    <cellStyle name="常规 2 5 8 2 2 2 3" xfId="36711"/>
    <cellStyle name="常规 2 5 8 2 2 2 4" xfId="36712"/>
    <cellStyle name="常规 2 5 8 2 2 2 5" xfId="36713"/>
    <cellStyle name="常规 2 5 8 2 2 3" xfId="36714"/>
    <cellStyle name="常规 2 5 8 2 2 3 2" xfId="36715"/>
    <cellStyle name="常规 2 5 8 2 2 3 2 2" xfId="36716"/>
    <cellStyle name="常规 2 5 8 2 2 3 2 3" xfId="36717"/>
    <cellStyle name="常规 2 5 8 2 2 3 2 4" xfId="36718"/>
    <cellStyle name="常规 2 5 8 2 2 3 3" xfId="36719"/>
    <cellStyle name="常规 2 5 8 2 2 3 4" xfId="36720"/>
    <cellStyle name="常规 2 5 8 2 2 3 5" xfId="36721"/>
    <cellStyle name="常规 2 5 8 2 2 4" xfId="36722"/>
    <cellStyle name="常规 2 5 8 2 2 4 2" xfId="36723"/>
    <cellStyle name="常规 2 5 8 2 2 4 3" xfId="36724"/>
    <cellStyle name="常规 2 5 8 2 2 4 4" xfId="36725"/>
    <cellStyle name="常规 2 5 8 2 2 5" xfId="36726"/>
    <cellStyle name="常规 2 5 8 2 2 6" xfId="36727"/>
    <cellStyle name="常规 2 5 8 2 2 7" xfId="36728"/>
    <cellStyle name="常规 2 5 8 2 3" xfId="36729"/>
    <cellStyle name="常规 2 5 8 2 3 2" xfId="36730"/>
    <cellStyle name="常规 2 5 8 2 3 2 2" xfId="36731"/>
    <cellStyle name="常规 2 5 8 2 3 2 3" xfId="36732"/>
    <cellStyle name="常规 2 5 8 2 3 2 4" xfId="36733"/>
    <cellStyle name="常规 2 5 8 2 3 3" xfId="36734"/>
    <cellStyle name="常规 2 5 8 2 3 4" xfId="36735"/>
    <cellStyle name="常规 2 5 8 2 3 5" xfId="36736"/>
    <cellStyle name="常规 2 5 8 2 4" xfId="36737"/>
    <cellStyle name="常规 2 5 8 2 4 2" xfId="36738"/>
    <cellStyle name="常规 2 5 8 2 4 2 2" xfId="36739"/>
    <cellStyle name="常规 2 5 8 2 4 2 3" xfId="36740"/>
    <cellStyle name="常规 2 5 8 2 4 2 4" xfId="36741"/>
    <cellStyle name="常规 2 5 8 2 4 3" xfId="36742"/>
    <cellStyle name="常规 2 5 8 2 4 4" xfId="36743"/>
    <cellStyle name="常规 2 5 8 2 4 5" xfId="36744"/>
    <cellStyle name="常规 2 5 8 2 5" xfId="36745"/>
    <cellStyle name="常规 2 5 8 2 5 2" xfId="36746"/>
    <cellStyle name="常规 2 5 8 2 5 3" xfId="36747"/>
    <cellStyle name="常规 2 5 8 2 5 4" xfId="36748"/>
    <cellStyle name="常规 2 5 8 2 6" xfId="36749"/>
    <cellStyle name="常规 2 5 8 2 7" xfId="36750"/>
    <cellStyle name="常规 2 5 8 2 8" xfId="36751"/>
    <cellStyle name="常规 2 5 8 3" xfId="36752"/>
    <cellStyle name="常规 2 5 8 3 2" xfId="36753"/>
    <cellStyle name="常规 2 5 8 3 2 2" xfId="36754"/>
    <cellStyle name="常规 2 5 8 3 2 3" xfId="36755"/>
    <cellStyle name="常规 2 5 8 3 2 4" xfId="36756"/>
    <cellStyle name="常规 2 5 8 3 3" xfId="36757"/>
    <cellStyle name="常规 2 5 8 3 4" xfId="36758"/>
    <cellStyle name="常规 2 5 8 3 5" xfId="36759"/>
    <cellStyle name="常规 2 5 8 4" xfId="36760"/>
    <cellStyle name="常规 2 5 8 4 2" xfId="36761"/>
    <cellStyle name="常规 2 5 8 4 2 2" xfId="36762"/>
    <cellStyle name="常规 2 5 8 4 2 3" xfId="36763"/>
    <cellStyle name="常规 2 5 8 4 2 4" xfId="36764"/>
    <cellStyle name="常规 2 5 8 4 3" xfId="36765"/>
    <cellStyle name="常规 2 5 8 4 4" xfId="36766"/>
    <cellStyle name="常规 2 5 8 4 5" xfId="36767"/>
    <cellStyle name="常规 2 5 8 5" xfId="36768"/>
    <cellStyle name="常规 2 5 8 5 2" xfId="36769"/>
    <cellStyle name="常规 2 5 8 5 3" xfId="36770"/>
    <cellStyle name="常规 2 5 8 5 4" xfId="36771"/>
    <cellStyle name="常规 2 5 8 6" xfId="36772"/>
    <cellStyle name="常规 2 5 8 7" xfId="36773"/>
    <cellStyle name="常规 2 5 8 8" xfId="36774"/>
    <cellStyle name="常规 2 5 8 9" xfId="36775"/>
    <cellStyle name="常规 2 5 8 9 2" xfId="36776"/>
    <cellStyle name="常规 2 5 9" xfId="36777"/>
    <cellStyle name="常规 2 5 9 2" xfId="36778"/>
    <cellStyle name="常规 2 5 9 2 2" xfId="36779"/>
    <cellStyle name="常规 2 5 9 2 2 2" xfId="36780"/>
    <cellStyle name="常规 2 5 9 2 2 2 2" xfId="36781"/>
    <cellStyle name="常规 2 5 9 2 2 2 3" xfId="36782"/>
    <cellStyle name="常规 2 5 9 2 2 2 4" xfId="36783"/>
    <cellStyle name="常规 2 5 9 2 2 3" xfId="36784"/>
    <cellStyle name="常规 2 5 9 2 2 4" xfId="36785"/>
    <cellStyle name="常规 2 5 9 2 2 5" xfId="36786"/>
    <cellStyle name="常规 2 5 9 2 3" xfId="36787"/>
    <cellStyle name="常规 2 5 9 2 3 2" xfId="36788"/>
    <cellStyle name="常规 2 5 9 2 3 2 2" xfId="36789"/>
    <cellStyle name="常规 2 5 9 2 3 2 3" xfId="36790"/>
    <cellStyle name="常规 2 5 9 2 3 2 4" xfId="36791"/>
    <cellStyle name="常规 2 5 9 2 3 3" xfId="36792"/>
    <cellStyle name="常规 2 5 9 2 3 4" xfId="36793"/>
    <cellStyle name="常规 2 5 9 2 3 5" xfId="36794"/>
    <cellStyle name="常规 2 5 9 2 4" xfId="36795"/>
    <cellStyle name="常规 2 5 9 2 4 2" xfId="36796"/>
    <cellStyle name="常规 2 5 9 2 4 3" xfId="36797"/>
    <cellStyle name="常规 2 5 9 2 4 4" xfId="36798"/>
    <cellStyle name="常规 2 5 9 2 5" xfId="36799"/>
    <cellStyle name="常规 2 5 9 2 6" xfId="36800"/>
    <cellStyle name="常规 2 5 9 2 7" xfId="36801"/>
    <cellStyle name="常规 2 5 9 3" xfId="36802"/>
    <cellStyle name="常规 2 5 9 3 2" xfId="36803"/>
    <cellStyle name="常规 2 5 9 3 2 2" xfId="36804"/>
    <cellStyle name="常规 2 5 9 3 2 3" xfId="36805"/>
    <cellStyle name="常规 2 5 9 3 2 4" xfId="36806"/>
    <cellStyle name="常规 2 5 9 3 3" xfId="36807"/>
    <cellStyle name="常规 2 5 9 3 4" xfId="36808"/>
    <cellStyle name="常规 2 5 9 3 5" xfId="36809"/>
    <cellStyle name="常规 2 5 9 4" xfId="36810"/>
    <cellStyle name="常规 2 5 9 4 2" xfId="36811"/>
    <cellStyle name="常规 2 5 9 4 2 2" xfId="36812"/>
    <cellStyle name="常规 2 5 9 4 2 3" xfId="36813"/>
    <cellStyle name="常规 2 5 9 4 2 4" xfId="36814"/>
    <cellStyle name="常规 2 5 9 4 3" xfId="36815"/>
    <cellStyle name="常规 2 5 9 4 4" xfId="36816"/>
    <cellStyle name="常规 2 5 9 4 5" xfId="36817"/>
    <cellStyle name="常规 2 5 9 5" xfId="36818"/>
    <cellStyle name="常规 2 5 9 5 2" xfId="36819"/>
    <cellStyle name="常规 2 5 9 5 3" xfId="36820"/>
    <cellStyle name="常规 2 5 9 5 4" xfId="36821"/>
    <cellStyle name="常规 2 5 9 6" xfId="36822"/>
    <cellStyle name="常规 2 5 9 7" xfId="36823"/>
    <cellStyle name="常规 2 5 9 8" xfId="36824"/>
    <cellStyle name="常规 2 5 9 9" xfId="36825"/>
    <cellStyle name="常规 2 5 9 9 2" xfId="36826"/>
    <cellStyle name="常规 2 6" xfId="36827"/>
    <cellStyle name="常规 2 6 10" xfId="36828"/>
    <cellStyle name="常规 2 6 10 2" xfId="36829"/>
    <cellStyle name="常规 2 6 10 2 2" xfId="36830"/>
    <cellStyle name="常规 2 6 10 3" xfId="36831"/>
    <cellStyle name="常规 2 6 10 4" xfId="36832"/>
    <cellStyle name="常规 2 6 10 5" xfId="36833"/>
    <cellStyle name="常规 2 6 11" xfId="36834"/>
    <cellStyle name="常规 2 6 12" xfId="36835"/>
    <cellStyle name="常规 2 6 13" xfId="36836"/>
    <cellStyle name="常规 2 6 14" xfId="36837"/>
    <cellStyle name="常规 2 6 14 2" xfId="36838"/>
    <cellStyle name="常规 2 6 15" xfId="36839"/>
    <cellStyle name="常规 2 6 2" xfId="36840"/>
    <cellStyle name="常规 2 6 2 10" xfId="36841"/>
    <cellStyle name="常规 2 6 2 10 2" xfId="36842"/>
    <cellStyle name="常规 2 6 2 2" xfId="36843"/>
    <cellStyle name="常规 2 6 2 2 10" xfId="36844"/>
    <cellStyle name="常规 2 6 2 2 2" xfId="36845"/>
    <cellStyle name="常规 2 6 2 2 2 2" xfId="36846"/>
    <cellStyle name="常规 2 6 2 2 2 2 2" xfId="36847"/>
    <cellStyle name="常规 2 6 2 2 2 2 2 2" xfId="36848"/>
    <cellStyle name="常规 2 6 2 2 2 2 2 3" xfId="36849"/>
    <cellStyle name="常规 2 6 2 2 2 2 2 4" xfId="36850"/>
    <cellStyle name="常规 2 6 2 2 2 2 2 5" xfId="36851"/>
    <cellStyle name="常规 2 6 2 2 2 2 2 5 2" xfId="36852"/>
    <cellStyle name="常规 2 6 2 2 2 2 3" xfId="36853"/>
    <cellStyle name="常规 2 6 2 2 2 2 3 2" xfId="36854"/>
    <cellStyle name="常规 2 6 2 2 2 2 3 2 2" xfId="36855"/>
    <cellStyle name="常规 2 6 2 2 2 2 4" xfId="36856"/>
    <cellStyle name="常规 2 6 2 2 2 2 4 2" xfId="36857"/>
    <cellStyle name="常规 2 6 2 2 2 2 4 2 2" xfId="36858"/>
    <cellStyle name="常规 2 6 2 2 2 2 5" xfId="36859"/>
    <cellStyle name="常规 2 6 2 2 2 2 5 2" xfId="36860"/>
    <cellStyle name="常规 2 6 2 2 2 2 5 3" xfId="36861"/>
    <cellStyle name="常规 2 6 2 2 2 2 6" xfId="36862"/>
    <cellStyle name="常规 2 6 2 2 2 2 6 2" xfId="36863"/>
    <cellStyle name="常规 2 6 2 2 2 2 7" xfId="36864"/>
    <cellStyle name="常规 2 6 2 2 2 3" xfId="36865"/>
    <cellStyle name="常规 2 6 2 2 2 3 2" xfId="36866"/>
    <cellStyle name="常规 2 6 2 2 2 3 2 2" xfId="36867"/>
    <cellStyle name="常规 2 6 2 2 2 3 2 2 2" xfId="36868"/>
    <cellStyle name="常规 2 6 2 2 2 3 2 3" xfId="36869"/>
    <cellStyle name="常规 2 6 2 2 2 3 2 4" xfId="36870"/>
    <cellStyle name="常规 2 6 2 2 2 3 2 5" xfId="36871"/>
    <cellStyle name="常规 2 6 2 2 2 3 2 5 2" xfId="36872"/>
    <cellStyle name="常规 2 6 2 2 2 3 2 6" xfId="36873"/>
    <cellStyle name="常规 2 6 2 2 2 3 3" xfId="36874"/>
    <cellStyle name="常规 2 6 2 2 2 3 3 2" xfId="36875"/>
    <cellStyle name="常规 2 6 2 2 2 3 3 2 2" xfId="36876"/>
    <cellStyle name="常规 2 6 2 2 2 3 4" xfId="36877"/>
    <cellStyle name="常规 2 6 2 2 2 3 4 2" xfId="36878"/>
    <cellStyle name="常规 2 6 2 2 2 3 4 3" xfId="36879"/>
    <cellStyle name="常规 2 6 2 2 2 3 5" xfId="36880"/>
    <cellStyle name="常规 2 6 2 2 2 3 5 2" xfId="36881"/>
    <cellStyle name="常规 2 6 2 2 2 3 6" xfId="36882"/>
    <cellStyle name="常规 2 6 2 2 2 3 6 2" xfId="36883"/>
    <cellStyle name="常规 2 6 2 2 2 3 7" xfId="36884"/>
    <cellStyle name="常规 2 6 2 2 2 4" xfId="36885"/>
    <cellStyle name="常规 2 6 2 2 2 4 2" xfId="36886"/>
    <cellStyle name="常规 2 6 2 2 2 4 3" xfId="36887"/>
    <cellStyle name="常规 2 6 2 2 2 4 4" xfId="36888"/>
    <cellStyle name="常规 2 6 2 2 2 4 5" xfId="36889"/>
    <cellStyle name="常规 2 6 2 2 2 4 5 2" xfId="36890"/>
    <cellStyle name="常规 2 6 2 2 2 5" xfId="36891"/>
    <cellStyle name="常规 2 6 2 2 2 5 2" xfId="36892"/>
    <cellStyle name="常规 2 6 2 2 2 5 2 2" xfId="36893"/>
    <cellStyle name="常规 2 6 2 2 2 6" xfId="36894"/>
    <cellStyle name="常规 2 6 2 2 2 6 2" xfId="36895"/>
    <cellStyle name="常规 2 6 2 2 2 6 2 2" xfId="36896"/>
    <cellStyle name="常规 2 6 2 2 2 7" xfId="36897"/>
    <cellStyle name="常规 2 6 2 2 2 7 2" xfId="36898"/>
    <cellStyle name="常规 2 6 2 2 2 7 2 2" xfId="36899"/>
    <cellStyle name="常规 2 6 2 2 2 8" xfId="36900"/>
    <cellStyle name="常规 2 6 2 2 2 8 2" xfId="36901"/>
    <cellStyle name="常规 2 6 2 2 2 8 3" xfId="36902"/>
    <cellStyle name="常规 2 6 2 2 2 9" xfId="36903"/>
    <cellStyle name="常规 2 6 2 2 3" xfId="36904"/>
    <cellStyle name="常规 2 6 2 2 3 2" xfId="36905"/>
    <cellStyle name="常规 2 6 2 2 3 2 2" xfId="36906"/>
    <cellStyle name="常规 2 6 2 2 3 2 3" xfId="36907"/>
    <cellStyle name="常规 2 6 2 2 3 2 4" xfId="36908"/>
    <cellStyle name="常规 2 6 2 2 3 2 5" xfId="36909"/>
    <cellStyle name="常规 2 6 2 2 3 2 5 2" xfId="36910"/>
    <cellStyle name="常规 2 6 2 2 3 3" xfId="36911"/>
    <cellStyle name="常规 2 6 2 2 3 3 2" xfId="36912"/>
    <cellStyle name="常规 2 6 2 2 3 3 2 2" xfId="36913"/>
    <cellStyle name="常规 2 6 2 2 3 4" xfId="36914"/>
    <cellStyle name="常规 2 6 2 2 3 4 2" xfId="36915"/>
    <cellStyle name="常规 2 6 2 2 3 4 2 2" xfId="36916"/>
    <cellStyle name="常规 2 6 2 2 3 5" xfId="36917"/>
    <cellStyle name="常规 2 6 2 2 3 5 2" xfId="36918"/>
    <cellStyle name="常规 2 6 2 2 3 5 3" xfId="36919"/>
    <cellStyle name="常规 2 6 2 2 3 6" xfId="36920"/>
    <cellStyle name="常规 2 6 2 2 3 6 2" xfId="36921"/>
    <cellStyle name="常规 2 6 2 2 3 7" xfId="36922"/>
    <cellStyle name="常规 2 6 2 2 4" xfId="36923"/>
    <cellStyle name="常规 2 6 2 2 4 2" xfId="36924"/>
    <cellStyle name="常规 2 6 2 2 4 2 2" xfId="36925"/>
    <cellStyle name="常规 2 6 2 2 4 2 3" xfId="36926"/>
    <cellStyle name="常规 2 6 2 2 4 2 4" xfId="36927"/>
    <cellStyle name="常规 2 6 2 2 4 3" xfId="36928"/>
    <cellStyle name="常规 2 6 2 2 4 4" xfId="36929"/>
    <cellStyle name="常规 2 6 2 2 4 5" xfId="36930"/>
    <cellStyle name="常规 2 6 2 2 4 6" xfId="36931"/>
    <cellStyle name="常规 2 6 2 2 4 6 2" xfId="36932"/>
    <cellStyle name="常规 2 6 2 2 5" xfId="36933"/>
    <cellStyle name="常规 2 6 2 2 5 2" xfId="36934"/>
    <cellStyle name="常规 2 6 2 2 5 3" xfId="36935"/>
    <cellStyle name="常规 2 6 2 2 5 4" xfId="36936"/>
    <cellStyle name="常规 2 6 2 2 5 5" xfId="36937"/>
    <cellStyle name="常规 2 6 2 2 5 5 2" xfId="36938"/>
    <cellStyle name="常规 2 6 2 2 6" xfId="36939"/>
    <cellStyle name="常规 2 6 2 2 6 2" xfId="36940"/>
    <cellStyle name="常规 2 6 2 2 6 2 2" xfId="36941"/>
    <cellStyle name="常规 2 6 2 2 7" xfId="36942"/>
    <cellStyle name="常规 2 6 2 2 7 2" xfId="36943"/>
    <cellStyle name="常规 2 6 2 2 7 2 2" xfId="36944"/>
    <cellStyle name="常规 2 6 2 2 8" xfId="36945"/>
    <cellStyle name="常规 2 6 2 2 8 2" xfId="36946"/>
    <cellStyle name="常规 2 6 2 2 8 2 2" xfId="36947"/>
    <cellStyle name="常规 2 6 2 2 9" xfId="36948"/>
    <cellStyle name="常规 2 6 2 2 9 2" xfId="36949"/>
    <cellStyle name="常规 2 6 2 2 9 3" xfId="36950"/>
    <cellStyle name="常规 2 6 2 3" xfId="36951"/>
    <cellStyle name="常规 2 6 2 3 2" xfId="36952"/>
    <cellStyle name="常规 2 6 2 3 2 2" xfId="36953"/>
    <cellStyle name="常规 2 6 2 3 2 2 2" xfId="36954"/>
    <cellStyle name="常规 2 6 2 3 2 2 2 2" xfId="36955"/>
    <cellStyle name="常规 2 6 2 3 2 3" xfId="36956"/>
    <cellStyle name="常规 2 6 2 3 2 3 2" xfId="36957"/>
    <cellStyle name="常规 2 6 2 3 2 3 2 2" xfId="36958"/>
    <cellStyle name="常规 2 6 2 3 2 4" xfId="36959"/>
    <cellStyle name="常规 2 6 2 3 2 4 2" xfId="36960"/>
    <cellStyle name="常规 2 6 2 3 2 4 2 2" xfId="36961"/>
    <cellStyle name="常规 2 6 2 3 2 5" xfId="36962"/>
    <cellStyle name="常规 2 6 2 3 2 5 2" xfId="36963"/>
    <cellStyle name="常规 2 6 2 3 2 5 3" xfId="36964"/>
    <cellStyle name="常规 2 6 2 3 2 6" xfId="36965"/>
    <cellStyle name="常规 2 6 2 3 3" xfId="36966"/>
    <cellStyle name="常规 2 6 2 3 3 2" xfId="36967"/>
    <cellStyle name="常规 2 6 2 3 3 2 2" xfId="36968"/>
    <cellStyle name="常规 2 6 2 3 3 2 2 2" xfId="36969"/>
    <cellStyle name="常规 2 6 2 3 3 3" xfId="36970"/>
    <cellStyle name="常规 2 6 2 3 3 3 2" xfId="36971"/>
    <cellStyle name="常规 2 6 2 3 3 3 2 2" xfId="36972"/>
    <cellStyle name="常规 2 6 2 3 3 4" xfId="36973"/>
    <cellStyle name="常规 2 6 2 3 3 4 2" xfId="36974"/>
    <cellStyle name="常规 2 6 2 3 3 5" xfId="36975"/>
    <cellStyle name="常规 2 6 2 3 4" xfId="36976"/>
    <cellStyle name="常规 2 6 2 3 4 2" xfId="36977"/>
    <cellStyle name="常规 2 6 2 3 4 2 2" xfId="36978"/>
    <cellStyle name="常规 2 6 2 3 5" xfId="36979"/>
    <cellStyle name="常规 2 6 2 3 5 2" xfId="36980"/>
    <cellStyle name="常规 2 6 2 3 5 2 2" xfId="36981"/>
    <cellStyle name="常规 2 6 2 3 6" xfId="36982"/>
    <cellStyle name="常规 2 6 2 3 7" xfId="36983"/>
    <cellStyle name="常规 2 6 2 3 7 2" xfId="36984"/>
    <cellStyle name="常规 2 6 2 3 7 3" xfId="36985"/>
    <cellStyle name="常规 2 6 2 3 8" xfId="36986"/>
    <cellStyle name="常规 2 6 2 3 8 2" xfId="36987"/>
    <cellStyle name="常规 2 6 2 4" xfId="36988"/>
    <cellStyle name="常规 2 6 2 4 2" xfId="36989"/>
    <cellStyle name="常规 2 6 2 4 2 2" xfId="36990"/>
    <cellStyle name="常规 2 6 2 4 2 3" xfId="36991"/>
    <cellStyle name="常规 2 6 2 4 2 4" xfId="36992"/>
    <cellStyle name="常规 2 6 2 4 2 5" xfId="36993"/>
    <cellStyle name="常规 2 6 2 4 2 5 2" xfId="36994"/>
    <cellStyle name="常规 2 6 2 4 3" xfId="36995"/>
    <cellStyle name="常规 2 6 2 4 3 2" xfId="36996"/>
    <cellStyle name="常规 2 6 2 4 3 2 2" xfId="36997"/>
    <cellStyle name="常规 2 6 2 4 4" xfId="36998"/>
    <cellStyle name="常规 2 6 2 4 4 2" xfId="36999"/>
    <cellStyle name="常规 2 6 2 4 4 2 2" xfId="37000"/>
    <cellStyle name="常规 2 6 2 4 5" xfId="37001"/>
    <cellStyle name="常规 2 6 2 4 5 2" xfId="37002"/>
    <cellStyle name="常规 2 6 2 4 5 3" xfId="37003"/>
    <cellStyle name="常规 2 6 2 4 6" xfId="37004"/>
    <cellStyle name="常规 2 6 2 4 6 2" xfId="37005"/>
    <cellStyle name="常规 2 6 2 4 7" xfId="37006"/>
    <cellStyle name="常规 2 6 2 5" xfId="37007"/>
    <cellStyle name="常规 2 6 2 5 2" xfId="37008"/>
    <cellStyle name="常规 2 6 2 5 3" xfId="37009"/>
    <cellStyle name="常规 2 6 2 5 4" xfId="37010"/>
    <cellStyle name="常规 2 6 2 5 5" xfId="37011"/>
    <cellStyle name="常规 2 6 2 5 5 2" xfId="37012"/>
    <cellStyle name="常规 2 6 2 6" xfId="37013"/>
    <cellStyle name="常规 2 6 2 6 2" xfId="37014"/>
    <cellStyle name="常规 2 6 2 6 2 2" xfId="37015"/>
    <cellStyle name="常规 2 6 2 7" xfId="37016"/>
    <cellStyle name="常规 2 6 2 7 2" xfId="37017"/>
    <cellStyle name="常规 2 6 2 7 2 2" xfId="37018"/>
    <cellStyle name="常规 2 6 2 8" xfId="37019"/>
    <cellStyle name="常规 2 6 2 8 2" xfId="37020"/>
    <cellStyle name="常规 2 6 2 8 2 2" xfId="37021"/>
    <cellStyle name="常规 2 6 2 9" xfId="37022"/>
    <cellStyle name="常规 2 6 2 9 2" xfId="37023"/>
    <cellStyle name="常规 2 6 2 9 3" xfId="37024"/>
    <cellStyle name="常规 2 6 3" xfId="37025"/>
    <cellStyle name="常规 2 6 3 10" xfId="37026"/>
    <cellStyle name="常规 2 6 3 2" xfId="37027"/>
    <cellStyle name="常规 2 6 3 2 10" xfId="37028"/>
    <cellStyle name="常规 2 6 3 2 2" xfId="37029"/>
    <cellStyle name="常规 2 6 3 2 2 2" xfId="37030"/>
    <cellStyle name="常规 2 6 3 2 2 2 2" xfId="37031"/>
    <cellStyle name="常规 2 6 3 2 2 2 2 2" xfId="37032"/>
    <cellStyle name="常规 2 6 3 2 2 2 2 3" xfId="37033"/>
    <cellStyle name="常规 2 6 3 2 2 2 2 4" xfId="37034"/>
    <cellStyle name="常规 2 6 3 2 2 2 3" xfId="37035"/>
    <cellStyle name="常规 2 6 3 2 2 2 4" xfId="37036"/>
    <cellStyle name="常规 2 6 3 2 2 2 5" xfId="37037"/>
    <cellStyle name="常规 2 6 3 2 2 3" xfId="37038"/>
    <cellStyle name="常规 2 6 3 2 2 3 2" xfId="37039"/>
    <cellStyle name="常规 2 6 3 2 2 3 2 2" xfId="37040"/>
    <cellStyle name="常规 2 6 3 2 2 3 2 3" xfId="37041"/>
    <cellStyle name="常规 2 6 3 2 2 3 2 4" xfId="37042"/>
    <cellStyle name="常规 2 6 3 2 2 3 3" xfId="37043"/>
    <cellStyle name="常规 2 6 3 2 2 3 4" xfId="37044"/>
    <cellStyle name="常规 2 6 3 2 2 3 5" xfId="37045"/>
    <cellStyle name="常规 2 6 3 2 2 4" xfId="37046"/>
    <cellStyle name="常规 2 6 3 2 2 4 2" xfId="37047"/>
    <cellStyle name="常规 2 6 3 2 2 4 3" xfId="37048"/>
    <cellStyle name="常规 2 6 3 2 2 4 4" xfId="37049"/>
    <cellStyle name="常规 2 6 3 2 2 5" xfId="37050"/>
    <cellStyle name="常规 2 6 3 2 2 6" xfId="37051"/>
    <cellStyle name="常规 2 6 3 2 2 7" xfId="37052"/>
    <cellStyle name="常规 2 6 3 2 2 8" xfId="37053"/>
    <cellStyle name="常规 2 6 3 2 2 8 2" xfId="37054"/>
    <cellStyle name="常规 2 6 3 2 3" xfId="37055"/>
    <cellStyle name="常规 2 6 3 2 3 2" xfId="37056"/>
    <cellStyle name="常规 2 6 3 2 3 2 2" xfId="37057"/>
    <cellStyle name="常规 2 6 3 2 3 2 3" xfId="37058"/>
    <cellStyle name="常规 2 6 3 2 3 2 4" xfId="37059"/>
    <cellStyle name="常规 2 6 3 2 3 3" xfId="37060"/>
    <cellStyle name="常规 2 6 3 2 3 4" xfId="37061"/>
    <cellStyle name="常规 2 6 3 2 3 5" xfId="37062"/>
    <cellStyle name="常规 2 6 3 2 3 6" xfId="37063"/>
    <cellStyle name="常规 2 6 3 2 3 6 2" xfId="37064"/>
    <cellStyle name="常规 2 6 3 2 4" xfId="37065"/>
    <cellStyle name="常规 2 6 3 2 4 2" xfId="37066"/>
    <cellStyle name="常规 2 6 3 2 4 2 2" xfId="37067"/>
    <cellStyle name="常规 2 6 3 2 4 2 3" xfId="37068"/>
    <cellStyle name="常规 2 6 3 2 4 2 4" xfId="37069"/>
    <cellStyle name="常规 2 6 3 2 4 2 5" xfId="37070"/>
    <cellStyle name="常规 2 6 3 2 4 3" xfId="37071"/>
    <cellStyle name="常规 2 6 3 2 4 4" xfId="37072"/>
    <cellStyle name="常规 2 6 3 2 4 5" xfId="37073"/>
    <cellStyle name="常规 2 6 3 2 4 6" xfId="37074"/>
    <cellStyle name="常规 2 6 3 2 5" xfId="37075"/>
    <cellStyle name="常规 2 6 3 2 5 2" xfId="37076"/>
    <cellStyle name="常规 2 6 3 2 5 2 2" xfId="37077"/>
    <cellStyle name="常规 2 6 3 2 5 3" xfId="37078"/>
    <cellStyle name="常规 2 6 3 2 5 4" xfId="37079"/>
    <cellStyle name="常规 2 6 3 2 5 5" xfId="37080"/>
    <cellStyle name="常规 2 6 3 2 6" xfId="37081"/>
    <cellStyle name="常规 2 6 3 2 7" xfId="37082"/>
    <cellStyle name="常规 2 6 3 2 8" xfId="37083"/>
    <cellStyle name="常规 2 6 3 2 9" xfId="37084"/>
    <cellStyle name="常规 2 6 3 2 9 2" xfId="37085"/>
    <cellStyle name="常规 2 6 3 3" xfId="37086"/>
    <cellStyle name="常规 2 6 3 3 2" xfId="37087"/>
    <cellStyle name="常规 2 6 3 3 2 2" xfId="37088"/>
    <cellStyle name="常规 2 6 3 3 2 2 2" xfId="37089"/>
    <cellStyle name="常规 2 6 3 3 2 3" xfId="37090"/>
    <cellStyle name="常规 2 6 3 3 2 4" xfId="37091"/>
    <cellStyle name="常规 2 6 3 3 2 5" xfId="37092"/>
    <cellStyle name="常规 2 6 3 3 2 5 2" xfId="37093"/>
    <cellStyle name="常规 2 6 3 3 2 6" xfId="37094"/>
    <cellStyle name="常规 2 6 3 3 3" xfId="37095"/>
    <cellStyle name="常规 2 6 3 3 3 2" xfId="37096"/>
    <cellStyle name="常规 2 6 3 3 3 2 2" xfId="37097"/>
    <cellStyle name="常规 2 6 3 3 4" xfId="37098"/>
    <cellStyle name="常规 2 6 3 3 4 2" xfId="37099"/>
    <cellStyle name="常规 2 6 3 3 4 3" xfId="37100"/>
    <cellStyle name="常规 2 6 3 3 5" xfId="37101"/>
    <cellStyle name="常规 2 6 3 3 5 2" xfId="37102"/>
    <cellStyle name="常规 2 6 3 3 6" xfId="37103"/>
    <cellStyle name="常规 2 6 3 3 6 2" xfId="37104"/>
    <cellStyle name="常规 2 6 3 3 7" xfId="37105"/>
    <cellStyle name="常规 2 6 3 4" xfId="37106"/>
    <cellStyle name="常规 2 6 3 4 2" xfId="37107"/>
    <cellStyle name="常规 2 6 3 4 2 2" xfId="37108"/>
    <cellStyle name="常规 2 6 3 4 2 3" xfId="37109"/>
    <cellStyle name="常规 2 6 3 4 2 4" xfId="37110"/>
    <cellStyle name="常规 2 6 3 4 3" xfId="37111"/>
    <cellStyle name="常规 2 6 3 4 4" xfId="37112"/>
    <cellStyle name="常规 2 6 3 4 5" xfId="37113"/>
    <cellStyle name="常规 2 6 3 4 6" xfId="37114"/>
    <cellStyle name="常规 2 6 3 4 6 2" xfId="37115"/>
    <cellStyle name="常规 2 6 3 5" xfId="37116"/>
    <cellStyle name="常规 2 6 3 5 2" xfId="37117"/>
    <cellStyle name="常规 2 6 3 5 3" xfId="37118"/>
    <cellStyle name="常规 2 6 3 5 4" xfId="37119"/>
    <cellStyle name="常规 2 6 3 5 5" xfId="37120"/>
    <cellStyle name="常规 2 6 3 5 5 2" xfId="37121"/>
    <cellStyle name="常规 2 6 3 6" xfId="37122"/>
    <cellStyle name="常规 2 6 3 6 2" xfId="37123"/>
    <cellStyle name="常规 2 6 3 6 2 2" xfId="37124"/>
    <cellStyle name="常规 2 6 3 7" xfId="37125"/>
    <cellStyle name="常规 2 6 3 7 2" xfId="37126"/>
    <cellStyle name="常规 2 6 3 7 2 2" xfId="37127"/>
    <cellStyle name="常规 2 6 3 8" xfId="37128"/>
    <cellStyle name="常规 2 6 3 8 2" xfId="37129"/>
    <cellStyle name="常规 2 6 3 8 3" xfId="37130"/>
    <cellStyle name="常规 2 6 3 9" xfId="37131"/>
    <cellStyle name="常规 2 6 3 9 2" xfId="37132"/>
    <cellStyle name="常规 2 6 4" xfId="37133"/>
    <cellStyle name="常规 2 6 4 10" xfId="37134"/>
    <cellStyle name="常规 2 6 4 2" xfId="37135"/>
    <cellStyle name="常规 2 6 4 2 10" xfId="37136"/>
    <cellStyle name="常规 2 6 4 2 2" xfId="37137"/>
    <cellStyle name="常规 2 6 4 2 2 2" xfId="37138"/>
    <cellStyle name="常规 2 6 4 2 2 2 2" xfId="37139"/>
    <cellStyle name="常规 2 6 4 2 2 2 2 2" xfId="37140"/>
    <cellStyle name="常规 2 6 4 2 2 2 2 3" xfId="37141"/>
    <cellStyle name="常规 2 6 4 2 2 2 2 4" xfId="37142"/>
    <cellStyle name="常规 2 6 4 2 2 2 3" xfId="37143"/>
    <cellStyle name="常规 2 6 4 2 2 2 4" xfId="37144"/>
    <cellStyle name="常规 2 6 4 2 2 2 5" xfId="37145"/>
    <cellStyle name="常规 2 6 4 2 2 3" xfId="37146"/>
    <cellStyle name="常规 2 6 4 2 2 3 2" xfId="37147"/>
    <cellStyle name="常规 2 6 4 2 2 3 2 2" xfId="37148"/>
    <cellStyle name="常规 2 6 4 2 2 3 2 3" xfId="37149"/>
    <cellStyle name="常规 2 6 4 2 2 3 2 4" xfId="37150"/>
    <cellStyle name="常规 2 6 4 2 2 3 3" xfId="37151"/>
    <cellStyle name="常规 2 6 4 2 2 3 4" xfId="37152"/>
    <cellStyle name="常规 2 6 4 2 2 3 5" xfId="37153"/>
    <cellStyle name="常规 2 6 4 2 2 4" xfId="37154"/>
    <cellStyle name="常规 2 6 4 2 2 4 2" xfId="37155"/>
    <cellStyle name="常规 2 6 4 2 2 4 3" xfId="37156"/>
    <cellStyle name="常规 2 6 4 2 2 4 4" xfId="37157"/>
    <cellStyle name="常规 2 6 4 2 2 5" xfId="37158"/>
    <cellStyle name="常规 2 6 4 2 2 6" xfId="37159"/>
    <cellStyle name="常规 2 6 4 2 2 7" xfId="37160"/>
    <cellStyle name="常规 2 6 4 2 2 8" xfId="37161"/>
    <cellStyle name="常规 2 6 4 2 2 8 2" xfId="37162"/>
    <cellStyle name="常规 2 6 4 2 3" xfId="37163"/>
    <cellStyle name="常规 2 6 4 2 3 2" xfId="37164"/>
    <cellStyle name="常规 2 6 4 2 3 2 2" xfId="37165"/>
    <cellStyle name="常规 2 6 4 2 3 2 3" xfId="37166"/>
    <cellStyle name="常规 2 6 4 2 3 2 4" xfId="37167"/>
    <cellStyle name="常规 2 6 4 2 3 3" xfId="37168"/>
    <cellStyle name="常规 2 6 4 2 3 4" xfId="37169"/>
    <cellStyle name="常规 2 6 4 2 3 5" xfId="37170"/>
    <cellStyle name="常规 2 6 4 2 3 6" xfId="37171"/>
    <cellStyle name="常规 2 6 4 2 3 6 2" xfId="37172"/>
    <cellStyle name="常规 2 6 4 2 4" xfId="37173"/>
    <cellStyle name="常规 2 6 4 2 4 2" xfId="37174"/>
    <cellStyle name="常规 2 6 4 2 4 2 2" xfId="37175"/>
    <cellStyle name="常规 2 6 4 2 4 2 3" xfId="37176"/>
    <cellStyle name="常规 2 6 4 2 4 2 4" xfId="37177"/>
    <cellStyle name="常规 2 6 4 2 4 2 5" xfId="37178"/>
    <cellStyle name="常规 2 6 4 2 4 3" xfId="37179"/>
    <cellStyle name="常规 2 6 4 2 4 4" xfId="37180"/>
    <cellStyle name="常规 2 6 4 2 4 5" xfId="37181"/>
    <cellStyle name="常规 2 6 4 2 4 6" xfId="37182"/>
    <cellStyle name="常规 2 6 4 2 5" xfId="37183"/>
    <cellStyle name="常规 2 6 4 2 5 2" xfId="37184"/>
    <cellStyle name="常规 2 6 4 2 5 2 2" xfId="37185"/>
    <cellStyle name="常规 2 6 4 2 5 3" xfId="37186"/>
    <cellStyle name="常规 2 6 4 2 5 4" xfId="37187"/>
    <cellStyle name="常规 2 6 4 2 5 5" xfId="37188"/>
    <cellStyle name="常规 2 6 4 2 6" xfId="37189"/>
    <cellStyle name="常规 2 6 4 2 7" xfId="37190"/>
    <cellStyle name="常规 2 6 4 2 8" xfId="37191"/>
    <cellStyle name="常规 2 6 4 2 9" xfId="37192"/>
    <cellStyle name="常规 2 6 4 2 9 2" xfId="37193"/>
    <cellStyle name="常规 2 6 4 3" xfId="37194"/>
    <cellStyle name="常规 2 6 4 3 2" xfId="37195"/>
    <cellStyle name="常规 2 6 4 3 2 2" xfId="37196"/>
    <cellStyle name="常规 2 6 4 3 2 3" xfId="37197"/>
    <cellStyle name="常规 2 6 4 3 2 4" xfId="37198"/>
    <cellStyle name="常规 2 6 4 3 3" xfId="37199"/>
    <cellStyle name="常规 2 6 4 3 4" xfId="37200"/>
    <cellStyle name="常规 2 6 4 3 5" xfId="37201"/>
    <cellStyle name="常规 2 6 4 3 6" xfId="37202"/>
    <cellStyle name="常规 2 6 4 3 6 2" xfId="37203"/>
    <cellStyle name="常规 2 6 4 4" xfId="37204"/>
    <cellStyle name="常规 2 6 4 4 2" xfId="37205"/>
    <cellStyle name="常规 2 6 4 4 2 2" xfId="37206"/>
    <cellStyle name="常规 2 6 4 4 2 3" xfId="37207"/>
    <cellStyle name="常规 2 6 4 4 2 4" xfId="37208"/>
    <cellStyle name="常规 2 6 4 4 3" xfId="37209"/>
    <cellStyle name="常规 2 6 4 4 4" xfId="37210"/>
    <cellStyle name="常规 2 6 4 4 5" xfId="37211"/>
    <cellStyle name="常规 2 6 4 4 6" xfId="37212"/>
    <cellStyle name="常规 2 6 4 4 6 2" xfId="37213"/>
    <cellStyle name="常规 2 6 4 5" xfId="37214"/>
    <cellStyle name="常规 2 6 4 5 2" xfId="37215"/>
    <cellStyle name="常规 2 6 4 5 3" xfId="37216"/>
    <cellStyle name="常规 2 6 4 5 4" xfId="37217"/>
    <cellStyle name="常规 2 6 4 5 5" xfId="37218"/>
    <cellStyle name="常规 2 6 4 5 5 2" xfId="37219"/>
    <cellStyle name="常规 2 6 4 6" xfId="37220"/>
    <cellStyle name="常规 2 6 4 6 2" xfId="37221"/>
    <cellStyle name="常规 2 6 4 6 2 2" xfId="37222"/>
    <cellStyle name="常规 2 6 4 7" xfId="37223"/>
    <cellStyle name="常规 2 6 4 7 2" xfId="37224"/>
    <cellStyle name="常规 2 6 4 7 2 2" xfId="37225"/>
    <cellStyle name="常规 2 6 4 8" xfId="37226"/>
    <cellStyle name="常规 2 6 4 8 2" xfId="37227"/>
    <cellStyle name="常规 2 6 4 8 3" xfId="37228"/>
    <cellStyle name="常规 2 6 4 9" xfId="37229"/>
    <cellStyle name="常规 2 6 4 9 2" xfId="37230"/>
    <cellStyle name="常规 2 6 5" xfId="37231"/>
    <cellStyle name="常规 2 6 5 10" xfId="37232"/>
    <cellStyle name="常规 2 6 5 2" xfId="37233"/>
    <cellStyle name="常规 2 6 5 2 10" xfId="37234"/>
    <cellStyle name="常规 2 6 5 2 2" xfId="37235"/>
    <cellStyle name="常规 2 6 5 2 2 2" xfId="37236"/>
    <cellStyle name="常规 2 6 5 2 2 2 2" xfId="37237"/>
    <cellStyle name="常规 2 6 5 2 2 2 2 2" xfId="37238"/>
    <cellStyle name="常规 2 6 5 2 2 2 2 3" xfId="37239"/>
    <cellStyle name="常规 2 6 5 2 2 2 2 4" xfId="37240"/>
    <cellStyle name="常规 2 6 5 2 2 2 3" xfId="37241"/>
    <cellStyle name="常规 2 6 5 2 2 2 4" xfId="37242"/>
    <cellStyle name="常规 2 6 5 2 2 2 5" xfId="37243"/>
    <cellStyle name="常规 2 6 5 2 2 2 6" xfId="37244"/>
    <cellStyle name="常规 2 6 5 2 2 3" xfId="37245"/>
    <cellStyle name="常规 2 6 5 2 2 3 2" xfId="37246"/>
    <cellStyle name="常规 2 6 5 2 2 3 2 2" xfId="37247"/>
    <cellStyle name="常规 2 6 5 2 2 3 2 3" xfId="37248"/>
    <cellStyle name="常规 2 6 5 2 2 3 2 4" xfId="37249"/>
    <cellStyle name="常规 2 6 5 2 2 3 3" xfId="37250"/>
    <cellStyle name="常规 2 6 5 2 2 3 4" xfId="37251"/>
    <cellStyle name="常规 2 6 5 2 2 3 5" xfId="37252"/>
    <cellStyle name="常规 2 6 5 2 2 4" xfId="37253"/>
    <cellStyle name="常规 2 6 5 2 2 4 2" xfId="37254"/>
    <cellStyle name="常规 2 6 5 2 2 4 3" xfId="37255"/>
    <cellStyle name="常规 2 6 5 2 2 4 4" xfId="37256"/>
    <cellStyle name="常规 2 6 5 2 2 5" xfId="37257"/>
    <cellStyle name="常规 2 6 5 2 2 6" xfId="37258"/>
    <cellStyle name="常规 2 6 5 2 2 7" xfId="37259"/>
    <cellStyle name="常规 2 6 5 2 2 8" xfId="37260"/>
    <cellStyle name="常规 2 6 5 2 2 8 2" xfId="37261"/>
    <cellStyle name="常规 2 6 5 2 2 9" xfId="37262"/>
    <cellStyle name="常规 2 6 5 2 3" xfId="37263"/>
    <cellStyle name="常规 2 6 5 2 3 2" xfId="37264"/>
    <cellStyle name="常规 2 6 5 2 3 2 2" xfId="37265"/>
    <cellStyle name="常规 2 6 5 2 3 2 3" xfId="37266"/>
    <cellStyle name="常规 2 6 5 2 3 2 4" xfId="37267"/>
    <cellStyle name="常规 2 6 5 2 3 2 5" xfId="37268"/>
    <cellStyle name="常规 2 6 5 2 3 3" xfId="37269"/>
    <cellStyle name="常规 2 6 5 2 3 4" xfId="37270"/>
    <cellStyle name="常规 2 6 5 2 3 5" xfId="37271"/>
    <cellStyle name="常规 2 6 5 2 3 6" xfId="37272"/>
    <cellStyle name="常规 2 6 5 2 4" xfId="37273"/>
    <cellStyle name="常规 2 6 5 2 4 2" xfId="37274"/>
    <cellStyle name="常规 2 6 5 2 4 2 2" xfId="37275"/>
    <cellStyle name="常规 2 6 5 2 4 2 3" xfId="37276"/>
    <cellStyle name="常规 2 6 5 2 4 2 4" xfId="37277"/>
    <cellStyle name="常规 2 6 5 2 4 2 5" xfId="37278"/>
    <cellStyle name="常规 2 6 5 2 4 3" xfId="37279"/>
    <cellStyle name="常规 2 6 5 2 4 4" xfId="37280"/>
    <cellStyle name="常规 2 6 5 2 4 5" xfId="37281"/>
    <cellStyle name="常规 2 6 5 2 4 6" xfId="37282"/>
    <cellStyle name="常规 2 6 5 2 5" xfId="37283"/>
    <cellStyle name="常规 2 6 5 2 5 2" xfId="37284"/>
    <cellStyle name="常规 2 6 5 2 5 3" xfId="37285"/>
    <cellStyle name="常规 2 6 5 2 5 4" xfId="37286"/>
    <cellStyle name="常规 2 6 5 2 5 5" xfId="37287"/>
    <cellStyle name="常规 2 6 5 2 6" xfId="37288"/>
    <cellStyle name="常规 2 6 5 2 7" xfId="37289"/>
    <cellStyle name="常规 2 6 5 2 8" xfId="37290"/>
    <cellStyle name="常规 2 6 5 2 9" xfId="37291"/>
    <cellStyle name="常规 2 6 5 2 9 2" xfId="37292"/>
    <cellStyle name="常规 2 6 5 3" xfId="37293"/>
    <cellStyle name="常规 2 6 5 3 2" xfId="37294"/>
    <cellStyle name="常规 2 6 5 3 2 2" xfId="37295"/>
    <cellStyle name="常规 2 6 5 3 2 3" xfId="37296"/>
    <cellStyle name="常规 2 6 5 3 2 4" xfId="37297"/>
    <cellStyle name="常规 2 6 5 3 3" xfId="37298"/>
    <cellStyle name="常规 2 6 5 3 4" xfId="37299"/>
    <cellStyle name="常规 2 6 5 3 5" xfId="37300"/>
    <cellStyle name="常规 2 6 5 3 6" xfId="37301"/>
    <cellStyle name="常规 2 6 5 3 6 2" xfId="37302"/>
    <cellStyle name="常规 2 6 5 4" xfId="37303"/>
    <cellStyle name="常规 2 6 5 4 2" xfId="37304"/>
    <cellStyle name="常规 2 6 5 4 2 2" xfId="37305"/>
    <cellStyle name="常规 2 6 5 4 2 3" xfId="37306"/>
    <cellStyle name="常规 2 6 5 4 2 4" xfId="37307"/>
    <cellStyle name="常规 2 6 5 4 2 5" xfId="37308"/>
    <cellStyle name="常规 2 6 5 4 3" xfId="37309"/>
    <cellStyle name="常规 2 6 5 4 4" xfId="37310"/>
    <cellStyle name="常规 2 6 5 4 5" xfId="37311"/>
    <cellStyle name="常规 2 6 5 4 6" xfId="37312"/>
    <cellStyle name="常规 2 6 5 5" xfId="37313"/>
    <cellStyle name="常规 2 6 5 5 2" xfId="37314"/>
    <cellStyle name="常规 2 6 5 5 2 2" xfId="37315"/>
    <cellStyle name="常规 2 6 5 5 3" xfId="37316"/>
    <cellStyle name="常规 2 6 5 5 4" xfId="37317"/>
    <cellStyle name="常规 2 6 5 5 5" xfId="37318"/>
    <cellStyle name="常规 2 6 5 6" xfId="37319"/>
    <cellStyle name="常规 2 6 5 7" xfId="37320"/>
    <cellStyle name="常规 2 6 5 8" xfId="37321"/>
    <cellStyle name="常规 2 6 5 9" xfId="37322"/>
    <cellStyle name="常规 2 6 5 9 2" xfId="37323"/>
    <cellStyle name="常规 2 6 6" xfId="37324"/>
    <cellStyle name="常规 2 6 6 10" xfId="37325"/>
    <cellStyle name="常规 2 6 6 2" xfId="37326"/>
    <cellStyle name="常规 2 6 6 2 10" xfId="37327"/>
    <cellStyle name="常规 2 6 6 2 2" xfId="37328"/>
    <cellStyle name="常规 2 6 6 2 2 2" xfId="37329"/>
    <cellStyle name="常规 2 6 6 2 2 2 2" xfId="37330"/>
    <cellStyle name="常规 2 6 6 2 2 2 2 2" xfId="37331"/>
    <cellStyle name="常规 2 6 6 2 2 2 2 3" xfId="37332"/>
    <cellStyle name="常规 2 6 6 2 2 2 2 4" xfId="37333"/>
    <cellStyle name="常规 2 6 6 2 2 2 3" xfId="37334"/>
    <cellStyle name="常规 2 6 6 2 2 2 4" xfId="37335"/>
    <cellStyle name="常规 2 6 6 2 2 2 5" xfId="37336"/>
    <cellStyle name="常规 2 6 6 2 2 3" xfId="37337"/>
    <cellStyle name="常规 2 6 6 2 2 3 2" xfId="37338"/>
    <cellStyle name="常规 2 6 6 2 2 3 2 2" xfId="37339"/>
    <cellStyle name="常规 2 6 6 2 2 3 2 3" xfId="37340"/>
    <cellStyle name="常规 2 6 6 2 2 3 2 4" xfId="37341"/>
    <cellStyle name="常规 2 6 6 2 2 3 3" xfId="37342"/>
    <cellStyle name="常规 2 6 6 2 2 3 4" xfId="37343"/>
    <cellStyle name="常规 2 6 6 2 2 3 5" xfId="37344"/>
    <cellStyle name="常规 2 6 6 2 2 4" xfId="37345"/>
    <cellStyle name="常规 2 6 6 2 2 4 2" xfId="37346"/>
    <cellStyle name="常规 2 6 6 2 2 4 3" xfId="37347"/>
    <cellStyle name="常规 2 6 6 2 2 4 4" xfId="37348"/>
    <cellStyle name="常规 2 6 6 2 2 5" xfId="37349"/>
    <cellStyle name="常规 2 6 6 2 2 6" xfId="37350"/>
    <cellStyle name="常规 2 6 6 2 2 7" xfId="37351"/>
    <cellStyle name="常规 2 6 6 2 2 8" xfId="37352"/>
    <cellStyle name="常规 2 6 6 2 3" xfId="37353"/>
    <cellStyle name="常规 2 6 6 2 3 2" xfId="37354"/>
    <cellStyle name="常规 2 6 6 2 3 2 2" xfId="37355"/>
    <cellStyle name="常规 2 6 6 2 3 2 3" xfId="37356"/>
    <cellStyle name="常规 2 6 6 2 3 2 4" xfId="37357"/>
    <cellStyle name="常规 2 6 6 2 3 3" xfId="37358"/>
    <cellStyle name="常规 2 6 6 2 3 4" xfId="37359"/>
    <cellStyle name="常规 2 6 6 2 3 5" xfId="37360"/>
    <cellStyle name="常规 2 6 6 2 4" xfId="37361"/>
    <cellStyle name="常规 2 6 6 2 4 2" xfId="37362"/>
    <cellStyle name="常规 2 6 6 2 4 2 2" xfId="37363"/>
    <cellStyle name="常规 2 6 6 2 4 2 3" xfId="37364"/>
    <cellStyle name="常规 2 6 6 2 4 2 4" xfId="37365"/>
    <cellStyle name="常规 2 6 6 2 4 3" xfId="37366"/>
    <cellStyle name="常规 2 6 6 2 4 4" xfId="37367"/>
    <cellStyle name="常规 2 6 6 2 4 5" xfId="37368"/>
    <cellStyle name="常规 2 6 6 2 5" xfId="37369"/>
    <cellStyle name="常规 2 6 6 2 5 2" xfId="37370"/>
    <cellStyle name="常规 2 6 6 2 5 3" xfId="37371"/>
    <cellStyle name="常规 2 6 6 2 5 4" xfId="37372"/>
    <cellStyle name="常规 2 6 6 2 6" xfId="37373"/>
    <cellStyle name="常规 2 6 6 2 7" xfId="37374"/>
    <cellStyle name="常规 2 6 6 2 8" xfId="37375"/>
    <cellStyle name="常规 2 6 6 2 9" xfId="37376"/>
    <cellStyle name="常规 2 6 6 2 9 2" xfId="37377"/>
    <cellStyle name="常规 2 6 6 3" xfId="37378"/>
    <cellStyle name="常规 2 6 6 3 2" xfId="37379"/>
    <cellStyle name="常规 2 6 6 3 2 2" xfId="37380"/>
    <cellStyle name="常规 2 6 6 3 2 3" xfId="37381"/>
    <cellStyle name="常规 2 6 6 3 2 4" xfId="37382"/>
    <cellStyle name="常规 2 6 6 3 2 5" xfId="37383"/>
    <cellStyle name="常规 2 6 6 3 3" xfId="37384"/>
    <cellStyle name="常规 2 6 6 3 4" xfId="37385"/>
    <cellStyle name="常规 2 6 6 3 5" xfId="37386"/>
    <cellStyle name="常规 2 6 6 3 6" xfId="37387"/>
    <cellStyle name="常规 2 6 6 4" xfId="37388"/>
    <cellStyle name="常规 2 6 6 4 2" xfId="37389"/>
    <cellStyle name="常规 2 6 6 4 2 2" xfId="37390"/>
    <cellStyle name="常规 2 6 6 4 2 3" xfId="37391"/>
    <cellStyle name="常规 2 6 6 4 2 4" xfId="37392"/>
    <cellStyle name="常规 2 6 6 4 2 5" xfId="37393"/>
    <cellStyle name="常规 2 6 6 4 3" xfId="37394"/>
    <cellStyle name="常规 2 6 6 4 4" xfId="37395"/>
    <cellStyle name="常规 2 6 6 4 5" xfId="37396"/>
    <cellStyle name="常规 2 6 6 4 6" xfId="37397"/>
    <cellStyle name="常规 2 6 6 5" xfId="37398"/>
    <cellStyle name="常规 2 6 6 5 2" xfId="37399"/>
    <cellStyle name="常规 2 6 6 5 3" xfId="37400"/>
    <cellStyle name="常规 2 6 6 5 4" xfId="37401"/>
    <cellStyle name="常规 2 6 6 5 5" xfId="37402"/>
    <cellStyle name="常规 2 6 6 6" xfId="37403"/>
    <cellStyle name="常规 2 6 6 7" xfId="37404"/>
    <cellStyle name="常规 2 6 6 8" xfId="37405"/>
    <cellStyle name="常规 2 6 6 9" xfId="37406"/>
    <cellStyle name="常规 2 6 6 9 2" xfId="37407"/>
    <cellStyle name="常规 2 6 7" xfId="37408"/>
    <cellStyle name="常规 2 6 7 2" xfId="37409"/>
    <cellStyle name="常规 2 6 7 2 2" xfId="37410"/>
    <cellStyle name="常规 2 6 7 2 2 2" xfId="37411"/>
    <cellStyle name="常规 2 6 7 2 2 2 2" xfId="37412"/>
    <cellStyle name="常规 2 6 7 2 2 2 3" xfId="37413"/>
    <cellStyle name="常规 2 6 7 2 2 2 4" xfId="37414"/>
    <cellStyle name="常规 2 6 7 2 2 3" xfId="37415"/>
    <cellStyle name="常规 2 6 7 2 2 4" xfId="37416"/>
    <cellStyle name="常规 2 6 7 2 2 5" xfId="37417"/>
    <cellStyle name="常规 2 6 7 2 3" xfId="37418"/>
    <cellStyle name="常规 2 6 7 2 3 2" xfId="37419"/>
    <cellStyle name="常规 2 6 7 2 3 2 2" xfId="37420"/>
    <cellStyle name="常规 2 6 7 2 3 2 3" xfId="37421"/>
    <cellStyle name="常规 2 6 7 2 3 2 4" xfId="37422"/>
    <cellStyle name="常规 2 6 7 2 3 3" xfId="37423"/>
    <cellStyle name="常规 2 6 7 2 3 4" xfId="37424"/>
    <cellStyle name="常规 2 6 7 2 3 5" xfId="37425"/>
    <cellStyle name="常规 2 6 7 2 4" xfId="37426"/>
    <cellStyle name="常规 2 6 7 2 4 2" xfId="37427"/>
    <cellStyle name="常规 2 6 7 2 4 3" xfId="37428"/>
    <cellStyle name="常规 2 6 7 2 4 4" xfId="37429"/>
    <cellStyle name="常规 2 6 7 2 5" xfId="37430"/>
    <cellStyle name="常规 2 6 7 2 6" xfId="37431"/>
    <cellStyle name="常规 2 6 7 2 7" xfId="37432"/>
    <cellStyle name="常规 2 6 7 3" xfId="37433"/>
    <cellStyle name="常规 2 6 7 3 2" xfId="37434"/>
    <cellStyle name="常规 2 6 7 3 2 2" xfId="37435"/>
    <cellStyle name="常规 2 6 7 3 2 3" xfId="37436"/>
    <cellStyle name="常规 2 6 7 3 2 4" xfId="37437"/>
    <cellStyle name="常规 2 6 7 3 3" xfId="37438"/>
    <cellStyle name="常规 2 6 7 3 4" xfId="37439"/>
    <cellStyle name="常规 2 6 7 3 5" xfId="37440"/>
    <cellStyle name="常规 2 6 7 4" xfId="37441"/>
    <cellStyle name="常规 2 6 7 4 2" xfId="37442"/>
    <cellStyle name="常规 2 6 7 4 2 2" xfId="37443"/>
    <cellStyle name="常规 2 6 7 4 2 3" xfId="37444"/>
    <cellStyle name="常规 2 6 7 4 2 4" xfId="37445"/>
    <cellStyle name="常规 2 6 7 4 3" xfId="37446"/>
    <cellStyle name="常规 2 6 7 4 4" xfId="37447"/>
    <cellStyle name="常规 2 6 7 4 5" xfId="37448"/>
    <cellStyle name="常规 2 6 7 5" xfId="37449"/>
    <cellStyle name="常规 2 6 7 5 2" xfId="37450"/>
    <cellStyle name="常规 2 6 7 5 3" xfId="37451"/>
    <cellStyle name="常规 2 6 7 5 4" xfId="37452"/>
    <cellStyle name="常规 2 6 7 6" xfId="37453"/>
    <cellStyle name="常规 2 6 7 7" xfId="37454"/>
    <cellStyle name="常规 2 6 7 8" xfId="37455"/>
    <cellStyle name="常规 2 6 7 9" xfId="37456"/>
    <cellStyle name="常规 2 6 7 9 2" xfId="37457"/>
    <cellStyle name="常规 2 6 8" xfId="37458"/>
    <cellStyle name="常规 2 6 8 2" xfId="37459"/>
    <cellStyle name="常规 2 6 8 2 2" xfId="37460"/>
    <cellStyle name="常规 2 6 8 2 3" xfId="37461"/>
    <cellStyle name="常规 2 6 8 2 4" xfId="37462"/>
    <cellStyle name="常规 2 6 8 3" xfId="37463"/>
    <cellStyle name="常规 2 6 8 4" xfId="37464"/>
    <cellStyle name="常规 2 6 8 5" xfId="37465"/>
    <cellStyle name="常规 2 6 8 6" xfId="37466"/>
    <cellStyle name="常规 2 6 8 6 2" xfId="37467"/>
    <cellStyle name="常规 2 6 9" xfId="37468"/>
    <cellStyle name="常规 2 6 9 2" xfId="37469"/>
    <cellStyle name="常规 2 6 9 2 2" xfId="37470"/>
    <cellStyle name="常规 2 6 9 2 3" xfId="37471"/>
    <cellStyle name="常规 2 6 9 2 4" xfId="37472"/>
    <cellStyle name="常规 2 6 9 2 5" xfId="37473"/>
    <cellStyle name="常规 2 6 9 3" xfId="37474"/>
    <cellStyle name="常规 2 6 9 4" xfId="37475"/>
    <cellStyle name="常规 2 6 9 5" xfId="37476"/>
    <cellStyle name="常规 2 6 9 6" xfId="37477"/>
    <cellStyle name="常规 2 7" xfId="37478"/>
    <cellStyle name="常规 2 7 10" xfId="37479"/>
    <cellStyle name="常规 2 7 10 2" xfId="37480"/>
    <cellStyle name="常规 2 7 10 3" xfId="37481"/>
    <cellStyle name="常规 2 7 11" xfId="37482"/>
    <cellStyle name="常规 2 7 11 2" xfId="37483"/>
    <cellStyle name="常规 2 7 2" xfId="37484"/>
    <cellStyle name="常规 2 7 2 10" xfId="37485"/>
    <cellStyle name="常规 2 7 2 10 2" xfId="37486"/>
    <cellStyle name="常规 2 7 2 2" xfId="37487"/>
    <cellStyle name="常规 2 7 2 2 2" xfId="37488"/>
    <cellStyle name="常规 2 7 2 2 2 2" xfId="37489"/>
    <cellStyle name="常规 2 7 2 2 2 2 2" xfId="37490"/>
    <cellStyle name="常规 2 7 2 2 2 2 3" xfId="37491"/>
    <cellStyle name="常规 2 7 2 2 2 2 4" xfId="37492"/>
    <cellStyle name="常规 2 7 2 2 2 2 4 2" xfId="37493"/>
    <cellStyle name="常规 2 7 2 2 2 2 4 3" xfId="37494"/>
    <cellStyle name="常规 2 7 2 2 2 2 5" xfId="37495"/>
    <cellStyle name="常规 2 7 2 2 2 2 5 2" xfId="37496"/>
    <cellStyle name="常规 2 7 2 2 2 3" xfId="37497"/>
    <cellStyle name="常规 2 7 2 2 2 3 2" xfId="37498"/>
    <cellStyle name="常规 2 7 2 2 2 3 2 2" xfId="37499"/>
    <cellStyle name="常规 2 7 2 2 2 3 2 2 2" xfId="37500"/>
    <cellStyle name="常规 2 7 2 2 2 3 3" xfId="37501"/>
    <cellStyle name="常规 2 7 2 2 2 3 3 2" xfId="37502"/>
    <cellStyle name="常规 2 7 2 2 2 3 3 2 2" xfId="37503"/>
    <cellStyle name="常规 2 7 2 2 2 3 4" xfId="37504"/>
    <cellStyle name="常规 2 7 2 2 2 3 4 2" xfId="37505"/>
    <cellStyle name="常规 2 7 2 2 2 3 5" xfId="37506"/>
    <cellStyle name="常规 2 7 2 2 2 4" xfId="37507"/>
    <cellStyle name="常规 2 7 2 2 2 4 2" xfId="37508"/>
    <cellStyle name="常规 2 7 2 2 2 4 2 2" xfId="37509"/>
    <cellStyle name="常规 2 7 2 2 2 5" xfId="37510"/>
    <cellStyle name="常规 2 7 2 2 2 6" xfId="37511"/>
    <cellStyle name="常规 2 7 2 2 2 7" xfId="37512"/>
    <cellStyle name="常规 2 7 2 2 2 7 2" xfId="37513"/>
    <cellStyle name="常规 2 7 2 2 2 7 3" xfId="37514"/>
    <cellStyle name="常规 2 7 2 2 2 8" xfId="37515"/>
    <cellStyle name="常规 2 7 2 2 2 8 2" xfId="37516"/>
    <cellStyle name="常规 2 7 2 2 3" xfId="37517"/>
    <cellStyle name="常规 2 7 2 2 3 2" xfId="37518"/>
    <cellStyle name="常规 2 7 2 2 3 3" xfId="37519"/>
    <cellStyle name="常规 2 7 2 2 3 4" xfId="37520"/>
    <cellStyle name="常规 2 7 2 2 3 4 2" xfId="37521"/>
    <cellStyle name="常规 2 7 2 2 3 4 3" xfId="37522"/>
    <cellStyle name="常规 2 7 2 2 3 5" xfId="37523"/>
    <cellStyle name="常规 2 7 2 2 3 5 2" xfId="37524"/>
    <cellStyle name="常规 2 7 2 2 4" xfId="37525"/>
    <cellStyle name="常规 2 7 2 2 4 2" xfId="37526"/>
    <cellStyle name="常规 2 7 2 2 4 2 2" xfId="37527"/>
    <cellStyle name="常规 2 7 2 2 5" xfId="37528"/>
    <cellStyle name="常规 2 7 2 2 5 2" xfId="37529"/>
    <cellStyle name="常规 2 7 2 2 5 2 2" xfId="37530"/>
    <cellStyle name="常规 2 7 2 2 6" xfId="37531"/>
    <cellStyle name="常规 2 7 2 2 7" xfId="37532"/>
    <cellStyle name="常规 2 7 2 2 8" xfId="37533"/>
    <cellStyle name="常规 2 7 2 2 8 2" xfId="37534"/>
    <cellStyle name="常规 2 7 2 2 8 3" xfId="37535"/>
    <cellStyle name="常规 2 7 2 2 9" xfId="37536"/>
    <cellStyle name="常规 2 7 2 2 9 2" xfId="37537"/>
    <cellStyle name="常规 2 7 2 3" xfId="37538"/>
    <cellStyle name="常规 2 7 2 3 2" xfId="37539"/>
    <cellStyle name="常规 2 7 2 3 2 2" xfId="37540"/>
    <cellStyle name="常规 2 7 2 3 2 2 2" xfId="37541"/>
    <cellStyle name="常规 2 7 2 3 2 2 2 2" xfId="37542"/>
    <cellStyle name="常规 2 7 2 3 2 3" xfId="37543"/>
    <cellStyle name="常规 2 7 2 3 2 3 2" xfId="37544"/>
    <cellStyle name="常规 2 7 2 3 2 3 2 2" xfId="37545"/>
    <cellStyle name="常规 2 7 2 3 2 4" xfId="37546"/>
    <cellStyle name="常规 2 7 2 3 2 4 2" xfId="37547"/>
    <cellStyle name="常规 2 7 2 3 2 4 2 2" xfId="37548"/>
    <cellStyle name="常规 2 7 2 3 2 5" xfId="37549"/>
    <cellStyle name="常规 2 7 2 3 2 5 2" xfId="37550"/>
    <cellStyle name="常规 2 7 2 3 2 5 3" xfId="37551"/>
    <cellStyle name="常规 2 7 2 3 2 6" xfId="37552"/>
    <cellStyle name="常规 2 7 2 3 3" xfId="37553"/>
    <cellStyle name="常规 2 7 2 3 3 2" xfId="37554"/>
    <cellStyle name="常规 2 7 2 3 3 2 2" xfId="37555"/>
    <cellStyle name="常规 2 7 2 3 3 2 2 2" xfId="37556"/>
    <cellStyle name="常规 2 7 2 3 3 3" xfId="37557"/>
    <cellStyle name="常规 2 7 2 3 3 3 2" xfId="37558"/>
    <cellStyle name="常规 2 7 2 3 3 3 2 2" xfId="37559"/>
    <cellStyle name="常规 2 7 2 3 3 4" xfId="37560"/>
    <cellStyle name="常规 2 7 2 3 3 4 2" xfId="37561"/>
    <cellStyle name="常规 2 7 2 3 3 5" xfId="37562"/>
    <cellStyle name="常规 2 7 2 3 4" xfId="37563"/>
    <cellStyle name="常规 2 7 2 3 4 2" xfId="37564"/>
    <cellStyle name="常规 2 7 2 3 4 2 2" xfId="37565"/>
    <cellStyle name="常规 2 7 2 3 5" xfId="37566"/>
    <cellStyle name="常规 2 7 2 3 5 2" xfId="37567"/>
    <cellStyle name="常规 2 7 2 3 5 2 2" xfId="37568"/>
    <cellStyle name="常规 2 7 2 3 6" xfId="37569"/>
    <cellStyle name="常规 2 7 2 3 7" xfId="37570"/>
    <cellStyle name="常规 2 7 2 3 7 2" xfId="37571"/>
    <cellStyle name="常规 2 7 2 3 7 3" xfId="37572"/>
    <cellStyle name="常规 2 7 2 3 8" xfId="37573"/>
    <cellStyle name="常规 2 7 2 3 8 2" xfId="37574"/>
    <cellStyle name="常规 2 7 2 4" xfId="37575"/>
    <cellStyle name="常规 2 7 2 4 2" xfId="37576"/>
    <cellStyle name="常规 2 7 2 4 2 2" xfId="37577"/>
    <cellStyle name="常规 2 7 2 4 2 2 2" xfId="37578"/>
    <cellStyle name="常规 2 7 2 4 3" xfId="37579"/>
    <cellStyle name="常规 2 7 2 4 3 2" xfId="37580"/>
    <cellStyle name="常规 2 7 2 4 3 2 2" xfId="37581"/>
    <cellStyle name="常规 2 7 2 4 4" xfId="37582"/>
    <cellStyle name="常规 2 7 2 4 4 2" xfId="37583"/>
    <cellStyle name="常规 2 7 2 4 4 2 2" xfId="37584"/>
    <cellStyle name="常规 2 7 2 4 5" xfId="37585"/>
    <cellStyle name="常规 2 7 2 4 5 2" xfId="37586"/>
    <cellStyle name="常规 2 7 2 4 5 3" xfId="37587"/>
    <cellStyle name="常规 2 7 2 4 6" xfId="37588"/>
    <cellStyle name="常规 2 7 2 5" xfId="37589"/>
    <cellStyle name="常规 2 7 2 5 2" xfId="37590"/>
    <cellStyle name="常规 2 7 2 5 2 2" xfId="37591"/>
    <cellStyle name="常规 2 7 2 6" xfId="37592"/>
    <cellStyle name="常规 2 7 2 6 2" xfId="37593"/>
    <cellStyle name="常规 2 7 2 6 2 2" xfId="37594"/>
    <cellStyle name="常规 2 7 2 7" xfId="37595"/>
    <cellStyle name="常规 2 7 2 7 2" xfId="37596"/>
    <cellStyle name="常规 2 7 2 7 2 2" xfId="37597"/>
    <cellStyle name="常规 2 7 2 8" xfId="37598"/>
    <cellStyle name="常规 2 7 2 9" xfId="37599"/>
    <cellStyle name="常规 2 7 2 9 2" xfId="37600"/>
    <cellStyle name="常规 2 7 2 9 3" xfId="37601"/>
    <cellStyle name="常规 2 7 3" xfId="37602"/>
    <cellStyle name="常规 2 7 3 2" xfId="37603"/>
    <cellStyle name="常规 2 7 3 2 2" xfId="37604"/>
    <cellStyle name="常规 2 7 3 2 2 2" xfId="37605"/>
    <cellStyle name="常规 2 7 3 2 2 2 2" xfId="37606"/>
    <cellStyle name="常规 2 7 3 2 3" xfId="37607"/>
    <cellStyle name="常规 2 7 3 2 3 2" xfId="37608"/>
    <cellStyle name="常规 2 7 3 2 3 2 2" xfId="37609"/>
    <cellStyle name="常规 2 7 3 2 4" xfId="37610"/>
    <cellStyle name="常规 2 7 3 2 4 2" xfId="37611"/>
    <cellStyle name="常规 2 7 3 2 4 2 2" xfId="37612"/>
    <cellStyle name="常规 2 7 3 2 5" xfId="37613"/>
    <cellStyle name="常规 2 7 3 2 5 2" xfId="37614"/>
    <cellStyle name="常规 2 7 3 2 5 3" xfId="37615"/>
    <cellStyle name="常规 2 7 3 2 6" xfId="37616"/>
    <cellStyle name="常规 2 7 3 3" xfId="37617"/>
    <cellStyle name="常规 2 7 3 3 2" xfId="37618"/>
    <cellStyle name="常规 2 7 3 3 2 2" xfId="37619"/>
    <cellStyle name="常规 2 7 3 3 2 2 2" xfId="37620"/>
    <cellStyle name="常规 2 7 3 3 3" xfId="37621"/>
    <cellStyle name="常规 2 7 3 3 3 2" xfId="37622"/>
    <cellStyle name="常规 2 7 3 3 3 2 2" xfId="37623"/>
    <cellStyle name="常规 2 7 3 3 4" xfId="37624"/>
    <cellStyle name="常规 2 7 3 3 4 2" xfId="37625"/>
    <cellStyle name="常规 2 7 3 3 5" xfId="37626"/>
    <cellStyle name="常规 2 7 3 4" xfId="37627"/>
    <cellStyle name="常规 2 7 3 4 2" xfId="37628"/>
    <cellStyle name="常规 2 7 3 4 2 2" xfId="37629"/>
    <cellStyle name="常规 2 7 3 5" xfId="37630"/>
    <cellStyle name="常规 2 7 3 5 2" xfId="37631"/>
    <cellStyle name="常规 2 7 3 5 2 2" xfId="37632"/>
    <cellStyle name="常规 2 7 3 6" xfId="37633"/>
    <cellStyle name="常规 2 7 3 7" xfId="37634"/>
    <cellStyle name="常规 2 7 3 7 2" xfId="37635"/>
    <cellStyle name="常规 2 7 3 7 3" xfId="37636"/>
    <cellStyle name="常规 2 7 3 8" xfId="37637"/>
    <cellStyle name="常规 2 7 3 8 2" xfId="37638"/>
    <cellStyle name="常规 2 7 4" xfId="37639"/>
    <cellStyle name="常规 2 7 4 2" xfId="37640"/>
    <cellStyle name="常规 2 7 4 2 2" xfId="37641"/>
    <cellStyle name="常规 2 7 4 2 2 2" xfId="37642"/>
    <cellStyle name="常规 2 7 4 2 2 2 2" xfId="37643"/>
    <cellStyle name="常规 2 7 4 2 3" xfId="37644"/>
    <cellStyle name="常规 2 7 4 2 3 2" xfId="37645"/>
    <cellStyle name="常规 2 7 4 2 3 2 2" xfId="37646"/>
    <cellStyle name="常规 2 7 4 2 4" xfId="37647"/>
    <cellStyle name="常规 2 7 4 2 4 2" xfId="37648"/>
    <cellStyle name="常规 2 7 4 2 4 2 2" xfId="37649"/>
    <cellStyle name="常规 2 7 4 2 5" xfId="37650"/>
    <cellStyle name="常规 2 7 4 2 5 2" xfId="37651"/>
    <cellStyle name="常规 2 7 4 2 5 3" xfId="37652"/>
    <cellStyle name="常规 2 7 4 2 6" xfId="37653"/>
    <cellStyle name="常规 2 7 4 3" xfId="37654"/>
    <cellStyle name="常规 2 7 4 3 2" xfId="37655"/>
    <cellStyle name="常规 2 7 4 3 2 2" xfId="37656"/>
    <cellStyle name="常规 2 7 4 4" xfId="37657"/>
    <cellStyle name="常规 2 7 4 4 2" xfId="37658"/>
    <cellStyle name="常规 2 7 4 4 2 2" xfId="37659"/>
    <cellStyle name="常规 2 7 4 5" xfId="37660"/>
    <cellStyle name="常规 2 7 4 5 2" xfId="37661"/>
    <cellStyle name="常规 2 7 4 5 2 2" xfId="37662"/>
    <cellStyle name="常规 2 7 4 6" xfId="37663"/>
    <cellStyle name="常规 2 7 4 7" xfId="37664"/>
    <cellStyle name="常规 2 7 4 7 2" xfId="37665"/>
    <cellStyle name="常规 2 7 4 7 3" xfId="37666"/>
    <cellStyle name="常规 2 7 4 8" xfId="37667"/>
    <cellStyle name="常规 2 7 4 8 2" xfId="37668"/>
    <cellStyle name="常规 2 7 5" xfId="37669"/>
    <cellStyle name="常规 2 7 5 2" xfId="37670"/>
    <cellStyle name="常规 2 7 5 2 2" xfId="37671"/>
    <cellStyle name="常规 2 7 5 2 2 2" xfId="37672"/>
    <cellStyle name="常规 2 7 5 2 2 2 2" xfId="37673"/>
    <cellStyle name="常规 2 7 5 2 3" xfId="37674"/>
    <cellStyle name="常规 2 7 5 2 3 2" xfId="37675"/>
    <cellStyle name="常规 2 7 5 2 3 2 2" xfId="37676"/>
    <cellStyle name="常规 2 7 5 2 4" xfId="37677"/>
    <cellStyle name="常规 2 7 5 2 4 2" xfId="37678"/>
    <cellStyle name="常规 2 7 5 2 5" xfId="37679"/>
    <cellStyle name="常规 2 7 5 3" xfId="37680"/>
    <cellStyle name="常规 2 7 5 3 2" xfId="37681"/>
    <cellStyle name="常规 2 7 5 3 2 2" xfId="37682"/>
    <cellStyle name="常规 2 7 5 4" xfId="37683"/>
    <cellStyle name="常规 2 7 5 4 2" xfId="37684"/>
    <cellStyle name="常规 2 7 5 4 2 2" xfId="37685"/>
    <cellStyle name="常规 2 7 5 5" xfId="37686"/>
    <cellStyle name="常规 2 7 5 5 2" xfId="37687"/>
    <cellStyle name="常规 2 7 5 5 3" xfId="37688"/>
    <cellStyle name="常规 2 7 5 6" xfId="37689"/>
    <cellStyle name="常规 2 7 6" xfId="37690"/>
    <cellStyle name="常规 2 7 6 2" xfId="37691"/>
    <cellStyle name="常规 2 7 6 2 2" xfId="37692"/>
    <cellStyle name="常规 2 7 6 2 2 2" xfId="37693"/>
    <cellStyle name="常规 2 7 6 3" xfId="37694"/>
    <cellStyle name="常规 2 7 6 3 2" xfId="37695"/>
    <cellStyle name="常规 2 7 6 3 2 2" xfId="37696"/>
    <cellStyle name="常规 2 7 6 4" xfId="37697"/>
    <cellStyle name="常规 2 7 6 4 2" xfId="37698"/>
    <cellStyle name="常规 2 7 6 5" xfId="37699"/>
    <cellStyle name="常规 2 7 7" xfId="37700"/>
    <cellStyle name="常规 2 7 7 2" xfId="37701"/>
    <cellStyle name="常规 2 7 7 2 2" xfId="37702"/>
    <cellStyle name="常规 2 7 8" xfId="37703"/>
    <cellStyle name="常规 2 7 8 2" xfId="37704"/>
    <cellStyle name="常规 2 7 8 2 2" xfId="37705"/>
    <cellStyle name="常规 2 7 9" xfId="37706"/>
    <cellStyle name="常规 2 8" xfId="37707"/>
    <cellStyle name="常规 2 8 10" xfId="37708"/>
    <cellStyle name="常规 2 8 10 2" xfId="37709"/>
    <cellStyle name="常规 2 8 2" xfId="37710"/>
    <cellStyle name="常规 2 8 2 2" xfId="37711"/>
    <cellStyle name="常规 2 8 2 2 2" xfId="37712"/>
    <cellStyle name="常规 2 8 2 2 2 2" xfId="37713"/>
    <cellStyle name="常规 2 8 2 2 2 3" xfId="37714"/>
    <cellStyle name="常规 2 8 2 2 2 4" xfId="37715"/>
    <cellStyle name="常规 2 8 2 2 2 5" xfId="37716"/>
    <cellStyle name="常规 2 8 2 2 2 5 2" xfId="37717"/>
    <cellStyle name="常规 2 8 2 2 3" xfId="37718"/>
    <cellStyle name="常规 2 8 2 2 3 2" xfId="37719"/>
    <cellStyle name="常规 2 8 2 2 3 2 2" xfId="37720"/>
    <cellStyle name="常规 2 8 2 2 4" xfId="37721"/>
    <cellStyle name="常规 2 8 2 2 4 2" xfId="37722"/>
    <cellStyle name="常规 2 8 2 2 4 2 2" xfId="37723"/>
    <cellStyle name="常规 2 8 2 2 5" xfId="37724"/>
    <cellStyle name="常规 2 8 2 2 5 2" xfId="37725"/>
    <cellStyle name="常规 2 8 2 2 5 3" xfId="37726"/>
    <cellStyle name="常规 2 8 2 2 6" xfId="37727"/>
    <cellStyle name="常规 2 8 2 2 6 2" xfId="37728"/>
    <cellStyle name="常规 2 8 2 2 7" xfId="37729"/>
    <cellStyle name="常规 2 8 2 3" xfId="37730"/>
    <cellStyle name="常规 2 8 2 3 2" xfId="37731"/>
    <cellStyle name="常规 2 8 2 3 2 2" xfId="37732"/>
    <cellStyle name="常规 2 8 2 3 2 3" xfId="37733"/>
    <cellStyle name="常规 2 8 2 3 2 4" xfId="37734"/>
    <cellStyle name="常规 2 8 2 3 3" xfId="37735"/>
    <cellStyle name="常规 2 8 2 3 4" xfId="37736"/>
    <cellStyle name="常规 2 8 2 3 5" xfId="37737"/>
    <cellStyle name="常规 2 8 2 3 6" xfId="37738"/>
    <cellStyle name="常规 2 8 2 3 6 2" xfId="37739"/>
    <cellStyle name="常规 2 8 2 4" xfId="37740"/>
    <cellStyle name="常规 2 8 2 4 2" xfId="37741"/>
    <cellStyle name="常规 2 8 2 4 3" xfId="37742"/>
    <cellStyle name="常规 2 8 2 4 4" xfId="37743"/>
    <cellStyle name="常规 2 8 2 4 5" xfId="37744"/>
    <cellStyle name="常规 2 8 2 4 5 2" xfId="37745"/>
    <cellStyle name="常规 2 8 2 5" xfId="37746"/>
    <cellStyle name="常规 2 8 2 5 2" xfId="37747"/>
    <cellStyle name="常规 2 8 2 5 2 2" xfId="37748"/>
    <cellStyle name="常规 2 8 2 6" xfId="37749"/>
    <cellStyle name="常规 2 8 2 6 2" xfId="37750"/>
    <cellStyle name="常规 2 8 2 6 2 2" xfId="37751"/>
    <cellStyle name="常规 2 8 2 7" xfId="37752"/>
    <cellStyle name="常规 2 8 2 7 2" xfId="37753"/>
    <cellStyle name="常规 2 8 2 7 2 2" xfId="37754"/>
    <cellStyle name="常规 2 8 2 8" xfId="37755"/>
    <cellStyle name="常规 2 8 2 8 2" xfId="37756"/>
    <cellStyle name="常规 2 8 2 8 3" xfId="37757"/>
    <cellStyle name="常规 2 8 2 9" xfId="37758"/>
    <cellStyle name="常规 2 8 3" xfId="37759"/>
    <cellStyle name="常规 2 8 3 2" xfId="37760"/>
    <cellStyle name="常规 2 8 3 2 2" xfId="37761"/>
    <cellStyle name="常规 2 8 3 2 2 2" xfId="37762"/>
    <cellStyle name="常规 2 8 3 2 2 2 2" xfId="37763"/>
    <cellStyle name="常规 2 8 3 2 3" xfId="37764"/>
    <cellStyle name="常规 2 8 3 2 3 2" xfId="37765"/>
    <cellStyle name="常规 2 8 3 2 3 2 2" xfId="37766"/>
    <cellStyle name="常规 2 8 3 2 4" xfId="37767"/>
    <cellStyle name="常规 2 8 3 2 4 2" xfId="37768"/>
    <cellStyle name="常规 2 8 3 2 4 2 2" xfId="37769"/>
    <cellStyle name="常规 2 8 3 2 5" xfId="37770"/>
    <cellStyle name="常规 2 8 3 2 5 2" xfId="37771"/>
    <cellStyle name="常规 2 8 3 2 5 3" xfId="37772"/>
    <cellStyle name="常规 2 8 3 2 6" xfId="37773"/>
    <cellStyle name="常规 2 8 3 3" xfId="37774"/>
    <cellStyle name="常规 2 8 3 3 2" xfId="37775"/>
    <cellStyle name="常规 2 8 3 3 2 2" xfId="37776"/>
    <cellStyle name="常规 2 8 3 3 2 2 2" xfId="37777"/>
    <cellStyle name="常规 2 8 3 3 3" xfId="37778"/>
    <cellStyle name="常规 2 8 3 3 3 2" xfId="37779"/>
    <cellStyle name="常规 2 8 3 3 3 2 2" xfId="37780"/>
    <cellStyle name="常规 2 8 3 3 4" xfId="37781"/>
    <cellStyle name="常规 2 8 3 3 4 2" xfId="37782"/>
    <cellStyle name="常规 2 8 3 3 5" xfId="37783"/>
    <cellStyle name="常规 2 8 3 4" xfId="37784"/>
    <cellStyle name="常规 2 8 3 4 2" xfId="37785"/>
    <cellStyle name="常规 2 8 3 4 2 2" xfId="37786"/>
    <cellStyle name="常规 2 8 3 5" xfId="37787"/>
    <cellStyle name="常规 2 8 3 5 2" xfId="37788"/>
    <cellStyle name="常规 2 8 3 5 2 2" xfId="37789"/>
    <cellStyle name="常规 2 8 3 6" xfId="37790"/>
    <cellStyle name="常规 2 8 3 7" xfId="37791"/>
    <cellStyle name="常规 2 8 3 7 2" xfId="37792"/>
    <cellStyle name="常规 2 8 3 7 3" xfId="37793"/>
    <cellStyle name="常规 2 8 3 8" xfId="37794"/>
    <cellStyle name="常规 2 8 3 8 2" xfId="37795"/>
    <cellStyle name="常规 2 8 4" xfId="37796"/>
    <cellStyle name="常规 2 8 4 2" xfId="37797"/>
    <cellStyle name="常规 2 8 4 2 2" xfId="37798"/>
    <cellStyle name="常规 2 8 4 2 3" xfId="37799"/>
    <cellStyle name="常规 2 8 4 2 4" xfId="37800"/>
    <cellStyle name="常规 2 8 4 2 5" xfId="37801"/>
    <cellStyle name="常规 2 8 4 2 5 2" xfId="37802"/>
    <cellStyle name="常规 2 8 4 3" xfId="37803"/>
    <cellStyle name="常规 2 8 4 3 2" xfId="37804"/>
    <cellStyle name="常规 2 8 4 3 2 2" xfId="37805"/>
    <cellStyle name="常规 2 8 4 4" xfId="37806"/>
    <cellStyle name="常规 2 8 4 4 2" xfId="37807"/>
    <cellStyle name="常规 2 8 4 4 2 2" xfId="37808"/>
    <cellStyle name="常规 2 8 4 5" xfId="37809"/>
    <cellStyle name="常规 2 8 4 5 2" xfId="37810"/>
    <cellStyle name="常规 2 8 4 5 3" xfId="37811"/>
    <cellStyle name="常规 2 8 4 6" xfId="37812"/>
    <cellStyle name="常规 2 8 4 6 2" xfId="37813"/>
    <cellStyle name="常规 2 8 4 7" xfId="37814"/>
    <cellStyle name="常规 2 8 5" xfId="37815"/>
    <cellStyle name="常规 2 8 5 2" xfId="37816"/>
    <cellStyle name="常规 2 8 5 3" xfId="37817"/>
    <cellStyle name="常规 2 8 5 4" xfId="37818"/>
    <cellStyle name="常规 2 8 5 5" xfId="37819"/>
    <cellStyle name="常规 2 8 5 5 2" xfId="37820"/>
    <cellStyle name="常规 2 8 6" xfId="37821"/>
    <cellStyle name="常规 2 8 6 2" xfId="37822"/>
    <cellStyle name="常规 2 8 6 2 2" xfId="37823"/>
    <cellStyle name="常规 2 8 7" xfId="37824"/>
    <cellStyle name="常规 2 8 7 2" xfId="37825"/>
    <cellStyle name="常规 2 8 7 2 2" xfId="37826"/>
    <cellStyle name="常规 2 8 8" xfId="37827"/>
    <cellStyle name="常规 2 8 8 2" xfId="37828"/>
    <cellStyle name="常规 2 8 8 2 2" xfId="37829"/>
    <cellStyle name="常规 2 8 9" xfId="37830"/>
    <cellStyle name="常规 2 8 9 2" xfId="37831"/>
    <cellStyle name="常规 2 8 9 3" xfId="37832"/>
    <cellStyle name="常规 2 9" xfId="37833"/>
    <cellStyle name="常规 2 9 10" xfId="37834"/>
    <cellStyle name="常规 2 9 10 2" xfId="37835"/>
    <cellStyle name="常规 2 9 2" xfId="37836"/>
    <cellStyle name="常规 2 9 2 2" xfId="37837"/>
    <cellStyle name="常规 2 9 2 2 2" xfId="37838"/>
    <cellStyle name="常规 2 9 2 2 2 2" xfId="37839"/>
    <cellStyle name="常规 2 9 2 2 2 2 2" xfId="37840"/>
    <cellStyle name="常规 2 9 2 2 2 2 2 2" xfId="37841"/>
    <cellStyle name="常规 2 9 2 2 2 3" xfId="37842"/>
    <cellStyle name="常规 2 9 2 2 2 3 2" xfId="37843"/>
    <cellStyle name="常规 2 9 2 2 2 3 2 2" xfId="37844"/>
    <cellStyle name="常规 2 9 2 2 2 4" xfId="37845"/>
    <cellStyle name="常规 2 9 2 2 2 4 2" xfId="37846"/>
    <cellStyle name="常规 2 9 2 2 2 4 2 2" xfId="37847"/>
    <cellStyle name="常规 2 9 2 2 2 5" xfId="37848"/>
    <cellStyle name="常规 2 9 2 2 2 5 2" xfId="37849"/>
    <cellStyle name="常规 2 9 2 2 2 5 3" xfId="37850"/>
    <cellStyle name="常规 2 9 2 2 2 6" xfId="37851"/>
    <cellStyle name="常规 2 9 2 2 3" xfId="37852"/>
    <cellStyle name="常规 2 9 2 2 3 2" xfId="37853"/>
    <cellStyle name="常规 2 9 2 2 3 2 2" xfId="37854"/>
    <cellStyle name="常规 2 9 2 2 3 2 2 2" xfId="37855"/>
    <cellStyle name="常规 2 9 2 2 3 3" xfId="37856"/>
    <cellStyle name="常规 2 9 2 2 3 3 2" xfId="37857"/>
    <cellStyle name="常规 2 9 2 2 3 3 2 2" xfId="37858"/>
    <cellStyle name="常规 2 9 2 2 3 4" xfId="37859"/>
    <cellStyle name="常规 2 9 2 2 3 4 2" xfId="37860"/>
    <cellStyle name="常规 2 9 2 2 3 5" xfId="37861"/>
    <cellStyle name="常规 2 9 2 2 4" xfId="37862"/>
    <cellStyle name="常规 2 9 2 2 4 2" xfId="37863"/>
    <cellStyle name="常规 2 9 2 2 4 2 2" xfId="37864"/>
    <cellStyle name="常规 2 9 2 2 5" xfId="37865"/>
    <cellStyle name="常规 2 9 2 2 5 2" xfId="37866"/>
    <cellStyle name="常规 2 9 2 2 5 2 2" xfId="37867"/>
    <cellStyle name="常规 2 9 2 2 6" xfId="37868"/>
    <cellStyle name="常规 2 9 2 2 7" xfId="37869"/>
    <cellStyle name="常规 2 9 2 2 7 2" xfId="37870"/>
    <cellStyle name="常规 2 9 2 2 7 3" xfId="37871"/>
    <cellStyle name="常规 2 9 2 2 8" xfId="37872"/>
    <cellStyle name="常规 2 9 2 2 8 2" xfId="37873"/>
    <cellStyle name="常规 2 9 2 3" xfId="37874"/>
    <cellStyle name="常规 2 9 2 3 2" xfId="37875"/>
    <cellStyle name="常规 2 9 2 3 2 2" xfId="37876"/>
    <cellStyle name="常规 2 9 2 3 2 3" xfId="37877"/>
    <cellStyle name="常规 2 9 2 3 2 4" xfId="37878"/>
    <cellStyle name="常规 2 9 2 3 2 5" xfId="37879"/>
    <cellStyle name="常规 2 9 2 3 2 5 2" xfId="37880"/>
    <cellStyle name="常规 2 9 2 3 3" xfId="37881"/>
    <cellStyle name="常规 2 9 2 3 3 2" xfId="37882"/>
    <cellStyle name="常规 2 9 2 3 3 2 2" xfId="37883"/>
    <cellStyle name="常规 2 9 2 3 4" xfId="37884"/>
    <cellStyle name="常规 2 9 2 3 4 2" xfId="37885"/>
    <cellStyle name="常规 2 9 2 3 4 2 2" xfId="37886"/>
    <cellStyle name="常规 2 9 2 3 5" xfId="37887"/>
    <cellStyle name="常规 2 9 2 3 5 2" xfId="37888"/>
    <cellStyle name="常规 2 9 2 3 5 3" xfId="37889"/>
    <cellStyle name="常规 2 9 2 3 6" xfId="37890"/>
    <cellStyle name="常规 2 9 2 3 6 2" xfId="37891"/>
    <cellStyle name="常规 2 9 2 3 7" xfId="37892"/>
    <cellStyle name="常规 2 9 2 4" xfId="37893"/>
    <cellStyle name="常规 2 9 2 4 2" xfId="37894"/>
    <cellStyle name="常规 2 9 2 4 3" xfId="37895"/>
    <cellStyle name="常规 2 9 2 4 4" xfId="37896"/>
    <cellStyle name="常规 2 9 2 4 5" xfId="37897"/>
    <cellStyle name="常规 2 9 2 4 5 2" xfId="37898"/>
    <cellStyle name="常规 2 9 2 5" xfId="37899"/>
    <cellStyle name="常规 2 9 2 5 2" xfId="37900"/>
    <cellStyle name="常规 2 9 2 5 2 2" xfId="37901"/>
    <cellStyle name="常规 2 9 2 6" xfId="37902"/>
    <cellStyle name="常规 2 9 2 6 2" xfId="37903"/>
    <cellStyle name="常规 2 9 2 6 2 2" xfId="37904"/>
    <cellStyle name="常规 2 9 2 7" xfId="37905"/>
    <cellStyle name="常规 2 9 2 7 2" xfId="37906"/>
    <cellStyle name="常规 2 9 2 7 2 2" xfId="37907"/>
    <cellStyle name="常规 2 9 2 8" xfId="37908"/>
    <cellStyle name="常规 2 9 2 8 2" xfId="37909"/>
    <cellStyle name="常规 2 9 2 8 3" xfId="37910"/>
    <cellStyle name="常规 2 9 2 9" xfId="37911"/>
    <cellStyle name="常规 2 9 2 9 2" xfId="37912"/>
    <cellStyle name="常规 2 9 3" xfId="37913"/>
    <cellStyle name="常规 2 9 3 2" xfId="37914"/>
    <cellStyle name="常规 2 9 3 2 2" xfId="37915"/>
    <cellStyle name="常规 2 9 3 2 2 2" xfId="37916"/>
    <cellStyle name="常规 2 9 3 2 2 2 2" xfId="37917"/>
    <cellStyle name="常规 2 9 3 2 3" xfId="37918"/>
    <cellStyle name="常规 2 9 3 2 3 2" xfId="37919"/>
    <cellStyle name="常规 2 9 3 2 3 2 2" xfId="37920"/>
    <cellStyle name="常规 2 9 3 2 4" xfId="37921"/>
    <cellStyle name="常规 2 9 3 2 4 2" xfId="37922"/>
    <cellStyle name="常规 2 9 3 2 4 2 2" xfId="37923"/>
    <cellStyle name="常规 2 9 3 2 5" xfId="37924"/>
    <cellStyle name="常规 2 9 3 2 5 2" xfId="37925"/>
    <cellStyle name="常规 2 9 3 2 5 3" xfId="37926"/>
    <cellStyle name="常规 2 9 3 2 6" xfId="37927"/>
    <cellStyle name="常规 2 9 3 3" xfId="37928"/>
    <cellStyle name="常规 2 9 3 3 2" xfId="37929"/>
    <cellStyle name="常规 2 9 3 3 2 2" xfId="37930"/>
    <cellStyle name="常规 2 9 3 3 2 2 2" xfId="37931"/>
    <cellStyle name="常规 2 9 3 3 3" xfId="37932"/>
    <cellStyle name="常规 2 9 3 3 3 2" xfId="37933"/>
    <cellStyle name="常规 2 9 3 3 3 2 2" xfId="37934"/>
    <cellStyle name="常规 2 9 3 3 4" xfId="37935"/>
    <cellStyle name="常规 2 9 3 3 4 2" xfId="37936"/>
    <cellStyle name="常规 2 9 3 3 5" xfId="37937"/>
    <cellStyle name="常规 2 9 3 4" xfId="37938"/>
    <cellStyle name="常规 2 9 3 4 2" xfId="37939"/>
    <cellStyle name="常规 2 9 3 4 2 2" xfId="37940"/>
    <cellStyle name="常规 2 9 3 5" xfId="37941"/>
    <cellStyle name="常规 2 9 3 5 2" xfId="37942"/>
    <cellStyle name="常规 2 9 3 5 2 2" xfId="37943"/>
    <cellStyle name="常规 2 9 3 6" xfId="37944"/>
    <cellStyle name="常规 2 9 3 7" xfId="37945"/>
    <cellStyle name="常规 2 9 3 7 2" xfId="37946"/>
    <cellStyle name="常规 2 9 3 7 3" xfId="37947"/>
    <cellStyle name="常规 2 9 3 8" xfId="37948"/>
    <cellStyle name="常规 2 9 3 8 2" xfId="37949"/>
    <cellStyle name="常规 2 9 4" xfId="37950"/>
    <cellStyle name="常规 2 9 4 2" xfId="37951"/>
    <cellStyle name="常规 2 9 4 2 2" xfId="37952"/>
    <cellStyle name="常规 2 9 4 2 3" xfId="37953"/>
    <cellStyle name="常规 2 9 4 2 4" xfId="37954"/>
    <cellStyle name="常规 2 9 4 2 5" xfId="37955"/>
    <cellStyle name="常规 2 9 4 2 5 2" xfId="37956"/>
    <cellStyle name="常规 2 9 4 3" xfId="37957"/>
    <cellStyle name="常规 2 9 4 3 2" xfId="37958"/>
    <cellStyle name="常规 2 9 4 3 2 2" xfId="37959"/>
    <cellStyle name="常规 2 9 4 4" xfId="37960"/>
    <cellStyle name="常规 2 9 4 4 2" xfId="37961"/>
    <cellStyle name="常规 2 9 4 4 2 2" xfId="37962"/>
    <cellStyle name="常规 2 9 4 5" xfId="37963"/>
    <cellStyle name="常规 2 9 4 5 2" xfId="37964"/>
    <cellStyle name="常规 2 9 4 5 3" xfId="37965"/>
    <cellStyle name="常规 2 9 4 6" xfId="37966"/>
    <cellStyle name="常规 2 9 4 6 2" xfId="37967"/>
    <cellStyle name="常规 2 9 4 7" xfId="37968"/>
    <cellStyle name="常规 2 9 5" xfId="37969"/>
    <cellStyle name="常规 2 9 5 2" xfId="37970"/>
    <cellStyle name="常规 2 9 5 3" xfId="37971"/>
    <cellStyle name="常规 2 9 5 4" xfId="37972"/>
    <cellStyle name="常规 2 9 5 5" xfId="37973"/>
    <cellStyle name="常规 2 9 5 5 2" xfId="37974"/>
    <cellStyle name="常规 2 9 6" xfId="37975"/>
    <cellStyle name="常规 2 9 6 2" xfId="37976"/>
    <cellStyle name="常规 2 9 6 2 2" xfId="37977"/>
    <cellStyle name="常规 2 9 7" xfId="37978"/>
    <cellStyle name="常规 2 9 7 2" xfId="37979"/>
    <cellStyle name="常规 2 9 7 2 2" xfId="37980"/>
    <cellStyle name="常规 2 9 8" xfId="37981"/>
    <cellStyle name="常规 2 9 8 2" xfId="37982"/>
    <cellStyle name="常规 2 9 8 2 2" xfId="37983"/>
    <cellStyle name="常规 2 9 9" xfId="37984"/>
    <cellStyle name="常规 2 9 9 2" xfId="37985"/>
    <cellStyle name="常规 2 9 9 3" xfId="37986"/>
    <cellStyle name="常规 20" xfId="37987"/>
    <cellStyle name="常规 20 2" xfId="37988"/>
    <cellStyle name="常规 20 3" xfId="37989"/>
    <cellStyle name="常规 20 3 2" xfId="37990"/>
    <cellStyle name="常规 20 3 2 2" xfId="37991"/>
    <cellStyle name="常规 20 3 3" xfId="37992"/>
    <cellStyle name="常规 20 4" xfId="37993"/>
    <cellStyle name="常规 20 4 2" xfId="37994"/>
    <cellStyle name="常规 20 4 2 2" xfId="37995"/>
    <cellStyle name="常规 20 5" xfId="37996"/>
    <cellStyle name="常规 20 5 2" xfId="37997"/>
    <cellStyle name="常规 20 6" xfId="37998"/>
    <cellStyle name="常规 21" xfId="37999"/>
    <cellStyle name="常规 21 2" xfId="38000"/>
    <cellStyle name="常规 21 2 2" xfId="38001"/>
    <cellStyle name="常规 22" xfId="38002"/>
    <cellStyle name="常规 22 10" xfId="38003"/>
    <cellStyle name="常规 22 10 2" xfId="38004"/>
    <cellStyle name="常规 22 11" xfId="38005"/>
    <cellStyle name="常规 22 11 2" xfId="38006"/>
    <cellStyle name="常规 22 12" xfId="38007"/>
    <cellStyle name="常规 22 12 2" xfId="38008"/>
    <cellStyle name="常规 22 13" xfId="38009"/>
    <cellStyle name="常规 22 14" xfId="38010"/>
    <cellStyle name="常规 22 2" xfId="38011"/>
    <cellStyle name="常规 22 2 10" xfId="38012"/>
    <cellStyle name="常规 22 2 11" xfId="38013"/>
    <cellStyle name="常规 22 2 2" xfId="38014"/>
    <cellStyle name="常规 22 2 2 2" xfId="38015"/>
    <cellStyle name="常规 22 2 2 3" xfId="38016"/>
    <cellStyle name="常规 22 2 3" xfId="38017"/>
    <cellStyle name="常规 22 2 3 2" xfId="38018"/>
    <cellStyle name="常规 22 2 3 3" xfId="38019"/>
    <cellStyle name="常规 22 2 4" xfId="38020"/>
    <cellStyle name="常规 22 2 4 2" xfId="38021"/>
    <cellStyle name="常规 22 2 4 3" xfId="38022"/>
    <cellStyle name="常规 22 2 5" xfId="38023"/>
    <cellStyle name="常规 22 2 5 2" xfId="38024"/>
    <cellStyle name="常规 22 2 6" xfId="38025"/>
    <cellStyle name="常规 22 2 6 2" xfId="38026"/>
    <cellStyle name="常规 22 2 7" xfId="38027"/>
    <cellStyle name="常规 22 2 7 2" xfId="38028"/>
    <cellStyle name="常规 22 2 8" xfId="38029"/>
    <cellStyle name="常规 22 2 8 2" xfId="38030"/>
    <cellStyle name="常规 22 2 9" xfId="38031"/>
    <cellStyle name="常规 22 2 9 2" xfId="38032"/>
    <cellStyle name="常规 22 3" xfId="38033"/>
    <cellStyle name="常规 22 3 2" xfId="38034"/>
    <cellStyle name="常规 22 3 2 2" xfId="38035"/>
    <cellStyle name="常规 22 3 3" xfId="38036"/>
    <cellStyle name="常规 22 3 3 2" xfId="38037"/>
    <cellStyle name="常规 22 3 4" xfId="38038"/>
    <cellStyle name="常规 22 3 5" xfId="38039"/>
    <cellStyle name="常规 22 4" xfId="38040"/>
    <cellStyle name="常规 22 4 2" xfId="38041"/>
    <cellStyle name="常规 22 4 2 2" xfId="38042"/>
    <cellStyle name="常规 22 4 3" xfId="38043"/>
    <cellStyle name="常规 22 4 4" xfId="38044"/>
    <cellStyle name="常规 22 5" xfId="38045"/>
    <cellStyle name="常规 22 5 2" xfId="38046"/>
    <cellStyle name="常规 22 5 2 2" xfId="38047"/>
    <cellStyle name="常规 22 5 3" xfId="38048"/>
    <cellStyle name="常规 22 5 4" xfId="38049"/>
    <cellStyle name="常规 22 6" xfId="38050"/>
    <cellStyle name="常规 22 6 2" xfId="38051"/>
    <cellStyle name="常规 22 6 3" xfId="38052"/>
    <cellStyle name="常规 22 7" xfId="38053"/>
    <cellStyle name="常规 22 7 2" xfId="38054"/>
    <cellStyle name="常规 22 7 3" xfId="38055"/>
    <cellStyle name="常规 22 8" xfId="38056"/>
    <cellStyle name="常规 22 8 2" xfId="38057"/>
    <cellStyle name="常规 22 9" xfId="38058"/>
    <cellStyle name="常规 22 9 2" xfId="38059"/>
    <cellStyle name="常规 23" xfId="38060"/>
    <cellStyle name="常规 23 2" xfId="38061"/>
    <cellStyle name="常规 24" xfId="38062"/>
    <cellStyle name="常规 24 2" xfId="38063"/>
    <cellStyle name="常规 24 3" xfId="38064"/>
    <cellStyle name="常规 29" xfId="38065"/>
    <cellStyle name="常规 3" xfId="38066"/>
    <cellStyle name="常规 3 10" xfId="38067"/>
    <cellStyle name="常规 3 10 2" xfId="38068"/>
    <cellStyle name="常规 3 10 2 2" xfId="38069"/>
    <cellStyle name="常规 3 10 2 3" xfId="38070"/>
    <cellStyle name="常规 3 10 2 4" xfId="38071"/>
    <cellStyle name="常规 3 10 2 4 2" xfId="38072"/>
    <cellStyle name="常规 3 10 2 4 3" xfId="38073"/>
    <cellStyle name="常规 3 10 2 5" xfId="38074"/>
    <cellStyle name="常规 3 10 2 5 2" xfId="38075"/>
    <cellStyle name="常规 3 10 3" xfId="38076"/>
    <cellStyle name="常规 3 10 3 2" xfId="38077"/>
    <cellStyle name="常规 3 10 3 2 2" xfId="38078"/>
    <cellStyle name="常规 3 10 4" xfId="38079"/>
    <cellStyle name="常规 3 10 4 2" xfId="38080"/>
    <cellStyle name="常规 3 10 4 2 2" xfId="38081"/>
    <cellStyle name="常规 3 10 5" xfId="38082"/>
    <cellStyle name="常规 3 10 6" xfId="38083"/>
    <cellStyle name="常规 3 10 7" xfId="38084"/>
    <cellStyle name="常规 3 10 7 2" xfId="38085"/>
    <cellStyle name="常规 3 10 7 3" xfId="38086"/>
    <cellStyle name="常规 3 10 8" xfId="38087"/>
    <cellStyle name="常规 3 10 8 2" xfId="38088"/>
    <cellStyle name="常规 3 11" xfId="38089"/>
    <cellStyle name="常规 3 11 2" xfId="38090"/>
    <cellStyle name="常规 3 11 2 2" xfId="38091"/>
    <cellStyle name="常规 3 11 2 3" xfId="38092"/>
    <cellStyle name="常规 3 11 2 4" xfId="38093"/>
    <cellStyle name="常规 3 11 2 4 2" xfId="38094"/>
    <cellStyle name="常规 3 11 2 5" xfId="38095"/>
    <cellStyle name="常规 3 11 2 5 2" xfId="38096"/>
    <cellStyle name="常规 3 11 3" xfId="38097"/>
    <cellStyle name="常规 3 11 4" xfId="38098"/>
    <cellStyle name="常规 3 11 5" xfId="38099"/>
    <cellStyle name="常规 3 11 6" xfId="38100"/>
    <cellStyle name="常规 3 11 7" xfId="38101"/>
    <cellStyle name="常规 3 11 7 2" xfId="38102"/>
    <cellStyle name="常规 3 11 7 3" xfId="38103"/>
    <cellStyle name="常规 3 11 8" xfId="38104"/>
    <cellStyle name="常规 3 11 8 2" xfId="38105"/>
    <cellStyle name="常规 3 12" xfId="38106"/>
    <cellStyle name="常规 3 12 2" xfId="38107"/>
    <cellStyle name="常规 3 12 2 2" xfId="38108"/>
    <cellStyle name="常规 3 12 2 3" xfId="38109"/>
    <cellStyle name="常规 3 12 2 4" xfId="38110"/>
    <cellStyle name="常规 3 12 2 4 2" xfId="38111"/>
    <cellStyle name="常规 3 12 2 5" xfId="38112"/>
    <cellStyle name="常规 3 12 2 5 2" xfId="38113"/>
    <cellStyle name="常规 3 12 3" xfId="38114"/>
    <cellStyle name="常规 3 12 4" xfId="38115"/>
    <cellStyle name="常规 3 12 5" xfId="38116"/>
    <cellStyle name="常规 3 12 6" xfId="38117"/>
    <cellStyle name="常规 3 12 6 2" xfId="38118"/>
    <cellStyle name="常规 3 12 6 3" xfId="38119"/>
    <cellStyle name="常规 3 12 7" xfId="38120"/>
    <cellStyle name="常规 3 12 7 2" xfId="38121"/>
    <cellStyle name="常规 3 13" xfId="38122"/>
    <cellStyle name="常规 3 13 2" xfId="38123"/>
    <cellStyle name="常规 3 13 2 2" xfId="38124"/>
    <cellStyle name="常规 3 13 2 3" xfId="38125"/>
    <cellStyle name="常规 3 13 2 4" xfId="38126"/>
    <cellStyle name="常规 3 13 2 4 2" xfId="38127"/>
    <cellStyle name="常规 3 13 2 5" xfId="38128"/>
    <cellStyle name="常规 3 13 2 5 2" xfId="38129"/>
    <cellStyle name="常规 3 13 3" xfId="38130"/>
    <cellStyle name="常规 3 13 4" xfId="38131"/>
    <cellStyle name="常规 3 13 5" xfId="38132"/>
    <cellStyle name="常规 3 13 6" xfId="38133"/>
    <cellStyle name="常规 3 13 6 2" xfId="38134"/>
    <cellStyle name="常规 3 13 6 3" xfId="38135"/>
    <cellStyle name="常规 3 13 7" xfId="38136"/>
    <cellStyle name="常规 3 13 7 2" xfId="38137"/>
    <cellStyle name="常规 3 14" xfId="38138"/>
    <cellStyle name="常规 3 14 2" xfId="38139"/>
    <cellStyle name="常规 3 14 2 2" xfId="38140"/>
    <cellStyle name="常规 3 14 2 2 2" xfId="38141"/>
    <cellStyle name="常规 3 14 2 2 2 2" xfId="38142"/>
    <cellStyle name="常规 3 14 2 3" xfId="38143"/>
    <cellStyle name="常规 3 14 2 3 2" xfId="38144"/>
    <cellStyle name="常规 3 14 2 4" xfId="38145"/>
    <cellStyle name="常规 3 14 2 4 2" xfId="38146"/>
    <cellStyle name="常规 3 14 2 5" xfId="38147"/>
    <cellStyle name="常规 3 14 3" xfId="38148"/>
    <cellStyle name="常规 3 14 4" xfId="38149"/>
    <cellStyle name="常规 3 14 4 2" xfId="38150"/>
    <cellStyle name="常规 3 14 4 3" xfId="38151"/>
    <cellStyle name="常规 3 14 5" xfId="38152"/>
    <cellStyle name="常规 3 14 5 2" xfId="38153"/>
    <cellStyle name="常规 3 15" xfId="38154"/>
    <cellStyle name="常规 3 15 2" xfId="38155"/>
    <cellStyle name="常规 3 15 2 2" xfId="38156"/>
    <cellStyle name="常规 3 15 2 2 2" xfId="38157"/>
    <cellStyle name="常规 3 15 2 2 2 2" xfId="38158"/>
    <cellStyle name="常规 3 15 2 3" xfId="38159"/>
    <cellStyle name="常规 3 15 2 3 2" xfId="38160"/>
    <cellStyle name="常规 3 15 2 4" xfId="38161"/>
    <cellStyle name="常规 3 15 2 4 2" xfId="38162"/>
    <cellStyle name="常规 3 15 2 5" xfId="38163"/>
    <cellStyle name="常规 3 15 3" xfId="38164"/>
    <cellStyle name="常规 3 15 3 2" xfId="38165"/>
    <cellStyle name="常规 3 15 3 2 2" xfId="38166"/>
    <cellStyle name="常规 3 15 4" xfId="38167"/>
    <cellStyle name="常规 3 15 4 2" xfId="38168"/>
    <cellStyle name="常规 3 15 4 2 2" xfId="38169"/>
    <cellStyle name="常规 3 15 5" xfId="38170"/>
    <cellStyle name="常规 3 15 5 2" xfId="38171"/>
    <cellStyle name="常规 3 15 6" xfId="38172"/>
    <cellStyle name="常规 3 16" xfId="38173"/>
    <cellStyle name="常规 3 16 2" xfId="38174"/>
    <cellStyle name="常规 3 16 2 2" xfId="38175"/>
    <cellStyle name="常规 3 16 2 2 2" xfId="38176"/>
    <cellStyle name="常规 3 16 2 2 2 2" xfId="38177"/>
    <cellStyle name="常规 3 16 2 3" xfId="38178"/>
    <cellStyle name="常规 3 16 2 3 2" xfId="38179"/>
    <cellStyle name="常规 3 16 2 4" xfId="38180"/>
    <cellStyle name="常规 3 16 2 4 2" xfId="38181"/>
    <cellStyle name="常规 3 16 2 5" xfId="38182"/>
    <cellStyle name="常规 3 16 3" xfId="38183"/>
    <cellStyle name="常规 3 16 3 2" xfId="38184"/>
    <cellStyle name="常规 3 16 3 2 2" xfId="38185"/>
    <cellStyle name="常规 3 16 4" xfId="38186"/>
    <cellStyle name="常规 3 16 4 2" xfId="38187"/>
    <cellStyle name="常规 3 16 5" xfId="38188"/>
    <cellStyle name="常规 3 16 5 2" xfId="38189"/>
    <cellStyle name="常规 3 16 6" xfId="38190"/>
    <cellStyle name="常规 3 17" xfId="38191"/>
    <cellStyle name="常规 3 17 2" xfId="38192"/>
    <cellStyle name="常规 3 17 2 2" xfId="38193"/>
    <cellStyle name="常规 3 17 2 2 2" xfId="38194"/>
    <cellStyle name="常规 3 17 3" xfId="38195"/>
    <cellStyle name="常规 3 17 3 2" xfId="38196"/>
    <cellStyle name="常规 3 17 4" xfId="38197"/>
    <cellStyle name="常规 3 17 4 2" xfId="38198"/>
    <cellStyle name="常规 3 17 5" xfId="38199"/>
    <cellStyle name="常规 3 18" xfId="38200"/>
    <cellStyle name="常规 3 19" xfId="38201"/>
    <cellStyle name="常规 3 19 2" xfId="38202"/>
    <cellStyle name="常规 3 19 2 2" xfId="38203"/>
    <cellStyle name="常规 3 19 3" xfId="38204"/>
    <cellStyle name="常规 3 19 3 2" xfId="38205"/>
    <cellStyle name="常规 3 19 3 3" xfId="38206"/>
    <cellStyle name="常规 3 19 4" xfId="38207"/>
    <cellStyle name="常规 3 19 5" xfId="38208"/>
    <cellStyle name="常规 3 2" xfId="38209"/>
    <cellStyle name="常规 3 2 10" xfId="38210"/>
    <cellStyle name="常规 3 2 10 2" xfId="38211"/>
    <cellStyle name="常规 3 2 10 2 2" xfId="38212"/>
    <cellStyle name="常规 3 2 10 2 2 2" xfId="38213"/>
    <cellStyle name="常规 3 2 10 2 2 2 2" xfId="38214"/>
    <cellStyle name="常规 3 2 10 2 3" xfId="38215"/>
    <cellStyle name="常规 3 2 10 2 3 2" xfId="38216"/>
    <cellStyle name="常规 3 2 10 2 4" xfId="38217"/>
    <cellStyle name="常规 3 2 10 2 4 2" xfId="38218"/>
    <cellStyle name="常规 3 2 10 2 5" xfId="38219"/>
    <cellStyle name="常规 3 2 10 3" xfId="38220"/>
    <cellStyle name="常规 3 2 10 3 2" xfId="38221"/>
    <cellStyle name="常规 3 2 10 3 2 2" xfId="38222"/>
    <cellStyle name="常规 3 2 10 4" xfId="38223"/>
    <cellStyle name="常规 3 2 10 4 2" xfId="38224"/>
    <cellStyle name="常规 3 2 10 5" xfId="38225"/>
    <cellStyle name="常规 3 2 10 5 2" xfId="38226"/>
    <cellStyle name="常规 3 2 10 6" xfId="38227"/>
    <cellStyle name="常规 3 2 11" xfId="38228"/>
    <cellStyle name="常规 3 2 11 2" xfId="38229"/>
    <cellStyle name="常规 3 2 11 2 2" xfId="38230"/>
    <cellStyle name="常规 3 2 11 2 2 2" xfId="38231"/>
    <cellStyle name="常规 3 2 11 3" xfId="38232"/>
    <cellStyle name="常规 3 2 11 3 2" xfId="38233"/>
    <cellStyle name="常规 3 2 11 4" xfId="38234"/>
    <cellStyle name="常规 3 2 11 4 2" xfId="38235"/>
    <cellStyle name="常规 3 2 11 5" xfId="38236"/>
    <cellStyle name="常规 3 2 12" xfId="38237"/>
    <cellStyle name="常规 3 2 13" xfId="38238"/>
    <cellStyle name="常规 3 2 13 2" xfId="38239"/>
    <cellStyle name="常规 3 2 13 2 2" xfId="38240"/>
    <cellStyle name="常规 3 2 13 3" xfId="38241"/>
    <cellStyle name="常规 3 2 13 3 2" xfId="38242"/>
    <cellStyle name="常规 3 2 14" xfId="38243"/>
    <cellStyle name="常规 3 2 14 2" xfId="38244"/>
    <cellStyle name="常规 3 2 2" xfId="38245"/>
    <cellStyle name="常规 3 2 2 10" xfId="38246"/>
    <cellStyle name="常规 3 2 2 2" xfId="38247"/>
    <cellStyle name="常规 3 2 2 2 2" xfId="38248"/>
    <cellStyle name="常规 3 2 2 2 2 2" xfId="38249"/>
    <cellStyle name="常规 3 2 2 2 2 2 2" xfId="38250"/>
    <cellStyle name="常规 3 2 2 2 2 2 3" xfId="38251"/>
    <cellStyle name="常规 3 2 2 2 2 2 4" xfId="38252"/>
    <cellStyle name="常规 3 2 2 2 2 2 5" xfId="38253"/>
    <cellStyle name="常规 3 2 2 2 2 2 5 2" xfId="38254"/>
    <cellStyle name="常规 3 2 2 2 2 3" xfId="38255"/>
    <cellStyle name="常规 3 2 2 2 2 3 2" xfId="38256"/>
    <cellStyle name="常规 3 2 2 2 2 3 2 2" xfId="38257"/>
    <cellStyle name="常规 3 2 2 2 2 4" xfId="38258"/>
    <cellStyle name="常规 3 2 2 2 2 4 2" xfId="38259"/>
    <cellStyle name="常规 3 2 2 2 2 4 2 2" xfId="38260"/>
    <cellStyle name="常规 3 2 2 2 2 5" xfId="38261"/>
    <cellStyle name="常规 3 2 2 2 2 5 2" xfId="38262"/>
    <cellStyle name="常规 3 2 2 2 2 5 3" xfId="38263"/>
    <cellStyle name="常规 3 2 2 2 2 6" xfId="38264"/>
    <cellStyle name="常规 3 2 2 2 2 6 2" xfId="38265"/>
    <cellStyle name="常规 3 2 2 2 2 7" xfId="38266"/>
    <cellStyle name="常规 3 2 2 2 3" xfId="38267"/>
    <cellStyle name="常规 3 2 2 2 3 2" xfId="38268"/>
    <cellStyle name="常规 3 2 2 2 3 2 2" xfId="38269"/>
    <cellStyle name="常规 3 2 2 2 3 2 2 2" xfId="38270"/>
    <cellStyle name="常规 3 2 2 2 3 2 3" xfId="38271"/>
    <cellStyle name="常规 3 2 2 2 3 2 4" xfId="38272"/>
    <cellStyle name="常规 3 2 2 2 3 2 5" xfId="38273"/>
    <cellStyle name="常规 3 2 2 2 3 2 5 2" xfId="38274"/>
    <cellStyle name="常规 3 2 2 2 3 2 6" xfId="38275"/>
    <cellStyle name="常规 3 2 2 2 3 3" xfId="38276"/>
    <cellStyle name="常规 3 2 2 2 3 3 2" xfId="38277"/>
    <cellStyle name="常规 3 2 2 2 3 3 2 2" xfId="38278"/>
    <cellStyle name="常规 3 2 2 2 3 4" xfId="38279"/>
    <cellStyle name="常规 3 2 2 2 3 4 2" xfId="38280"/>
    <cellStyle name="常规 3 2 2 2 3 4 3" xfId="38281"/>
    <cellStyle name="常规 3 2 2 2 3 5" xfId="38282"/>
    <cellStyle name="常规 3 2 2 2 3 5 2" xfId="38283"/>
    <cellStyle name="常规 3 2 2 2 3 6" xfId="38284"/>
    <cellStyle name="常规 3 2 2 2 3 6 2" xfId="38285"/>
    <cellStyle name="常规 3 2 2 2 3 7" xfId="38286"/>
    <cellStyle name="常规 3 2 2 2 4" xfId="38287"/>
    <cellStyle name="常规 3 2 2 2 4 2" xfId="38288"/>
    <cellStyle name="常规 3 2 2 2 4 3" xfId="38289"/>
    <cellStyle name="常规 3 2 2 2 4 4" xfId="38290"/>
    <cellStyle name="常规 3 2 2 2 4 5" xfId="38291"/>
    <cellStyle name="常规 3 2 2 2 4 5 2" xfId="38292"/>
    <cellStyle name="常规 3 2 2 2 5" xfId="38293"/>
    <cellStyle name="常规 3 2 2 2 5 2" xfId="38294"/>
    <cellStyle name="常规 3 2 2 2 5 2 2" xfId="38295"/>
    <cellStyle name="常规 3 2 2 2 6" xfId="38296"/>
    <cellStyle name="常规 3 2 2 2 6 2" xfId="38297"/>
    <cellStyle name="常规 3 2 2 2 6 2 2" xfId="38298"/>
    <cellStyle name="常规 3 2 2 2 7" xfId="38299"/>
    <cellStyle name="常规 3 2 2 2 7 2" xfId="38300"/>
    <cellStyle name="常规 3 2 2 2 7 2 2" xfId="38301"/>
    <cellStyle name="常规 3 2 2 2 8" xfId="38302"/>
    <cellStyle name="常规 3 2 2 2 8 2" xfId="38303"/>
    <cellStyle name="常规 3 2 2 2 8 3" xfId="38304"/>
    <cellStyle name="常规 3 2 2 2 9" xfId="38305"/>
    <cellStyle name="常规 3 2 2 3" xfId="38306"/>
    <cellStyle name="常规 3 2 2 3 2" xfId="38307"/>
    <cellStyle name="常规 3 2 2 3 2 2" xfId="38308"/>
    <cellStyle name="常规 3 2 2 3 2 3" xfId="38309"/>
    <cellStyle name="常规 3 2 2 3 2 4" xfId="38310"/>
    <cellStyle name="常规 3 2 2 3 2 5" xfId="38311"/>
    <cellStyle name="常规 3 2 2 3 2 5 2" xfId="38312"/>
    <cellStyle name="常规 3 2 2 3 3" xfId="38313"/>
    <cellStyle name="常规 3 2 2 3 3 2" xfId="38314"/>
    <cellStyle name="常规 3 2 2 3 3 2 2" xfId="38315"/>
    <cellStyle name="常规 3 2 2 3 4" xfId="38316"/>
    <cellStyle name="常规 3 2 2 3 4 2" xfId="38317"/>
    <cellStyle name="常规 3 2 2 3 4 2 2" xfId="38318"/>
    <cellStyle name="常规 3 2 2 3 5" xfId="38319"/>
    <cellStyle name="常规 3 2 2 3 5 2" xfId="38320"/>
    <cellStyle name="常规 3 2 2 3 5 3" xfId="38321"/>
    <cellStyle name="常规 3 2 2 3 6" xfId="38322"/>
    <cellStyle name="常规 3 2 2 3 6 2" xfId="38323"/>
    <cellStyle name="常规 3 2 2 3 7" xfId="38324"/>
    <cellStyle name="常规 3 2 2 4" xfId="38325"/>
    <cellStyle name="常规 3 2 2 4 2" xfId="38326"/>
    <cellStyle name="常规 3 2 2 4 2 2" xfId="38327"/>
    <cellStyle name="常规 3 2 2 4 2 3" xfId="38328"/>
    <cellStyle name="常规 3 2 2 4 2 4" xfId="38329"/>
    <cellStyle name="常规 3 2 2 4 3" xfId="38330"/>
    <cellStyle name="常规 3 2 2 4 4" xfId="38331"/>
    <cellStyle name="常规 3 2 2 4 5" xfId="38332"/>
    <cellStyle name="常规 3 2 2 4 6" xfId="38333"/>
    <cellStyle name="常规 3 2 2 4 6 2" xfId="38334"/>
    <cellStyle name="常规 3 2 2 5" xfId="38335"/>
    <cellStyle name="常规 3 2 2 5 2" xfId="38336"/>
    <cellStyle name="常规 3 2 2 5 3" xfId="38337"/>
    <cellStyle name="常规 3 2 2 5 4" xfId="38338"/>
    <cellStyle name="常规 3 2 2 5 5" xfId="38339"/>
    <cellStyle name="常规 3 2 2 5 5 2" xfId="38340"/>
    <cellStyle name="常规 3 2 2 6" xfId="38341"/>
    <cellStyle name="常规 3 2 2 6 2" xfId="38342"/>
    <cellStyle name="常规 3 2 2 6 2 2" xfId="38343"/>
    <cellStyle name="常规 3 2 2 7" xfId="38344"/>
    <cellStyle name="常规 3 2 2 7 2" xfId="38345"/>
    <cellStyle name="常规 3 2 2 7 2 2" xfId="38346"/>
    <cellStyle name="常规 3 2 2 8" xfId="38347"/>
    <cellStyle name="常规 3 2 2 8 2" xfId="38348"/>
    <cellStyle name="常规 3 2 2 8 2 2" xfId="38349"/>
    <cellStyle name="常规 3 2 2 9" xfId="38350"/>
    <cellStyle name="常规 3 2 2 9 2" xfId="38351"/>
    <cellStyle name="常规 3 2 2 9 3" xfId="38352"/>
    <cellStyle name="常规 3 2 3" xfId="38353"/>
    <cellStyle name="常规 3 2 3 10" xfId="38354"/>
    <cellStyle name="常规 3 2 3 2" xfId="38355"/>
    <cellStyle name="常规 3 2 3 2 2" xfId="38356"/>
    <cellStyle name="常规 3 2 3 2 2 2" xfId="38357"/>
    <cellStyle name="常规 3 2 3 2 2 2 2" xfId="38358"/>
    <cellStyle name="常规 3 2 3 2 2 2 3" xfId="38359"/>
    <cellStyle name="常规 3 2 3 2 2 2 4" xfId="38360"/>
    <cellStyle name="常规 3 2 3 2 2 3" xfId="38361"/>
    <cellStyle name="常规 3 2 3 2 2 4" xfId="38362"/>
    <cellStyle name="常规 3 2 3 2 2 5" xfId="38363"/>
    <cellStyle name="常规 3 2 3 2 2 6" xfId="38364"/>
    <cellStyle name="常规 3 2 3 2 2 6 2" xfId="38365"/>
    <cellStyle name="常规 3 2 3 2 3" xfId="38366"/>
    <cellStyle name="常规 3 2 3 2 3 2" xfId="38367"/>
    <cellStyle name="常规 3 2 3 2 3 2 2" xfId="38368"/>
    <cellStyle name="常规 3 2 3 2 3 2 3" xfId="38369"/>
    <cellStyle name="常规 3 2 3 2 3 2 4" xfId="38370"/>
    <cellStyle name="常规 3 2 3 2 3 3" xfId="38371"/>
    <cellStyle name="常规 3 2 3 2 3 4" xfId="38372"/>
    <cellStyle name="常规 3 2 3 2 3 5" xfId="38373"/>
    <cellStyle name="常规 3 2 3 2 3 6" xfId="38374"/>
    <cellStyle name="常规 3 2 3 2 3 6 2" xfId="38375"/>
    <cellStyle name="常规 3 2 3 2 4" xfId="38376"/>
    <cellStyle name="常规 3 2 3 2 4 2" xfId="38377"/>
    <cellStyle name="常规 3 2 3 2 4 2 2" xfId="38378"/>
    <cellStyle name="常规 3 2 3 2 4 3" xfId="38379"/>
    <cellStyle name="常规 3 2 3 2 4 4" xfId="38380"/>
    <cellStyle name="常规 3 2 3 2 4 5" xfId="38381"/>
    <cellStyle name="常规 3 2 3 2 5" xfId="38382"/>
    <cellStyle name="常规 3 2 3 2 5 2" xfId="38383"/>
    <cellStyle name="常规 3 2 3 2 5 3" xfId="38384"/>
    <cellStyle name="常规 3 2 3 2 6" xfId="38385"/>
    <cellStyle name="常规 3 2 3 2 7" xfId="38386"/>
    <cellStyle name="常规 3 2 3 2 8" xfId="38387"/>
    <cellStyle name="常规 3 2 3 2 8 2" xfId="38388"/>
    <cellStyle name="常规 3 2 3 2 9" xfId="38389"/>
    <cellStyle name="常规 3 2 3 3" xfId="38390"/>
    <cellStyle name="常规 3 2 3 3 2" xfId="38391"/>
    <cellStyle name="常规 3 2 3 3 2 2" xfId="38392"/>
    <cellStyle name="常规 3 2 3 3 2 2 2" xfId="38393"/>
    <cellStyle name="常规 3 2 3 3 2 3" xfId="38394"/>
    <cellStyle name="常规 3 2 3 3 2 4" xfId="38395"/>
    <cellStyle name="常规 3 2 3 3 2 5" xfId="38396"/>
    <cellStyle name="常规 3 2 3 3 2 5 2" xfId="38397"/>
    <cellStyle name="常规 3 2 3 3 2 6" xfId="38398"/>
    <cellStyle name="常规 3 2 3 3 3" xfId="38399"/>
    <cellStyle name="常规 3 2 3 3 3 2" xfId="38400"/>
    <cellStyle name="常规 3 2 3 3 3 2 2" xfId="38401"/>
    <cellStyle name="常规 3 2 3 3 4" xfId="38402"/>
    <cellStyle name="常规 3 2 3 3 4 2" xfId="38403"/>
    <cellStyle name="常规 3 2 3 3 4 3" xfId="38404"/>
    <cellStyle name="常规 3 2 3 3 5" xfId="38405"/>
    <cellStyle name="常规 3 2 3 3 5 2" xfId="38406"/>
    <cellStyle name="常规 3 2 3 3 6" xfId="38407"/>
    <cellStyle name="常规 3 2 3 3 6 2" xfId="38408"/>
    <cellStyle name="常规 3 2 3 3 7" xfId="38409"/>
    <cellStyle name="常规 3 2 3 4" xfId="38410"/>
    <cellStyle name="常规 3 2 3 4 2" xfId="38411"/>
    <cellStyle name="常规 3 2 3 4 2 2" xfId="38412"/>
    <cellStyle name="常规 3 2 3 4 2 3" xfId="38413"/>
    <cellStyle name="常规 3 2 3 4 2 4" xfId="38414"/>
    <cellStyle name="常规 3 2 3 4 3" xfId="38415"/>
    <cellStyle name="常规 3 2 3 4 4" xfId="38416"/>
    <cellStyle name="常规 3 2 3 4 5" xfId="38417"/>
    <cellStyle name="常规 3 2 3 4 6" xfId="38418"/>
    <cellStyle name="常规 3 2 3 4 6 2" xfId="38419"/>
    <cellStyle name="常规 3 2 3 5" xfId="38420"/>
    <cellStyle name="常规 3 2 3 5 2" xfId="38421"/>
    <cellStyle name="常规 3 2 3 5 3" xfId="38422"/>
    <cellStyle name="常规 3 2 3 5 4" xfId="38423"/>
    <cellStyle name="常规 3 2 3 5 5" xfId="38424"/>
    <cellStyle name="常规 3 2 3 5 5 2" xfId="38425"/>
    <cellStyle name="常规 3 2 3 6" xfId="38426"/>
    <cellStyle name="常规 3 2 3 6 2" xfId="38427"/>
    <cellStyle name="常规 3 2 3 6 2 2" xfId="38428"/>
    <cellStyle name="常规 3 2 3 7" xfId="38429"/>
    <cellStyle name="常规 3 2 3 7 2" xfId="38430"/>
    <cellStyle name="常规 3 2 3 7 2 2" xfId="38431"/>
    <cellStyle name="常规 3 2 3 8" xfId="38432"/>
    <cellStyle name="常规 3 2 3 8 2" xfId="38433"/>
    <cellStyle name="常规 3 2 3 8 3" xfId="38434"/>
    <cellStyle name="常规 3 2 3 9" xfId="38435"/>
    <cellStyle name="常规 3 2 3 9 2" xfId="38436"/>
    <cellStyle name="常规 3 2 4" xfId="38437"/>
    <cellStyle name="常规 3 2 4 2" xfId="38438"/>
    <cellStyle name="常规 3 2 4 2 2" xfId="38439"/>
    <cellStyle name="常规 3 2 4 2 2 2" xfId="38440"/>
    <cellStyle name="常规 3 2 4 2 2 2 2" xfId="38441"/>
    <cellStyle name="常规 3 2 4 2 3" xfId="38442"/>
    <cellStyle name="常规 3 2 4 2 3 2" xfId="38443"/>
    <cellStyle name="常规 3 2 4 2 3 2 2" xfId="38444"/>
    <cellStyle name="常规 3 2 4 2 4" xfId="38445"/>
    <cellStyle name="常规 3 2 4 2 4 2" xfId="38446"/>
    <cellStyle name="常规 3 2 4 2 4 2 2" xfId="38447"/>
    <cellStyle name="常规 3 2 4 2 5" xfId="38448"/>
    <cellStyle name="常规 3 2 4 2 5 2" xfId="38449"/>
    <cellStyle name="常规 3 2 4 2 5 3" xfId="38450"/>
    <cellStyle name="常规 3 2 4 2 6" xfId="38451"/>
    <cellStyle name="常规 3 2 4 3" xfId="38452"/>
    <cellStyle name="常规 3 2 4 3 2" xfId="38453"/>
    <cellStyle name="常规 3 2 4 3 2 2" xfId="38454"/>
    <cellStyle name="常规 3 2 4 4" xfId="38455"/>
    <cellStyle name="常规 3 2 4 4 2" xfId="38456"/>
    <cellStyle name="常规 3 2 4 4 2 2" xfId="38457"/>
    <cellStyle name="常规 3 2 4 5" xfId="38458"/>
    <cellStyle name="常规 3 2 4 5 2" xfId="38459"/>
    <cellStyle name="常规 3 2 4 5 2 2" xfId="38460"/>
    <cellStyle name="常规 3 2 4 6" xfId="38461"/>
    <cellStyle name="常规 3 2 4 7" xfId="38462"/>
    <cellStyle name="常规 3 2 4 7 2" xfId="38463"/>
    <cellStyle name="常规 3 2 4 7 3" xfId="38464"/>
    <cellStyle name="常规 3 2 4 8" xfId="38465"/>
    <cellStyle name="常规 3 2 4 8 2" xfId="38466"/>
    <cellStyle name="常规 3 2 5" xfId="38467"/>
    <cellStyle name="常规 3 2 5 2" xfId="38468"/>
    <cellStyle name="常规 3 2 5 2 2" xfId="38469"/>
    <cellStyle name="常规 3 2 5 2 2 2" xfId="38470"/>
    <cellStyle name="常规 3 2 5 2 2 2 2" xfId="38471"/>
    <cellStyle name="常规 3 2 5 2 3" xfId="38472"/>
    <cellStyle name="常规 3 2 5 2 3 2" xfId="38473"/>
    <cellStyle name="常规 3 2 5 2 3 2 2" xfId="38474"/>
    <cellStyle name="常规 3 2 5 2 4" xfId="38475"/>
    <cellStyle name="常规 3 2 5 2 4 2" xfId="38476"/>
    <cellStyle name="常规 3 2 5 2 4 2 2" xfId="38477"/>
    <cellStyle name="常规 3 2 5 2 5" xfId="38478"/>
    <cellStyle name="常规 3 2 5 2 5 2" xfId="38479"/>
    <cellStyle name="常规 3 2 5 2 5 3" xfId="38480"/>
    <cellStyle name="常规 3 2 5 2 6" xfId="38481"/>
    <cellStyle name="常规 3 2 5 3" xfId="38482"/>
    <cellStyle name="常规 3 2 5 3 2" xfId="38483"/>
    <cellStyle name="常规 3 2 5 3 2 2" xfId="38484"/>
    <cellStyle name="常规 3 2 5 4" xfId="38485"/>
    <cellStyle name="常规 3 2 5 4 2" xfId="38486"/>
    <cellStyle name="常规 3 2 5 4 2 2" xfId="38487"/>
    <cellStyle name="常规 3 2 5 5" xfId="38488"/>
    <cellStyle name="常规 3 2 5 5 2" xfId="38489"/>
    <cellStyle name="常规 3 2 5 5 2 2" xfId="38490"/>
    <cellStyle name="常规 3 2 5 6" xfId="38491"/>
    <cellStyle name="常规 3 2 5 7" xfId="38492"/>
    <cellStyle name="常规 3 2 5 7 2" xfId="38493"/>
    <cellStyle name="常规 3 2 5 7 3" xfId="38494"/>
    <cellStyle name="常规 3 2 5 8" xfId="38495"/>
    <cellStyle name="常规 3 2 5 8 2" xfId="38496"/>
    <cellStyle name="常规 3 2 6" xfId="38497"/>
    <cellStyle name="常规 3 2 6 2" xfId="38498"/>
    <cellStyle name="常规 3 2 6 2 2" xfId="38499"/>
    <cellStyle name="常规 3 2 6 2 3" xfId="38500"/>
    <cellStyle name="常规 3 2 6 2 3 2" xfId="38501"/>
    <cellStyle name="常规 3 2 6 3" xfId="38502"/>
    <cellStyle name="常规 3 2 6 3 2" xfId="38503"/>
    <cellStyle name="常规 3 2 6 3 2 2" xfId="38504"/>
    <cellStyle name="常规 3 2 6 4" xfId="38505"/>
    <cellStyle name="常规 3 2 6 4 2" xfId="38506"/>
    <cellStyle name="常规 3 2 6 4 2 2" xfId="38507"/>
    <cellStyle name="常规 3 2 6 5" xfId="38508"/>
    <cellStyle name="常规 3 2 6 5 2" xfId="38509"/>
    <cellStyle name="常规 3 2 6 6" xfId="38510"/>
    <cellStyle name="常规 3 2 7" xfId="38511"/>
    <cellStyle name="常规 3 2 7 2" xfId="38512"/>
    <cellStyle name="常规 3 2 7 2 2" xfId="38513"/>
    <cellStyle name="常规 3 2 7 3" xfId="38514"/>
    <cellStyle name="常规 3 2 7 4" xfId="38515"/>
    <cellStyle name="常规 3 2 7 5" xfId="38516"/>
    <cellStyle name="常规 3 2 7 5 2" xfId="38517"/>
    <cellStyle name="常规 3 2 7 6" xfId="38518"/>
    <cellStyle name="常规 3 2 8" xfId="38519"/>
    <cellStyle name="常规 3 2 8 2" xfId="38520"/>
    <cellStyle name="常规 3 2 8 2 2" xfId="38521"/>
    <cellStyle name="常规 3 2 8 2 2 2" xfId="38522"/>
    <cellStyle name="常规 3 2 8 2 2 2 2" xfId="38523"/>
    <cellStyle name="常规 3 2 8 2 3" xfId="38524"/>
    <cellStyle name="常规 3 2 8 2 3 2" xfId="38525"/>
    <cellStyle name="常规 3 2 8 2 4" xfId="38526"/>
    <cellStyle name="常规 3 2 8 2 4 2" xfId="38527"/>
    <cellStyle name="常规 3 2 8 2 5" xfId="38528"/>
    <cellStyle name="常规 3 2 8 3" xfId="38529"/>
    <cellStyle name="常规 3 2 8 4" xfId="38530"/>
    <cellStyle name="常规 3 2 8 4 2" xfId="38531"/>
    <cellStyle name="常规 3 2 8 4 3" xfId="38532"/>
    <cellStyle name="常规 3 2 8 5" xfId="38533"/>
    <cellStyle name="常规 3 2 8 5 2" xfId="38534"/>
    <cellStyle name="常规 3 2 9" xfId="38535"/>
    <cellStyle name="常规 3 2 9 2" xfId="38536"/>
    <cellStyle name="常规 3 2 9 2 2" xfId="38537"/>
    <cellStyle name="常规 3 2 9 2 2 2" xfId="38538"/>
    <cellStyle name="常规 3 2 9 2 2 2 2" xfId="38539"/>
    <cellStyle name="常规 3 2 9 2 3" xfId="38540"/>
    <cellStyle name="常规 3 2 9 2 3 2" xfId="38541"/>
    <cellStyle name="常规 3 2 9 2 4" xfId="38542"/>
    <cellStyle name="常规 3 2 9 2 4 2" xfId="38543"/>
    <cellStyle name="常规 3 2 9 2 5" xfId="38544"/>
    <cellStyle name="常规 3 2 9 3" xfId="38545"/>
    <cellStyle name="常规 3 2 9 3 2" xfId="38546"/>
    <cellStyle name="常规 3 2 9 3 2 2" xfId="38547"/>
    <cellStyle name="常规 3 2 9 4" xfId="38548"/>
    <cellStyle name="常规 3 2 9 4 2" xfId="38549"/>
    <cellStyle name="常规 3 2 9 4 2 2" xfId="38550"/>
    <cellStyle name="常规 3 2 9 5" xfId="38551"/>
    <cellStyle name="常规 3 2 9 5 2" xfId="38552"/>
    <cellStyle name="常规 3 2 9 6" xfId="38553"/>
    <cellStyle name="常规 3 20" xfId="38554"/>
    <cellStyle name="常规 3 20 2" xfId="38555"/>
    <cellStyle name="常规 3 20 3" xfId="38556"/>
    <cellStyle name="常规 3 21" xfId="38557"/>
    <cellStyle name="常规 3 21 2" xfId="38558"/>
    <cellStyle name="常规 3 21 3" xfId="38559"/>
    <cellStyle name="常规 3 3" xfId="38560"/>
    <cellStyle name="常规 3 3 10" xfId="38561"/>
    <cellStyle name="常规 3 3 11" xfId="38562"/>
    <cellStyle name="常规 3 3 11 2" xfId="38563"/>
    <cellStyle name="常规 3 3 11 3" xfId="38564"/>
    <cellStyle name="常规 3 3 12" xfId="38565"/>
    <cellStyle name="常规 3 3 12 2" xfId="38566"/>
    <cellStyle name="常规 3 3 2" xfId="38567"/>
    <cellStyle name="常规 3 3 2 10" xfId="38568"/>
    <cellStyle name="常规 3 3 2 10 2" xfId="38569"/>
    <cellStyle name="常规 3 3 2 2" xfId="38570"/>
    <cellStyle name="常规 3 3 2 2 2" xfId="38571"/>
    <cellStyle name="常规 3 3 2 2 2 2" xfId="38572"/>
    <cellStyle name="常规 3 3 2 2 2 2 2" xfId="38573"/>
    <cellStyle name="常规 3 3 2 2 2 2 2 2" xfId="38574"/>
    <cellStyle name="常规 3 3 2 2 2 2 2 2 2" xfId="38575"/>
    <cellStyle name="常规 3 3 2 2 2 2 3" xfId="38576"/>
    <cellStyle name="常规 3 3 2 2 2 2 3 2" xfId="38577"/>
    <cellStyle name="常规 3 3 2 2 2 2 3 2 2" xfId="38578"/>
    <cellStyle name="常规 3 3 2 2 2 2 4" xfId="38579"/>
    <cellStyle name="常规 3 3 2 2 2 2 4 2" xfId="38580"/>
    <cellStyle name="常规 3 3 2 2 2 2 4 2 2" xfId="38581"/>
    <cellStyle name="常规 3 3 2 2 2 2 5" xfId="38582"/>
    <cellStyle name="常规 3 3 2 2 2 2 5 2" xfId="38583"/>
    <cellStyle name="常规 3 3 2 2 2 2 5 3" xfId="38584"/>
    <cellStyle name="常规 3 3 2 2 2 2 6" xfId="38585"/>
    <cellStyle name="常规 3 3 2 2 2 3" xfId="38586"/>
    <cellStyle name="常规 3 3 2 2 2 3 2" xfId="38587"/>
    <cellStyle name="常规 3 3 2 2 2 3 2 2" xfId="38588"/>
    <cellStyle name="常规 3 3 2 2 2 3 2 2 2" xfId="38589"/>
    <cellStyle name="常规 3 3 2 2 2 3 3" xfId="38590"/>
    <cellStyle name="常规 3 3 2 2 2 3 3 2" xfId="38591"/>
    <cellStyle name="常规 3 3 2 2 2 3 3 2 2" xfId="38592"/>
    <cellStyle name="常规 3 3 2 2 2 3 4" xfId="38593"/>
    <cellStyle name="常规 3 3 2 2 2 3 4 2" xfId="38594"/>
    <cellStyle name="常规 3 3 2 2 2 3 5" xfId="38595"/>
    <cellStyle name="常规 3 3 2 2 2 4" xfId="38596"/>
    <cellStyle name="常规 3 3 2 2 2 4 2" xfId="38597"/>
    <cellStyle name="常规 3 3 2 2 2 4 2 2" xfId="38598"/>
    <cellStyle name="常规 3 3 2 2 2 5" xfId="38599"/>
    <cellStyle name="常规 3 3 2 2 2 5 2" xfId="38600"/>
    <cellStyle name="常规 3 3 2 2 2 5 2 2" xfId="38601"/>
    <cellStyle name="常规 3 3 2 2 2 6" xfId="38602"/>
    <cellStyle name="常规 3 3 2 2 2 7" xfId="38603"/>
    <cellStyle name="常规 3 3 2 2 2 7 2" xfId="38604"/>
    <cellStyle name="常规 3 3 2 2 2 7 3" xfId="38605"/>
    <cellStyle name="常规 3 3 2 2 2 8" xfId="38606"/>
    <cellStyle name="常规 3 3 2 2 2 8 2" xfId="38607"/>
    <cellStyle name="常规 3 3 2 2 3" xfId="38608"/>
    <cellStyle name="常规 3 3 2 2 3 2" xfId="38609"/>
    <cellStyle name="常规 3 3 2 2 3 2 2" xfId="38610"/>
    <cellStyle name="常规 3 3 2 2 3 2 3" xfId="38611"/>
    <cellStyle name="常规 3 3 2 2 3 2 4" xfId="38612"/>
    <cellStyle name="常规 3 3 2 2 3 2 5" xfId="38613"/>
    <cellStyle name="常规 3 3 2 2 3 2 5 2" xfId="38614"/>
    <cellStyle name="常规 3 3 2 2 3 3" xfId="38615"/>
    <cellStyle name="常规 3 3 2 2 3 3 2" xfId="38616"/>
    <cellStyle name="常规 3 3 2 2 3 3 2 2" xfId="38617"/>
    <cellStyle name="常规 3 3 2 2 3 4" xfId="38618"/>
    <cellStyle name="常规 3 3 2 2 3 4 2" xfId="38619"/>
    <cellStyle name="常规 3 3 2 2 3 4 2 2" xfId="38620"/>
    <cellStyle name="常规 3 3 2 2 3 5" xfId="38621"/>
    <cellStyle name="常规 3 3 2 2 3 5 2" xfId="38622"/>
    <cellStyle name="常规 3 3 2 2 3 5 3" xfId="38623"/>
    <cellStyle name="常规 3 3 2 2 3 6" xfId="38624"/>
    <cellStyle name="常规 3 3 2 2 3 6 2" xfId="38625"/>
    <cellStyle name="常规 3 3 2 2 3 7" xfId="38626"/>
    <cellStyle name="常规 3 3 2 2 4" xfId="38627"/>
    <cellStyle name="常规 3 3 2 2 4 2" xfId="38628"/>
    <cellStyle name="常规 3 3 2 2 4 3" xfId="38629"/>
    <cellStyle name="常规 3 3 2 2 4 4" xfId="38630"/>
    <cellStyle name="常规 3 3 2 2 4 5" xfId="38631"/>
    <cellStyle name="常规 3 3 2 2 4 5 2" xfId="38632"/>
    <cellStyle name="常规 3 3 2 2 5" xfId="38633"/>
    <cellStyle name="常规 3 3 2 2 5 2" xfId="38634"/>
    <cellStyle name="常规 3 3 2 2 5 2 2" xfId="38635"/>
    <cellStyle name="常规 3 3 2 2 6" xfId="38636"/>
    <cellStyle name="常规 3 3 2 2 6 2" xfId="38637"/>
    <cellStyle name="常规 3 3 2 2 6 2 2" xfId="38638"/>
    <cellStyle name="常规 3 3 2 2 7" xfId="38639"/>
    <cellStyle name="常规 3 3 2 2 7 2" xfId="38640"/>
    <cellStyle name="常规 3 3 2 2 7 2 2" xfId="38641"/>
    <cellStyle name="常规 3 3 2 2 8" xfId="38642"/>
    <cellStyle name="常规 3 3 2 2 8 2" xfId="38643"/>
    <cellStyle name="常规 3 3 2 2 8 3" xfId="38644"/>
    <cellStyle name="常规 3 3 2 2 9" xfId="38645"/>
    <cellStyle name="常规 3 3 2 2 9 2" xfId="38646"/>
    <cellStyle name="常规 3 3 2 3" xfId="38647"/>
    <cellStyle name="常规 3 3 2 3 2" xfId="38648"/>
    <cellStyle name="常规 3 3 2 3 2 2" xfId="38649"/>
    <cellStyle name="常规 3 3 2 3 2 2 2" xfId="38650"/>
    <cellStyle name="常规 3 3 2 3 2 2 2 2" xfId="38651"/>
    <cellStyle name="常规 3 3 2 3 2 3" xfId="38652"/>
    <cellStyle name="常规 3 3 2 3 2 3 2" xfId="38653"/>
    <cellStyle name="常规 3 3 2 3 2 3 2 2" xfId="38654"/>
    <cellStyle name="常规 3 3 2 3 2 4" xfId="38655"/>
    <cellStyle name="常规 3 3 2 3 2 4 2" xfId="38656"/>
    <cellStyle name="常规 3 3 2 3 2 4 2 2" xfId="38657"/>
    <cellStyle name="常规 3 3 2 3 2 5" xfId="38658"/>
    <cellStyle name="常规 3 3 2 3 2 5 2" xfId="38659"/>
    <cellStyle name="常规 3 3 2 3 2 5 3" xfId="38660"/>
    <cellStyle name="常规 3 3 2 3 2 6" xfId="38661"/>
    <cellStyle name="常规 3 3 2 3 3" xfId="38662"/>
    <cellStyle name="常规 3 3 2 3 3 2" xfId="38663"/>
    <cellStyle name="常规 3 3 2 3 3 2 2" xfId="38664"/>
    <cellStyle name="常规 3 3 2 3 3 2 2 2" xfId="38665"/>
    <cellStyle name="常规 3 3 2 3 3 3" xfId="38666"/>
    <cellStyle name="常规 3 3 2 3 3 3 2" xfId="38667"/>
    <cellStyle name="常规 3 3 2 3 3 3 2 2" xfId="38668"/>
    <cellStyle name="常规 3 3 2 3 3 4" xfId="38669"/>
    <cellStyle name="常规 3 3 2 3 3 4 2" xfId="38670"/>
    <cellStyle name="常规 3 3 2 3 3 5" xfId="38671"/>
    <cellStyle name="常规 3 3 2 3 4" xfId="38672"/>
    <cellStyle name="常规 3 3 2 3 4 2" xfId="38673"/>
    <cellStyle name="常规 3 3 2 3 4 2 2" xfId="38674"/>
    <cellStyle name="常规 3 3 2 3 5" xfId="38675"/>
    <cellStyle name="常规 3 3 2 3 5 2" xfId="38676"/>
    <cellStyle name="常规 3 3 2 3 5 2 2" xfId="38677"/>
    <cellStyle name="常规 3 3 2 3 6" xfId="38678"/>
    <cellStyle name="常规 3 3 2 3 7" xfId="38679"/>
    <cellStyle name="常规 3 3 2 3 7 2" xfId="38680"/>
    <cellStyle name="常规 3 3 2 3 7 3" xfId="38681"/>
    <cellStyle name="常规 3 3 2 3 8" xfId="38682"/>
    <cellStyle name="常规 3 3 2 3 8 2" xfId="38683"/>
    <cellStyle name="常规 3 3 2 4" xfId="38684"/>
    <cellStyle name="常规 3 3 2 4 2" xfId="38685"/>
    <cellStyle name="常规 3 3 2 4 2 2" xfId="38686"/>
    <cellStyle name="常规 3 3 2 4 2 3" xfId="38687"/>
    <cellStyle name="常规 3 3 2 4 2 4" xfId="38688"/>
    <cellStyle name="常规 3 3 2 4 2 5" xfId="38689"/>
    <cellStyle name="常规 3 3 2 4 2 5 2" xfId="38690"/>
    <cellStyle name="常规 3 3 2 4 3" xfId="38691"/>
    <cellStyle name="常规 3 3 2 4 3 2" xfId="38692"/>
    <cellStyle name="常规 3 3 2 4 3 2 2" xfId="38693"/>
    <cellStyle name="常规 3 3 2 4 4" xfId="38694"/>
    <cellStyle name="常规 3 3 2 4 4 2" xfId="38695"/>
    <cellStyle name="常规 3 3 2 4 4 2 2" xfId="38696"/>
    <cellStyle name="常规 3 3 2 4 5" xfId="38697"/>
    <cellStyle name="常规 3 3 2 4 5 2" xfId="38698"/>
    <cellStyle name="常规 3 3 2 4 5 3" xfId="38699"/>
    <cellStyle name="常规 3 3 2 4 6" xfId="38700"/>
    <cellStyle name="常规 3 3 2 4 6 2" xfId="38701"/>
    <cellStyle name="常规 3 3 2 4 7" xfId="38702"/>
    <cellStyle name="常规 3 3 2 5" xfId="38703"/>
    <cellStyle name="常规 3 3 2 5 2" xfId="38704"/>
    <cellStyle name="常规 3 3 2 5 3" xfId="38705"/>
    <cellStyle name="常规 3 3 2 5 4" xfId="38706"/>
    <cellStyle name="常规 3 3 2 5 5" xfId="38707"/>
    <cellStyle name="常规 3 3 2 5 5 2" xfId="38708"/>
    <cellStyle name="常规 3 3 2 6" xfId="38709"/>
    <cellStyle name="常规 3 3 2 6 2" xfId="38710"/>
    <cellStyle name="常规 3 3 2 6 2 2" xfId="38711"/>
    <cellStyle name="常规 3 3 2 7" xfId="38712"/>
    <cellStyle name="常规 3 3 2 7 2" xfId="38713"/>
    <cellStyle name="常规 3 3 2 7 2 2" xfId="38714"/>
    <cellStyle name="常规 3 3 2 8" xfId="38715"/>
    <cellStyle name="常规 3 3 2 8 2" xfId="38716"/>
    <cellStyle name="常规 3 3 2 8 2 2" xfId="38717"/>
    <cellStyle name="常规 3 3 2 9" xfId="38718"/>
    <cellStyle name="常规 3 3 2 9 2" xfId="38719"/>
    <cellStyle name="常规 3 3 2 9 3" xfId="38720"/>
    <cellStyle name="常规 3 3 3" xfId="38721"/>
    <cellStyle name="常规 3 3 3 2" xfId="38722"/>
    <cellStyle name="常规 3 3 3 2 2" xfId="38723"/>
    <cellStyle name="常规 3 3 3 2 2 2" xfId="38724"/>
    <cellStyle name="常规 3 3 3 2 2 2 2" xfId="38725"/>
    <cellStyle name="常规 3 3 3 2 3" xfId="38726"/>
    <cellStyle name="常规 3 3 3 2 3 2" xfId="38727"/>
    <cellStyle name="常规 3 3 3 2 3 2 2" xfId="38728"/>
    <cellStyle name="常规 3 3 3 2 4" xfId="38729"/>
    <cellStyle name="常规 3 3 3 2 4 2" xfId="38730"/>
    <cellStyle name="常规 3 3 3 2 4 2 2" xfId="38731"/>
    <cellStyle name="常规 3 3 3 2 5" xfId="38732"/>
    <cellStyle name="常规 3 3 3 2 5 2" xfId="38733"/>
    <cellStyle name="常规 3 3 3 2 5 3" xfId="38734"/>
    <cellStyle name="常规 3 3 3 2 6" xfId="38735"/>
    <cellStyle name="常规 3 3 3 3" xfId="38736"/>
    <cellStyle name="常规 3 3 3 3 2" xfId="38737"/>
    <cellStyle name="常规 3 3 3 3 2 2" xfId="38738"/>
    <cellStyle name="常规 3 3 3 3 2 2 2" xfId="38739"/>
    <cellStyle name="常规 3 3 3 3 3" xfId="38740"/>
    <cellStyle name="常规 3 3 3 3 3 2" xfId="38741"/>
    <cellStyle name="常规 3 3 3 3 3 2 2" xfId="38742"/>
    <cellStyle name="常规 3 3 3 3 4" xfId="38743"/>
    <cellStyle name="常规 3 3 3 3 4 2" xfId="38744"/>
    <cellStyle name="常规 3 3 3 3 5" xfId="38745"/>
    <cellStyle name="常规 3 3 3 4" xfId="38746"/>
    <cellStyle name="常规 3 3 3 4 2" xfId="38747"/>
    <cellStyle name="常规 3 3 3 4 2 2" xfId="38748"/>
    <cellStyle name="常规 3 3 3 5" xfId="38749"/>
    <cellStyle name="常规 3 3 3 5 2" xfId="38750"/>
    <cellStyle name="常规 3 3 3 5 2 2" xfId="38751"/>
    <cellStyle name="常规 3 3 3 6" xfId="38752"/>
    <cellStyle name="常规 3 3 3 7" xfId="38753"/>
    <cellStyle name="常规 3 3 3 7 2" xfId="38754"/>
    <cellStyle name="常规 3 3 3 7 3" xfId="38755"/>
    <cellStyle name="常规 3 3 3 8" xfId="38756"/>
    <cellStyle name="常规 3 3 3 8 2" xfId="38757"/>
    <cellStyle name="常规 3 3 4" xfId="38758"/>
    <cellStyle name="常规 3 3 4 2" xfId="38759"/>
    <cellStyle name="常规 3 3 4 2 2" xfId="38760"/>
    <cellStyle name="常规 3 3 4 2 2 2" xfId="38761"/>
    <cellStyle name="常规 3 3 4 2 2 2 2" xfId="38762"/>
    <cellStyle name="常规 3 3 4 2 3" xfId="38763"/>
    <cellStyle name="常规 3 3 4 2 3 2" xfId="38764"/>
    <cellStyle name="常规 3 3 4 2 3 2 2" xfId="38765"/>
    <cellStyle name="常规 3 3 4 2 4" xfId="38766"/>
    <cellStyle name="常规 3 3 4 2 4 2" xfId="38767"/>
    <cellStyle name="常规 3 3 4 2 4 2 2" xfId="38768"/>
    <cellStyle name="常规 3 3 4 2 5" xfId="38769"/>
    <cellStyle name="常规 3 3 4 2 5 2" xfId="38770"/>
    <cellStyle name="常规 3 3 4 2 5 3" xfId="38771"/>
    <cellStyle name="常规 3 3 4 2 6" xfId="38772"/>
    <cellStyle name="常规 3 3 4 3" xfId="38773"/>
    <cellStyle name="常规 3 3 4 3 2" xfId="38774"/>
    <cellStyle name="常规 3 3 4 3 2 2" xfId="38775"/>
    <cellStyle name="常规 3 3 4 4" xfId="38776"/>
    <cellStyle name="常规 3 3 4 4 2" xfId="38777"/>
    <cellStyle name="常规 3 3 4 4 2 2" xfId="38778"/>
    <cellStyle name="常规 3 3 4 5" xfId="38779"/>
    <cellStyle name="常规 3 3 4 5 2" xfId="38780"/>
    <cellStyle name="常规 3 3 4 5 2 2" xfId="38781"/>
    <cellStyle name="常规 3 3 4 6" xfId="38782"/>
    <cellStyle name="常规 3 3 4 7" xfId="38783"/>
    <cellStyle name="常规 3 3 4 7 2" xfId="38784"/>
    <cellStyle name="常规 3 3 4 7 3" xfId="38785"/>
    <cellStyle name="常规 3 3 4 8" xfId="38786"/>
    <cellStyle name="常规 3 3 4 8 2" xfId="38787"/>
    <cellStyle name="常规 3 3 5" xfId="38788"/>
    <cellStyle name="常规 3 3 5 2" xfId="38789"/>
    <cellStyle name="常规 3 3 5 2 2" xfId="38790"/>
    <cellStyle name="常规 3 3 5 2 3" xfId="38791"/>
    <cellStyle name="常规 3 3 5 2 4" xfId="38792"/>
    <cellStyle name="常规 3 3 5 2 4 2" xfId="38793"/>
    <cellStyle name="常规 3 3 5 2 4 3" xfId="38794"/>
    <cellStyle name="常规 3 3 5 2 5" xfId="38795"/>
    <cellStyle name="常规 3 3 5 2 5 2" xfId="38796"/>
    <cellStyle name="常规 3 3 5 3" xfId="38797"/>
    <cellStyle name="常规 3 3 5 3 2" xfId="38798"/>
    <cellStyle name="常规 3 3 5 3 2 2" xfId="38799"/>
    <cellStyle name="常规 3 3 5 4" xfId="38800"/>
    <cellStyle name="常规 3 3 5 4 2" xfId="38801"/>
    <cellStyle name="常规 3 3 5 4 2 2" xfId="38802"/>
    <cellStyle name="常规 3 3 5 5" xfId="38803"/>
    <cellStyle name="常规 3 3 5 6" xfId="38804"/>
    <cellStyle name="常规 3 3 5 6 2" xfId="38805"/>
    <cellStyle name="常规 3 3 5 6 3" xfId="38806"/>
    <cellStyle name="常规 3 3 5 7" xfId="38807"/>
    <cellStyle name="常规 3 3 5 7 2" xfId="38808"/>
    <cellStyle name="常规 3 3 6" xfId="38809"/>
    <cellStyle name="常规 3 3 6 2" xfId="38810"/>
    <cellStyle name="常规 3 3 6 2 2" xfId="38811"/>
    <cellStyle name="常规 3 3 6 2 2 2" xfId="38812"/>
    <cellStyle name="常规 3 3 6 2 2 2 2" xfId="38813"/>
    <cellStyle name="常规 3 3 6 2 3" xfId="38814"/>
    <cellStyle name="常规 3 3 6 2 3 2" xfId="38815"/>
    <cellStyle name="常规 3 3 6 2 4" xfId="38816"/>
    <cellStyle name="常规 3 3 6 2 4 2" xfId="38817"/>
    <cellStyle name="常规 3 3 6 2 5" xfId="38818"/>
    <cellStyle name="常规 3 3 6 3" xfId="38819"/>
    <cellStyle name="常规 3 3 6 4" xfId="38820"/>
    <cellStyle name="常规 3 3 6 4 2" xfId="38821"/>
    <cellStyle name="常规 3 3 6 4 3" xfId="38822"/>
    <cellStyle name="常规 3 3 6 5" xfId="38823"/>
    <cellStyle name="常规 3 3 6 5 2" xfId="38824"/>
    <cellStyle name="常规 3 3 7" xfId="38825"/>
    <cellStyle name="常规 3 3 7 2" xfId="38826"/>
    <cellStyle name="常规 3 3 7 2 2" xfId="38827"/>
    <cellStyle name="常规 3 3 7 2 2 2" xfId="38828"/>
    <cellStyle name="常规 3 3 7 3" xfId="38829"/>
    <cellStyle name="常规 3 3 7 3 2" xfId="38830"/>
    <cellStyle name="常规 3 3 7 3 2 2" xfId="38831"/>
    <cellStyle name="常规 3 3 7 4" xfId="38832"/>
    <cellStyle name="常规 3 3 7 4 2" xfId="38833"/>
    <cellStyle name="常规 3 3 7 5" xfId="38834"/>
    <cellStyle name="常规 3 3 8" xfId="38835"/>
    <cellStyle name="常规 3 3 8 2" xfId="38836"/>
    <cellStyle name="常规 3 3 8 2 2" xfId="38837"/>
    <cellStyle name="常规 3 3 9" xfId="38838"/>
    <cellStyle name="常规 3 4" xfId="38839"/>
    <cellStyle name="常规 3 4 10" xfId="38840"/>
    <cellStyle name="常规 3 4 10 2" xfId="38841"/>
    <cellStyle name="常规 3 4 10 3" xfId="38842"/>
    <cellStyle name="常规 3 4 11" xfId="38843"/>
    <cellStyle name="常规 3 4 11 2" xfId="38844"/>
    <cellStyle name="常规 3 4 2" xfId="38845"/>
    <cellStyle name="常规 3 4 2 10" xfId="38846"/>
    <cellStyle name="常规 3 4 2 10 2" xfId="38847"/>
    <cellStyle name="常规 3 4 2 2" xfId="38848"/>
    <cellStyle name="常规 3 4 2 2 2" xfId="38849"/>
    <cellStyle name="常规 3 4 2 2 2 2" xfId="38850"/>
    <cellStyle name="常规 3 4 2 2 2 2 2" xfId="38851"/>
    <cellStyle name="常规 3 4 2 2 2 2 2 2" xfId="38852"/>
    <cellStyle name="常规 3 4 2 2 2 2 2 2 2" xfId="38853"/>
    <cellStyle name="常规 3 4 2 2 2 2 3" xfId="38854"/>
    <cellStyle name="常规 3 4 2 2 2 2 3 2" xfId="38855"/>
    <cellStyle name="常规 3 4 2 2 2 2 3 2 2" xfId="38856"/>
    <cellStyle name="常规 3 4 2 2 2 2 4" xfId="38857"/>
    <cellStyle name="常规 3 4 2 2 2 2 4 2" xfId="38858"/>
    <cellStyle name="常规 3 4 2 2 2 2 4 2 2" xfId="38859"/>
    <cellStyle name="常规 3 4 2 2 2 2 5" xfId="38860"/>
    <cellStyle name="常规 3 4 2 2 2 2 5 2" xfId="38861"/>
    <cellStyle name="常规 3 4 2 2 2 2 5 3" xfId="38862"/>
    <cellStyle name="常规 3 4 2 2 2 2 6" xfId="38863"/>
    <cellStyle name="常规 3 4 2 2 2 3" xfId="38864"/>
    <cellStyle name="常规 3 4 2 2 2 3 2" xfId="38865"/>
    <cellStyle name="常规 3 4 2 2 2 3 2 2" xfId="38866"/>
    <cellStyle name="常规 3 4 2 2 2 3 2 2 2" xfId="38867"/>
    <cellStyle name="常规 3 4 2 2 2 3 3" xfId="38868"/>
    <cellStyle name="常规 3 4 2 2 2 3 3 2" xfId="38869"/>
    <cellStyle name="常规 3 4 2 2 2 3 3 2 2" xfId="38870"/>
    <cellStyle name="常规 3 4 2 2 2 3 4" xfId="38871"/>
    <cellStyle name="常规 3 4 2 2 2 3 4 2" xfId="38872"/>
    <cellStyle name="常规 3 4 2 2 2 3 5" xfId="38873"/>
    <cellStyle name="常规 3 4 2 2 2 4" xfId="38874"/>
    <cellStyle name="常规 3 4 2 2 2 4 2" xfId="38875"/>
    <cellStyle name="常规 3 4 2 2 2 4 2 2" xfId="38876"/>
    <cellStyle name="常规 3 4 2 2 2 5" xfId="38877"/>
    <cellStyle name="常规 3 4 2 2 2 5 2" xfId="38878"/>
    <cellStyle name="常规 3 4 2 2 2 5 2 2" xfId="38879"/>
    <cellStyle name="常规 3 4 2 2 2 6" xfId="38880"/>
    <cellStyle name="常规 3 4 2 2 2 7" xfId="38881"/>
    <cellStyle name="常规 3 4 2 2 2 7 2" xfId="38882"/>
    <cellStyle name="常规 3 4 2 2 2 7 3" xfId="38883"/>
    <cellStyle name="常规 3 4 2 2 2 8" xfId="38884"/>
    <cellStyle name="常规 3 4 2 2 2 8 2" xfId="38885"/>
    <cellStyle name="常规 3 4 2 2 3" xfId="38886"/>
    <cellStyle name="常规 3 4 2 2 3 2" xfId="38887"/>
    <cellStyle name="常规 3 4 2 2 3 2 2" xfId="38888"/>
    <cellStyle name="常规 3 4 2 2 3 2 3" xfId="38889"/>
    <cellStyle name="常规 3 4 2 2 3 2 4" xfId="38890"/>
    <cellStyle name="常规 3 4 2 2 3 2 5" xfId="38891"/>
    <cellStyle name="常规 3 4 2 2 3 2 5 2" xfId="38892"/>
    <cellStyle name="常规 3 4 2 2 3 3" xfId="38893"/>
    <cellStyle name="常规 3 4 2 2 3 3 2" xfId="38894"/>
    <cellStyle name="常规 3 4 2 2 3 3 2 2" xfId="38895"/>
    <cellStyle name="常规 3 4 2 2 3 4" xfId="38896"/>
    <cellStyle name="常规 3 4 2 2 3 4 2" xfId="38897"/>
    <cellStyle name="常规 3 4 2 2 3 4 2 2" xfId="38898"/>
    <cellStyle name="常规 3 4 2 2 3 5" xfId="38899"/>
    <cellStyle name="常规 3 4 2 2 3 5 2" xfId="38900"/>
    <cellStyle name="常规 3 4 2 2 3 5 3" xfId="38901"/>
    <cellStyle name="常规 3 4 2 2 3 6" xfId="38902"/>
    <cellStyle name="常规 3 4 2 2 3 6 2" xfId="38903"/>
    <cellStyle name="常规 3 4 2 2 3 7" xfId="38904"/>
    <cellStyle name="常规 3 4 2 2 4" xfId="38905"/>
    <cellStyle name="常规 3 4 2 2 4 2" xfId="38906"/>
    <cellStyle name="常规 3 4 2 2 4 3" xfId="38907"/>
    <cellStyle name="常规 3 4 2 2 4 4" xfId="38908"/>
    <cellStyle name="常规 3 4 2 2 4 5" xfId="38909"/>
    <cellStyle name="常规 3 4 2 2 4 5 2" xfId="38910"/>
    <cellStyle name="常规 3 4 2 2 5" xfId="38911"/>
    <cellStyle name="常规 3 4 2 2 5 2" xfId="38912"/>
    <cellStyle name="常规 3 4 2 2 5 2 2" xfId="38913"/>
    <cellStyle name="常规 3 4 2 2 6" xfId="38914"/>
    <cellStyle name="常规 3 4 2 2 6 2" xfId="38915"/>
    <cellStyle name="常规 3 4 2 2 6 2 2" xfId="38916"/>
    <cellStyle name="常规 3 4 2 2 7" xfId="38917"/>
    <cellStyle name="常规 3 4 2 2 7 2" xfId="38918"/>
    <cellStyle name="常规 3 4 2 2 7 2 2" xfId="38919"/>
    <cellStyle name="常规 3 4 2 2 8" xfId="38920"/>
    <cellStyle name="常规 3 4 2 2 8 2" xfId="38921"/>
    <cellStyle name="常规 3 4 2 2 8 3" xfId="38922"/>
    <cellStyle name="常规 3 4 2 2 9" xfId="38923"/>
    <cellStyle name="常规 3 4 2 2 9 2" xfId="38924"/>
    <cellStyle name="常规 3 4 2 3" xfId="38925"/>
    <cellStyle name="常规 3 4 2 3 2" xfId="38926"/>
    <cellStyle name="常规 3 4 2 3 2 2" xfId="38927"/>
    <cellStyle name="常规 3 4 2 3 2 2 2" xfId="38928"/>
    <cellStyle name="常规 3 4 2 3 2 2 2 2" xfId="38929"/>
    <cellStyle name="常规 3 4 2 3 2 3" xfId="38930"/>
    <cellStyle name="常规 3 4 2 3 2 3 2" xfId="38931"/>
    <cellStyle name="常规 3 4 2 3 2 3 2 2" xfId="38932"/>
    <cellStyle name="常规 3 4 2 3 2 4" xfId="38933"/>
    <cellStyle name="常规 3 4 2 3 2 4 2" xfId="38934"/>
    <cellStyle name="常规 3 4 2 3 2 4 2 2" xfId="38935"/>
    <cellStyle name="常规 3 4 2 3 2 5" xfId="38936"/>
    <cellStyle name="常规 3 4 2 3 2 5 2" xfId="38937"/>
    <cellStyle name="常规 3 4 2 3 2 5 3" xfId="38938"/>
    <cellStyle name="常规 3 4 2 3 2 6" xfId="38939"/>
    <cellStyle name="常规 3 4 2 3 3" xfId="38940"/>
    <cellStyle name="常规 3 4 2 3 3 2" xfId="38941"/>
    <cellStyle name="常规 3 4 2 3 3 2 2" xfId="38942"/>
    <cellStyle name="常规 3 4 2 3 3 2 2 2" xfId="38943"/>
    <cellStyle name="常规 3 4 2 3 3 3" xfId="38944"/>
    <cellStyle name="常规 3 4 2 3 3 3 2" xfId="38945"/>
    <cellStyle name="常规 3 4 2 3 3 3 2 2" xfId="38946"/>
    <cellStyle name="常规 3 4 2 3 3 4" xfId="38947"/>
    <cellStyle name="常规 3 4 2 3 3 4 2" xfId="38948"/>
    <cellStyle name="常规 3 4 2 3 3 5" xfId="38949"/>
    <cellStyle name="常规 3 4 2 3 4" xfId="38950"/>
    <cellStyle name="常规 3 4 2 3 4 2" xfId="38951"/>
    <cellStyle name="常规 3 4 2 3 4 2 2" xfId="38952"/>
    <cellStyle name="常规 3 4 2 3 5" xfId="38953"/>
    <cellStyle name="常规 3 4 2 3 5 2" xfId="38954"/>
    <cellStyle name="常规 3 4 2 3 5 2 2" xfId="38955"/>
    <cellStyle name="常规 3 4 2 3 6" xfId="38956"/>
    <cellStyle name="常规 3 4 2 3 7" xfId="38957"/>
    <cellStyle name="常规 3 4 2 3 7 2" xfId="38958"/>
    <cellStyle name="常规 3 4 2 3 7 3" xfId="38959"/>
    <cellStyle name="常规 3 4 2 3 8" xfId="38960"/>
    <cellStyle name="常规 3 4 2 3 8 2" xfId="38961"/>
    <cellStyle name="常规 3 4 2 4" xfId="38962"/>
    <cellStyle name="常规 3 4 2 4 2" xfId="38963"/>
    <cellStyle name="常规 3 4 2 4 2 2" xfId="38964"/>
    <cellStyle name="常规 3 4 2 4 2 3" xfId="38965"/>
    <cellStyle name="常规 3 4 2 4 2 4" xfId="38966"/>
    <cellStyle name="常规 3 4 2 4 2 5" xfId="38967"/>
    <cellStyle name="常规 3 4 2 4 2 5 2" xfId="38968"/>
    <cellStyle name="常规 3 4 2 4 3" xfId="38969"/>
    <cellStyle name="常规 3 4 2 4 3 2" xfId="38970"/>
    <cellStyle name="常规 3 4 2 4 3 2 2" xfId="38971"/>
    <cellStyle name="常规 3 4 2 4 4" xfId="38972"/>
    <cellStyle name="常规 3 4 2 4 4 2" xfId="38973"/>
    <cellStyle name="常规 3 4 2 4 4 2 2" xfId="38974"/>
    <cellStyle name="常规 3 4 2 4 5" xfId="38975"/>
    <cellStyle name="常规 3 4 2 4 5 2" xfId="38976"/>
    <cellStyle name="常规 3 4 2 4 5 3" xfId="38977"/>
    <cellStyle name="常规 3 4 2 4 6" xfId="38978"/>
    <cellStyle name="常规 3 4 2 4 6 2" xfId="38979"/>
    <cellStyle name="常规 3 4 2 4 7" xfId="38980"/>
    <cellStyle name="常规 3 4 2 5" xfId="38981"/>
    <cellStyle name="常规 3 4 2 5 2" xfId="38982"/>
    <cellStyle name="常规 3 4 2 5 3" xfId="38983"/>
    <cellStyle name="常规 3 4 2 5 4" xfId="38984"/>
    <cellStyle name="常规 3 4 2 5 5" xfId="38985"/>
    <cellStyle name="常规 3 4 2 5 5 2" xfId="38986"/>
    <cellStyle name="常规 3 4 2 6" xfId="38987"/>
    <cellStyle name="常规 3 4 2 6 2" xfId="38988"/>
    <cellStyle name="常规 3 4 2 6 2 2" xfId="38989"/>
    <cellStyle name="常规 3 4 2 7" xfId="38990"/>
    <cellStyle name="常规 3 4 2 7 2" xfId="38991"/>
    <cellStyle name="常规 3 4 2 7 2 2" xfId="38992"/>
    <cellStyle name="常规 3 4 2 8" xfId="38993"/>
    <cellStyle name="常规 3 4 2 8 2" xfId="38994"/>
    <cellStyle name="常规 3 4 2 8 2 2" xfId="38995"/>
    <cellStyle name="常规 3 4 2 9" xfId="38996"/>
    <cellStyle name="常规 3 4 2 9 2" xfId="38997"/>
    <cellStyle name="常规 3 4 2 9 3" xfId="38998"/>
    <cellStyle name="常规 3 4 3" xfId="38999"/>
    <cellStyle name="常规 3 4 3 2" xfId="39000"/>
    <cellStyle name="常规 3 4 3 2 2" xfId="39001"/>
    <cellStyle name="常规 3 4 3 2 2 2" xfId="39002"/>
    <cellStyle name="常规 3 4 3 2 2 2 2" xfId="39003"/>
    <cellStyle name="常规 3 4 3 2 3" xfId="39004"/>
    <cellStyle name="常规 3 4 3 2 3 2" xfId="39005"/>
    <cellStyle name="常规 3 4 3 2 3 2 2" xfId="39006"/>
    <cellStyle name="常规 3 4 3 2 4" xfId="39007"/>
    <cellStyle name="常规 3 4 3 2 4 2" xfId="39008"/>
    <cellStyle name="常规 3 4 3 2 4 2 2" xfId="39009"/>
    <cellStyle name="常规 3 4 3 2 5" xfId="39010"/>
    <cellStyle name="常规 3 4 3 2 5 2" xfId="39011"/>
    <cellStyle name="常规 3 4 3 2 5 3" xfId="39012"/>
    <cellStyle name="常规 3 4 3 2 6" xfId="39013"/>
    <cellStyle name="常规 3 4 3 3" xfId="39014"/>
    <cellStyle name="常规 3 4 3 3 2" xfId="39015"/>
    <cellStyle name="常规 3 4 3 3 2 2" xfId="39016"/>
    <cellStyle name="常规 3 4 3 3 2 2 2" xfId="39017"/>
    <cellStyle name="常规 3 4 3 3 3" xfId="39018"/>
    <cellStyle name="常规 3 4 3 3 3 2" xfId="39019"/>
    <cellStyle name="常规 3 4 3 3 3 2 2" xfId="39020"/>
    <cellStyle name="常规 3 4 3 3 4" xfId="39021"/>
    <cellStyle name="常规 3 4 3 3 4 2" xfId="39022"/>
    <cellStyle name="常规 3 4 3 3 5" xfId="39023"/>
    <cellStyle name="常规 3 4 3 4" xfId="39024"/>
    <cellStyle name="常规 3 4 3 4 2" xfId="39025"/>
    <cellStyle name="常规 3 4 3 4 2 2" xfId="39026"/>
    <cellStyle name="常规 3 4 3 5" xfId="39027"/>
    <cellStyle name="常规 3 4 3 5 2" xfId="39028"/>
    <cellStyle name="常规 3 4 3 5 2 2" xfId="39029"/>
    <cellStyle name="常规 3 4 3 6" xfId="39030"/>
    <cellStyle name="常规 3 4 3 7" xfId="39031"/>
    <cellStyle name="常规 3 4 3 7 2" xfId="39032"/>
    <cellStyle name="常规 3 4 3 7 3" xfId="39033"/>
    <cellStyle name="常规 3 4 3 8" xfId="39034"/>
    <cellStyle name="常规 3 4 3 8 2" xfId="39035"/>
    <cellStyle name="常规 3 4 4" xfId="39036"/>
    <cellStyle name="常规 3 4 4 2" xfId="39037"/>
    <cellStyle name="常规 3 4 4 2 2" xfId="39038"/>
    <cellStyle name="常规 3 4 4 2 2 2" xfId="39039"/>
    <cellStyle name="常规 3 4 4 2 2 2 2" xfId="39040"/>
    <cellStyle name="常规 3 4 4 2 3" xfId="39041"/>
    <cellStyle name="常规 3 4 4 2 3 2" xfId="39042"/>
    <cellStyle name="常规 3 4 4 2 3 2 2" xfId="39043"/>
    <cellStyle name="常规 3 4 4 2 4" xfId="39044"/>
    <cellStyle name="常规 3 4 4 2 4 2" xfId="39045"/>
    <cellStyle name="常规 3 4 4 2 4 2 2" xfId="39046"/>
    <cellStyle name="常规 3 4 4 2 5" xfId="39047"/>
    <cellStyle name="常规 3 4 4 2 5 2" xfId="39048"/>
    <cellStyle name="常规 3 4 4 2 5 3" xfId="39049"/>
    <cellStyle name="常规 3 4 4 2 6" xfId="39050"/>
    <cellStyle name="常规 3 4 4 3" xfId="39051"/>
    <cellStyle name="常规 3 4 4 3 2" xfId="39052"/>
    <cellStyle name="常规 3 4 4 3 2 2" xfId="39053"/>
    <cellStyle name="常规 3 4 4 4" xfId="39054"/>
    <cellStyle name="常规 3 4 4 4 2" xfId="39055"/>
    <cellStyle name="常规 3 4 4 4 2 2" xfId="39056"/>
    <cellStyle name="常规 3 4 4 5" xfId="39057"/>
    <cellStyle name="常规 3 4 4 5 2" xfId="39058"/>
    <cellStyle name="常规 3 4 4 5 2 2" xfId="39059"/>
    <cellStyle name="常规 3 4 4 6" xfId="39060"/>
    <cellStyle name="常规 3 4 4 7" xfId="39061"/>
    <cellStyle name="常规 3 4 4 7 2" xfId="39062"/>
    <cellStyle name="常规 3 4 4 7 3" xfId="39063"/>
    <cellStyle name="常规 3 4 4 8" xfId="39064"/>
    <cellStyle name="常规 3 4 4 8 2" xfId="39065"/>
    <cellStyle name="常规 3 4 5" xfId="39066"/>
    <cellStyle name="常规 3 4 5 2" xfId="39067"/>
    <cellStyle name="常规 3 4 5 2 2" xfId="39068"/>
    <cellStyle name="常规 3 4 5 2 2 2" xfId="39069"/>
    <cellStyle name="常规 3 4 5 2 2 2 2" xfId="39070"/>
    <cellStyle name="常规 3 4 5 2 3" xfId="39071"/>
    <cellStyle name="常规 3 4 5 2 3 2" xfId="39072"/>
    <cellStyle name="常规 3 4 5 2 3 2 2" xfId="39073"/>
    <cellStyle name="常规 3 4 5 2 4" xfId="39074"/>
    <cellStyle name="常规 3 4 5 2 4 2" xfId="39075"/>
    <cellStyle name="常规 3 4 5 2 5" xfId="39076"/>
    <cellStyle name="常规 3 4 5 3" xfId="39077"/>
    <cellStyle name="常规 3 4 5 3 2" xfId="39078"/>
    <cellStyle name="常规 3 4 5 3 2 2" xfId="39079"/>
    <cellStyle name="常规 3 4 5 4" xfId="39080"/>
    <cellStyle name="常规 3 4 5 4 2" xfId="39081"/>
    <cellStyle name="常规 3 4 5 4 2 2" xfId="39082"/>
    <cellStyle name="常规 3 4 5 5" xfId="39083"/>
    <cellStyle name="常规 3 4 5 5 2" xfId="39084"/>
    <cellStyle name="常规 3 4 5 5 3" xfId="39085"/>
    <cellStyle name="常规 3 4 5 6" xfId="39086"/>
    <cellStyle name="常规 3 4 6" xfId="39087"/>
    <cellStyle name="常规 3 4 6 2" xfId="39088"/>
    <cellStyle name="常规 3 4 6 2 2" xfId="39089"/>
    <cellStyle name="常规 3 4 6 2 2 2" xfId="39090"/>
    <cellStyle name="常规 3 4 6 3" xfId="39091"/>
    <cellStyle name="常规 3 4 6 3 2" xfId="39092"/>
    <cellStyle name="常规 3 4 6 3 2 2" xfId="39093"/>
    <cellStyle name="常规 3 4 6 4" xfId="39094"/>
    <cellStyle name="常规 3 4 6 4 2" xfId="39095"/>
    <cellStyle name="常规 3 4 6 5" xfId="39096"/>
    <cellStyle name="常规 3 4 7" xfId="39097"/>
    <cellStyle name="常规 3 4 7 2" xfId="39098"/>
    <cellStyle name="常规 3 4 7 2 2" xfId="39099"/>
    <cellStyle name="常规 3 4 8" xfId="39100"/>
    <cellStyle name="常规 3 4 8 2" xfId="39101"/>
    <cellStyle name="常规 3 4 8 2 2" xfId="39102"/>
    <cellStyle name="常规 3 4 9" xfId="39103"/>
    <cellStyle name="常规 3 5" xfId="39104"/>
    <cellStyle name="常规 3 5 10" xfId="39105"/>
    <cellStyle name="常规 3 5 10 2" xfId="39106"/>
    <cellStyle name="常规 3 5 2" xfId="39107"/>
    <cellStyle name="常规 3 5 2 10" xfId="39108"/>
    <cellStyle name="常规 3 5 2 10 2" xfId="39109"/>
    <cellStyle name="常规 3 5 2 2" xfId="39110"/>
    <cellStyle name="常规 3 5 2 2 2" xfId="39111"/>
    <cellStyle name="常规 3 5 2 2 2 2" xfId="39112"/>
    <cellStyle name="常规 3 5 2 2 2 2 2" xfId="39113"/>
    <cellStyle name="常规 3 5 2 2 2 2 2 2" xfId="39114"/>
    <cellStyle name="常规 3 5 2 2 2 2 2 2 2" xfId="39115"/>
    <cellStyle name="常规 3 5 2 2 2 2 3" xfId="39116"/>
    <cellStyle name="常规 3 5 2 2 2 2 3 2" xfId="39117"/>
    <cellStyle name="常规 3 5 2 2 2 2 3 2 2" xfId="39118"/>
    <cellStyle name="常规 3 5 2 2 2 2 4" xfId="39119"/>
    <cellStyle name="常规 3 5 2 2 2 2 4 2" xfId="39120"/>
    <cellStyle name="常规 3 5 2 2 2 2 4 2 2" xfId="39121"/>
    <cellStyle name="常规 3 5 2 2 2 2 5" xfId="39122"/>
    <cellStyle name="常规 3 5 2 2 2 2 5 2" xfId="39123"/>
    <cellStyle name="常规 3 5 2 2 2 2 5 3" xfId="39124"/>
    <cellStyle name="常规 3 5 2 2 2 2 6" xfId="39125"/>
    <cellStyle name="常规 3 5 2 2 2 3" xfId="39126"/>
    <cellStyle name="常规 3 5 2 2 2 3 2" xfId="39127"/>
    <cellStyle name="常规 3 5 2 2 2 3 2 2" xfId="39128"/>
    <cellStyle name="常规 3 5 2 2 2 3 2 2 2" xfId="39129"/>
    <cellStyle name="常规 3 5 2 2 2 3 3" xfId="39130"/>
    <cellStyle name="常规 3 5 2 2 2 3 3 2" xfId="39131"/>
    <cellStyle name="常规 3 5 2 2 2 3 3 2 2" xfId="39132"/>
    <cellStyle name="常规 3 5 2 2 2 3 4" xfId="39133"/>
    <cellStyle name="常规 3 5 2 2 2 3 4 2" xfId="39134"/>
    <cellStyle name="常规 3 5 2 2 2 3 5" xfId="39135"/>
    <cellStyle name="常规 3 5 2 2 2 4" xfId="39136"/>
    <cellStyle name="常规 3 5 2 2 2 4 2" xfId="39137"/>
    <cellStyle name="常规 3 5 2 2 2 4 2 2" xfId="39138"/>
    <cellStyle name="常规 3 5 2 2 2 5" xfId="39139"/>
    <cellStyle name="常规 3 5 2 2 2 5 2" xfId="39140"/>
    <cellStyle name="常规 3 5 2 2 2 5 2 2" xfId="39141"/>
    <cellStyle name="常规 3 5 2 2 2 6" xfId="39142"/>
    <cellStyle name="常规 3 5 2 2 2 7" xfId="39143"/>
    <cellStyle name="常规 3 5 2 2 2 7 2" xfId="39144"/>
    <cellStyle name="常规 3 5 2 2 2 7 3" xfId="39145"/>
    <cellStyle name="常规 3 5 2 2 2 8" xfId="39146"/>
    <cellStyle name="常规 3 5 2 2 2 8 2" xfId="39147"/>
    <cellStyle name="常规 3 5 2 2 3" xfId="39148"/>
    <cellStyle name="常规 3 5 2 2 3 2" xfId="39149"/>
    <cellStyle name="常规 3 5 2 2 3 2 2" xfId="39150"/>
    <cellStyle name="常规 3 5 2 2 3 2 3" xfId="39151"/>
    <cellStyle name="常规 3 5 2 2 3 2 4" xfId="39152"/>
    <cellStyle name="常规 3 5 2 2 3 2 5" xfId="39153"/>
    <cellStyle name="常规 3 5 2 2 3 2 5 2" xfId="39154"/>
    <cellStyle name="常规 3 5 2 2 3 3" xfId="39155"/>
    <cellStyle name="常规 3 5 2 2 3 3 2" xfId="39156"/>
    <cellStyle name="常规 3 5 2 2 3 3 2 2" xfId="39157"/>
    <cellStyle name="常规 3 5 2 2 3 4" xfId="39158"/>
    <cellStyle name="常规 3 5 2 2 3 4 2" xfId="39159"/>
    <cellStyle name="常规 3 5 2 2 3 4 2 2" xfId="39160"/>
    <cellStyle name="常规 3 5 2 2 3 5" xfId="39161"/>
    <cellStyle name="常规 3 5 2 2 3 5 2" xfId="39162"/>
    <cellStyle name="常规 3 5 2 2 3 5 3" xfId="39163"/>
    <cellStyle name="常规 3 5 2 2 3 6" xfId="39164"/>
    <cellStyle name="常规 3 5 2 2 3 6 2" xfId="39165"/>
    <cellStyle name="常规 3 5 2 2 3 7" xfId="39166"/>
    <cellStyle name="常规 3 5 2 2 4" xfId="39167"/>
    <cellStyle name="常规 3 5 2 2 4 2" xfId="39168"/>
    <cellStyle name="常规 3 5 2 2 4 3" xfId="39169"/>
    <cellStyle name="常规 3 5 2 2 4 4" xfId="39170"/>
    <cellStyle name="常规 3 5 2 2 4 5" xfId="39171"/>
    <cellStyle name="常规 3 5 2 2 4 5 2" xfId="39172"/>
    <cellStyle name="常规 3 5 2 2 5" xfId="39173"/>
    <cellStyle name="常规 3 5 2 2 5 2" xfId="39174"/>
    <cellStyle name="常规 3 5 2 2 5 2 2" xfId="39175"/>
    <cellStyle name="常规 3 5 2 2 6" xfId="39176"/>
    <cellStyle name="常规 3 5 2 2 6 2" xfId="39177"/>
    <cellStyle name="常规 3 5 2 2 6 2 2" xfId="39178"/>
    <cellStyle name="常规 3 5 2 2 7" xfId="39179"/>
    <cellStyle name="常规 3 5 2 2 7 2" xfId="39180"/>
    <cellStyle name="常规 3 5 2 2 7 2 2" xfId="39181"/>
    <cellStyle name="常规 3 5 2 2 8" xfId="39182"/>
    <cellStyle name="常规 3 5 2 2 8 2" xfId="39183"/>
    <cellStyle name="常规 3 5 2 2 8 3" xfId="39184"/>
    <cellStyle name="常规 3 5 2 2 9" xfId="39185"/>
    <cellStyle name="常规 3 5 2 2 9 2" xfId="39186"/>
    <cellStyle name="常规 3 5 2 3" xfId="39187"/>
    <cellStyle name="常规 3 5 2 3 2" xfId="39188"/>
    <cellStyle name="常规 3 5 2 3 2 2" xfId="39189"/>
    <cellStyle name="常规 3 5 2 3 2 2 2" xfId="39190"/>
    <cellStyle name="常规 3 5 2 3 2 2 2 2" xfId="39191"/>
    <cellStyle name="常规 3 5 2 3 2 3" xfId="39192"/>
    <cellStyle name="常规 3 5 2 3 2 3 2" xfId="39193"/>
    <cellStyle name="常规 3 5 2 3 2 3 2 2" xfId="39194"/>
    <cellStyle name="常规 3 5 2 3 2 4" xfId="39195"/>
    <cellStyle name="常规 3 5 2 3 2 4 2" xfId="39196"/>
    <cellStyle name="常规 3 5 2 3 2 4 2 2" xfId="39197"/>
    <cellStyle name="常规 3 5 2 3 2 5" xfId="39198"/>
    <cellStyle name="常规 3 5 2 3 2 5 2" xfId="39199"/>
    <cellStyle name="常规 3 5 2 3 2 5 3" xfId="39200"/>
    <cellStyle name="常规 3 5 2 3 2 6" xfId="39201"/>
    <cellStyle name="常规 3 5 2 3 3" xfId="39202"/>
    <cellStyle name="常规 3 5 2 3 3 2" xfId="39203"/>
    <cellStyle name="常规 3 5 2 3 3 2 2" xfId="39204"/>
    <cellStyle name="常规 3 5 2 3 3 2 2 2" xfId="39205"/>
    <cellStyle name="常规 3 5 2 3 3 3" xfId="39206"/>
    <cellStyle name="常规 3 5 2 3 3 3 2" xfId="39207"/>
    <cellStyle name="常规 3 5 2 3 3 3 2 2" xfId="39208"/>
    <cellStyle name="常规 3 5 2 3 3 4" xfId="39209"/>
    <cellStyle name="常规 3 5 2 3 3 4 2" xfId="39210"/>
    <cellStyle name="常规 3 5 2 3 3 5" xfId="39211"/>
    <cellStyle name="常规 3 5 2 3 4" xfId="39212"/>
    <cellStyle name="常规 3 5 2 3 4 2" xfId="39213"/>
    <cellStyle name="常规 3 5 2 3 4 2 2" xfId="39214"/>
    <cellStyle name="常规 3 5 2 3 5" xfId="39215"/>
    <cellStyle name="常规 3 5 2 3 5 2" xfId="39216"/>
    <cellStyle name="常规 3 5 2 3 5 2 2" xfId="39217"/>
    <cellStyle name="常规 3 5 2 3 6" xfId="39218"/>
    <cellStyle name="常规 3 5 2 3 7" xfId="39219"/>
    <cellStyle name="常规 3 5 2 3 7 2" xfId="39220"/>
    <cellStyle name="常规 3 5 2 3 7 3" xfId="39221"/>
    <cellStyle name="常规 3 5 2 3 8" xfId="39222"/>
    <cellStyle name="常规 3 5 2 3 8 2" xfId="39223"/>
    <cellStyle name="常规 3 5 2 4" xfId="39224"/>
    <cellStyle name="常规 3 5 2 4 2" xfId="39225"/>
    <cellStyle name="常规 3 5 2 4 2 2" xfId="39226"/>
    <cellStyle name="常规 3 5 2 4 2 3" xfId="39227"/>
    <cellStyle name="常规 3 5 2 4 2 4" xfId="39228"/>
    <cellStyle name="常规 3 5 2 4 2 5" xfId="39229"/>
    <cellStyle name="常规 3 5 2 4 2 5 2" xfId="39230"/>
    <cellStyle name="常规 3 5 2 4 3" xfId="39231"/>
    <cellStyle name="常规 3 5 2 4 3 2" xfId="39232"/>
    <cellStyle name="常规 3 5 2 4 3 2 2" xfId="39233"/>
    <cellStyle name="常规 3 5 2 4 4" xfId="39234"/>
    <cellStyle name="常规 3 5 2 4 4 2" xfId="39235"/>
    <cellStyle name="常规 3 5 2 4 4 2 2" xfId="39236"/>
    <cellStyle name="常规 3 5 2 4 5" xfId="39237"/>
    <cellStyle name="常规 3 5 2 4 5 2" xfId="39238"/>
    <cellStyle name="常规 3 5 2 4 5 3" xfId="39239"/>
    <cellStyle name="常规 3 5 2 4 6" xfId="39240"/>
    <cellStyle name="常规 3 5 2 4 6 2" xfId="39241"/>
    <cellStyle name="常规 3 5 2 4 7" xfId="39242"/>
    <cellStyle name="常规 3 5 2 5" xfId="39243"/>
    <cellStyle name="常规 3 5 2 5 2" xfId="39244"/>
    <cellStyle name="常规 3 5 2 5 3" xfId="39245"/>
    <cellStyle name="常规 3 5 2 5 4" xfId="39246"/>
    <cellStyle name="常规 3 5 2 5 5" xfId="39247"/>
    <cellStyle name="常规 3 5 2 5 5 2" xfId="39248"/>
    <cellStyle name="常规 3 5 2 6" xfId="39249"/>
    <cellStyle name="常规 3 5 2 6 2" xfId="39250"/>
    <cellStyle name="常规 3 5 2 6 2 2" xfId="39251"/>
    <cellStyle name="常规 3 5 2 7" xfId="39252"/>
    <cellStyle name="常规 3 5 2 7 2" xfId="39253"/>
    <cellStyle name="常规 3 5 2 7 2 2" xfId="39254"/>
    <cellStyle name="常规 3 5 2 8" xfId="39255"/>
    <cellStyle name="常规 3 5 2 8 2" xfId="39256"/>
    <cellStyle name="常规 3 5 2 8 2 2" xfId="39257"/>
    <cellStyle name="常规 3 5 2 9" xfId="39258"/>
    <cellStyle name="常规 3 5 2 9 2" xfId="39259"/>
    <cellStyle name="常规 3 5 2 9 3" xfId="39260"/>
    <cellStyle name="常规 3 5 3" xfId="39261"/>
    <cellStyle name="常规 3 5 3 2" xfId="39262"/>
    <cellStyle name="常规 3 5 3 2 2" xfId="39263"/>
    <cellStyle name="常规 3 5 3 2 2 2" xfId="39264"/>
    <cellStyle name="常规 3 5 3 2 2 2 2" xfId="39265"/>
    <cellStyle name="常规 3 5 3 2 3" xfId="39266"/>
    <cellStyle name="常规 3 5 3 2 3 2" xfId="39267"/>
    <cellStyle name="常规 3 5 3 2 3 2 2" xfId="39268"/>
    <cellStyle name="常规 3 5 3 2 4" xfId="39269"/>
    <cellStyle name="常规 3 5 3 2 4 2" xfId="39270"/>
    <cellStyle name="常规 3 5 3 2 4 2 2" xfId="39271"/>
    <cellStyle name="常规 3 5 3 2 5" xfId="39272"/>
    <cellStyle name="常规 3 5 3 2 5 2" xfId="39273"/>
    <cellStyle name="常规 3 5 3 2 5 3" xfId="39274"/>
    <cellStyle name="常规 3 5 3 2 6" xfId="39275"/>
    <cellStyle name="常规 3 5 3 3" xfId="39276"/>
    <cellStyle name="常规 3 5 3 3 2" xfId="39277"/>
    <cellStyle name="常规 3 5 3 3 2 2" xfId="39278"/>
    <cellStyle name="常规 3 5 3 3 2 2 2" xfId="39279"/>
    <cellStyle name="常规 3 5 3 3 3" xfId="39280"/>
    <cellStyle name="常规 3 5 3 3 3 2" xfId="39281"/>
    <cellStyle name="常规 3 5 3 3 3 2 2" xfId="39282"/>
    <cellStyle name="常规 3 5 3 3 4" xfId="39283"/>
    <cellStyle name="常规 3 5 3 3 4 2" xfId="39284"/>
    <cellStyle name="常规 3 5 3 3 5" xfId="39285"/>
    <cellStyle name="常规 3 5 3 4" xfId="39286"/>
    <cellStyle name="常规 3 5 3 4 2" xfId="39287"/>
    <cellStyle name="常规 3 5 3 4 2 2" xfId="39288"/>
    <cellStyle name="常规 3 5 3 5" xfId="39289"/>
    <cellStyle name="常规 3 5 3 5 2" xfId="39290"/>
    <cellStyle name="常规 3 5 3 5 2 2" xfId="39291"/>
    <cellStyle name="常规 3 5 3 6" xfId="39292"/>
    <cellStyle name="常规 3 5 3 7" xfId="39293"/>
    <cellStyle name="常规 3 5 3 7 2" xfId="39294"/>
    <cellStyle name="常规 3 5 3 7 3" xfId="39295"/>
    <cellStyle name="常规 3 5 3 8" xfId="39296"/>
    <cellStyle name="常规 3 5 3 8 2" xfId="39297"/>
    <cellStyle name="常规 3 5 4" xfId="39298"/>
    <cellStyle name="常规 3 5 4 2" xfId="39299"/>
    <cellStyle name="常规 3 5 4 2 2" xfId="39300"/>
    <cellStyle name="常规 3 5 4 2 2 2" xfId="39301"/>
    <cellStyle name="常规 3 5 4 2 2 2 2" xfId="39302"/>
    <cellStyle name="常规 3 5 4 2 3" xfId="39303"/>
    <cellStyle name="常规 3 5 4 2 3 2" xfId="39304"/>
    <cellStyle name="常规 3 5 4 2 3 2 2" xfId="39305"/>
    <cellStyle name="常规 3 5 4 2 4" xfId="39306"/>
    <cellStyle name="常规 3 5 4 2 4 2" xfId="39307"/>
    <cellStyle name="常规 3 5 4 2 4 2 2" xfId="39308"/>
    <cellStyle name="常规 3 5 4 2 5" xfId="39309"/>
    <cellStyle name="常规 3 5 4 2 5 2" xfId="39310"/>
    <cellStyle name="常规 3 5 4 2 5 3" xfId="39311"/>
    <cellStyle name="常规 3 5 4 2 6" xfId="39312"/>
    <cellStyle name="常规 3 5 4 3" xfId="39313"/>
    <cellStyle name="常规 3 5 4 3 2" xfId="39314"/>
    <cellStyle name="常规 3 5 4 3 2 2" xfId="39315"/>
    <cellStyle name="常规 3 5 4 4" xfId="39316"/>
    <cellStyle name="常规 3 5 4 4 2" xfId="39317"/>
    <cellStyle name="常规 3 5 4 4 2 2" xfId="39318"/>
    <cellStyle name="常规 3 5 4 5" xfId="39319"/>
    <cellStyle name="常规 3 5 4 5 2" xfId="39320"/>
    <cellStyle name="常规 3 5 4 5 2 2" xfId="39321"/>
    <cellStyle name="常规 3 5 4 6" xfId="39322"/>
    <cellStyle name="常规 3 5 4 7" xfId="39323"/>
    <cellStyle name="常规 3 5 4 7 2" xfId="39324"/>
    <cellStyle name="常规 3 5 4 7 3" xfId="39325"/>
    <cellStyle name="常规 3 5 4 8" xfId="39326"/>
    <cellStyle name="常规 3 5 4 8 2" xfId="39327"/>
    <cellStyle name="常规 3 5 5" xfId="39328"/>
    <cellStyle name="常规 3 5 5 2" xfId="39329"/>
    <cellStyle name="常规 3 5 5 2 2" xfId="39330"/>
    <cellStyle name="常规 3 5 5 2 2 2" xfId="39331"/>
    <cellStyle name="常规 3 5 5 2 2 2 2" xfId="39332"/>
    <cellStyle name="常规 3 5 5 2 3" xfId="39333"/>
    <cellStyle name="常规 3 5 5 2 3 2" xfId="39334"/>
    <cellStyle name="常规 3 5 5 2 3 2 2" xfId="39335"/>
    <cellStyle name="常规 3 5 5 2 4" xfId="39336"/>
    <cellStyle name="常规 3 5 5 2 4 2" xfId="39337"/>
    <cellStyle name="常规 3 5 5 2 5" xfId="39338"/>
    <cellStyle name="常规 3 5 5 3" xfId="39339"/>
    <cellStyle name="常规 3 5 5 3 2" xfId="39340"/>
    <cellStyle name="常规 3 5 5 3 2 2" xfId="39341"/>
    <cellStyle name="常规 3 5 5 4" xfId="39342"/>
    <cellStyle name="常规 3 5 5 4 2" xfId="39343"/>
    <cellStyle name="常规 3 5 5 4 2 2" xfId="39344"/>
    <cellStyle name="常规 3 5 5 5" xfId="39345"/>
    <cellStyle name="常规 3 5 5 5 2" xfId="39346"/>
    <cellStyle name="常规 3 5 5 5 3" xfId="39347"/>
    <cellStyle name="常规 3 5 5 6" xfId="39348"/>
    <cellStyle name="常规 3 5 6" xfId="39349"/>
    <cellStyle name="常规 3 5 6 2" xfId="39350"/>
    <cellStyle name="常规 3 5 6 2 2" xfId="39351"/>
    <cellStyle name="常规 3 5 6 2 2 2" xfId="39352"/>
    <cellStyle name="常规 3 5 6 3" xfId="39353"/>
    <cellStyle name="常规 3 5 6 3 2" xfId="39354"/>
    <cellStyle name="常规 3 5 6 3 2 2" xfId="39355"/>
    <cellStyle name="常规 3 5 6 4" xfId="39356"/>
    <cellStyle name="常规 3 5 6 4 2" xfId="39357"/>
    <cellStyle name="常规 3 5 6 5" xfId="39358"/>
    <cellStyle name="常规 3 5 7" xfId="39359"/>
    <cellStyle name="常规 3 5 7 2" xfId="39360"/>
    <cellStyle name="常规 3 5 7 2 2" xfId="39361"/>
    <cellStyle name="常规 3 5 8" xfId="39362"/>
    <cellStyle name="常规 3 5 8 2" xfId="39363"/>
    <cellStyle name="常规 3 5 8 2 2" xfId="39364"/>
    <cellStyle name="常规 3 5 9" xfId="39365"/>
    <cellStyle name="常规 3 5 9 2" xfId="39366"/>
    <cellStyle name="常规 3 5 9 3" xfId="39367"/>
    <cellStyle name="常规 3 6" xfId="39368"/>
    <cellStyle name="常规 3 6 10" xfId="39369"/>
    <cellStyle name="常规 3 6 10 2" xfId="39370"/>
    <cellStyle name="常规 3 6 10 3" xfId="39371"/>
    <cellStyle name="常规 3 6 11" xfId="39372"/>
    <cellStyle name="常规 3 6 11 2" xfId="39373"/>
    <cellStyle name="常规 3 6 2" xfId="39374"/>
    <cellStyle name="常规 3 6 2 10" xfId="39375"/>
    <cellStyle name="常规 3 6 2 10 2" xfId="39376"/>
    <cellStyle name="常规 3 6 2 2" xfId="39377"/>
    <cellStyle name="常规 3 6 2 2 2" xfId="39378"/>
    <cellStyle name="常规 3 6 2 2 2 2" xfId="39379"/>
    <cellStyle name="常规 3 6 2 2 2 2 2" xfId="39380"/>
    <cellStyle name="常规 3 6 2 2 2 2 2 2" xfId="39381"/>
    <cellStyle name="常规 3 6 2 2 2 2 2 2 2" xfId="39382"/>
    <cellStyle name="常规 3 6 2 2 2 2 3" xfId="39383"/>
    <cellStyle name="常规 3 6 2 2 2 2 3 2" xfId="39384"/>
    <cellStyle name="常规 3 6 2 2 2 2 3 2 2" xfId="39385"/>
    <cellStyle name="常规 3 6 2 2 2 2 4" xfId="39386"/>
    <cellStyle name="常规 3 6 2 2 2 2 4 2" xfId="39387"/>
    <cellStyle name="常规 3 6 2 2 2 2 4 2 2" xfId="39388"/>
    <cellStyle name="常规 3 6 2 2 2 2 5" xfId="39389"/>
    <cellStyle name="常规 3 6 2 2 2 2 5 2" xfId="39390"/>
    <cellStyle name="常规 3 6 2 2 2 2 5 3" xfId="39391"/>
    <cellStyle name="常规 3 6 2 2 2 2 6" xfId="39392"/>
    <cellStyle name="常规 3 6 2 2 2 3" xfId="39393"/>
    <cellStyle name="常规 3 6 2 2 2 3 2" xfId="39394"/>
    <cellStyle name="常规 3 6 2 2 2 3 2 2" xfId="39395"/>
    <cellStyle name="常规 3 6 2 2 2 3 2 2 2" xfId="39396"/>
    <cellStyle name="常规 3 6 2 2 2 3 3" xfId="39397"/>
    <cellStyle name="常规 3 6 2 2 2 3 3 2" xfId="39398"/>
    <cellStyle name="常规 3 6 2 2 2 3 3 2 2" xfId="39399"/>
    <cellStyle name="常规 3 6 2 2 2 3 4" xfId="39400"/>
    <cellStyle name="常规 3 6 2 2 2 3 4 2" xfId="39401"/>
    <cellStyle name="常规 3 6 2 2 2 3 5" xfId="39402"/>
    <cellStyle name="常规 3 6 2 2 2 4" xfId="39403"/>
    <cellStyle name="常规 3 6 2 2 2 4 2" xfId="39404"/>
    <cellStyle name="常规 3 6 2 2 2 4 2 2" xfId="39405"/>
    <cellStyle name="常规 3 6 2 2 2 5" xfId="39406"/>
    <cellStyle name="常规 3 6 2 2 2 5 2" xfId="39407"/>
    <cellStyle name="常规 3 6 2 2 2 5 2 2" xfId="39408"/>
    <cellStyle name="常规 3 6 2 2 2 6" xfId="39409"/>
    <cellStyle name="常规 3 6 2 2 2 7" xfId="39410"/>
    <cellStyle name="常规 3 6 2 2 2 7 2" xfId="39411"/>
    <cellStyle name="常规 3 6 2 2 2 7 3" xfId="39412"/>
    <cellStyle name="常规 3 6 2 2 2 8" xfId="39413"/>
    <cellStyle name="常规 3 6 2 2 2 8 2" xfId="39414"/>
    <cellStyle name="常规 3 6 2 2 3" xfId="39415"/>
    <cellStyle name="常规 3 6 2 2 3 2" xfId="39416"/>
    <cellStyle name="常规 3 6 2 2 3 2 2" xfId="39417"/>
    <cellStyle name="常规 3 6 2 2 3 2 3" xfId="39418"/>
    <cellStyle name="常规 3 6 2 2 3 2 4" xfId="39419"/>
    <cellStyle name="常规 3 6 2 2 3 2 5" xfId="39420"/>
    <cellStyle name="常规 3 6 2 2 3 2 5 2" xfId="39421"/>
    <cellStyle name="常规 3 6 2 2 3 3" xfId="39422"/>
    <cellStyle name="常规 3 6 2 2 3 3 2" xfId="39423"/>
    <cellStyle name="常规 3 6 2 2 3 3 2 2" xfId="39424"/>
    <cellStyle name="常规 3 6 2 2 3 4" xfId="39425"/>
    <cellStyle name="常规 3 6 2 2 3 4 2" xfId="39426"/>
    <cellStyle name="常规 3 6 2 2 3 4 2 2" xfId="39427"/>
    <cellStyle name="常规 3 6 2 2 3 5" xfId="39428"/>
    <cellStyle name="常规 3 6 2 2 3 5 2" xfId="39429"/>
    <cellStyle name="常规 3 6 2 2 3 5 3" xfId="39430"/>
    <cellStyle name="常规 3 6 2 2 3 6" xfId="39431"/>
    <cellStyle name="常规 3 6 2 2 3 6 2" xfId="39432"/>
    <cellStyle name="常规 3 6 2 2 3 7" xfId="39433"/>
    <cellStyle name="常规 3 6 2 2 4" xfId="39434"/>
    <cellStyle name="常规 3 6 2 2 4 2" xfId="39435"/>
    <cellStyle name="常规 3 6 2 2 4 3" xfId="39436"/>
    <cellStyle name="常规 3 6 2 2 4 4" xfId="39437"/>
    <cellStyle name="常规 3 6 2 2 4 5" xfId="39438"/>
    <cellStyle name="常规 3 6 2 2 4 5 2" xfId="39439"/>
    <cellStyle name="常规 3 6 2 2 5" xfId="39440"/>
    <cellStyle name="常规 3 6 2 2 5 2" xfId="39441"/>
    <cellStyle name="常规 3 6 2 2 5 2 2" xfId="39442"/>
    <cellStyle name="常规 3 6 2 2 6" xfId="39443"/>
    <cellStyle name="常规 3 6 2 2 6 2" xfId="39444"/>
    <cellStyle name="常规 3 6 2 2 6 2 2" xfId="39445"/>
    <cellStyle name="常规 3 6 2 2 7" xfId="39446"/>
    <cellStyle name="常规 3 6 2 2 7 2" xfId="39447"/>
    <cellStyle name="常规 3 6 2 2 7 2 2" xfId="39448"/>
    <cellStyle name="常规 3 6 2 2 8" xfId="39449"/>
    <cellStyle name="常规 3 6 2 2 8 2" xfId="39450"/>
    <cellStyle name="常规 3 6 2 2 8 3" xfId="39451"/>
    <cellStyle name="常规 3 6 2 2 9" xfId="39452"/>
    <cellStyle name="常规 3 6 2 2 9 2" xfId="39453"/>
    <cellStyle name="常规 3 6 2 3" xfId="39454"/>
    <cellStyle name="常规 3 6 2 3 2" xfId="39455"/>
    <cellStyle name="常规 3 6 2 3 2 2" xfId="39456"/>
    <cellStyle name="常规 3 6 2 3 2 2 2" xfId="39457"/>
    <cellStyle name="常规 3 6 2 3 2 2 2 2" xfId="39458"/>
    <cellStyle name="常规 3 6 2 3 2 3" xfId="39459"/>
    <cellStyle name="常规 3 6 2 3 2 3 2" xfId="39460"/>
    <cellStyle name="常规 3 6 2 3 2 3 2 2" xfId="39461"/>
    <cellStyle name="常规 3 6 2 3 2 4" xfId="39462"/>
    <cellStyle name="常规 3 6 2 3 2 4 2" xfId="39463"/>
    <cellStyle name="常规 3 6 2 3 2 4 2 2" xfId="39464"/>
    <cellStyle name="常规 3 6 2 3 2 5" xfId="39465"/>
    <cellStyle name="常规 3 6 2 3 2 5 2" xfId="39466"/>
    <cellStyle name="常规 3 6 2 3 2 5 3" xfId="39467"/>
    <cellStyle name="常规 3 6 2 3 2 6" xfId="39468"/>
    <cellStyle name="常规 3 6 2 3 3" xfId="39469"/>
    <cellStyle name="常规 3 6 2 3 3 2" xfId="39470"/>
    <cellStyle name="常规 3 6 2 3 3 2 2" xfId="39471"/>
    <cellStyle name="常规 3 6 2 3 3 2 2 2" xfId="39472"/>
    <cellStyle name="常规 3 6 2 3 3 3" xfId="39473"/>
    <cellStyle name="常规 3 6 2 3 3 3 2" xfId="39474"/>
    <cellStyle name="常规 3 6 2 3 3 3 2 2" xfId="39475"/>
    <cellStyle name="常规 3 6 2 3 3 4" xfId="39476"/>
    <cellStyle name="常规 3 6 2 3 3 4 2" xfId="39477"/>
    <cellStyle name="常规 3 6 2 3 3 5" xfId="39478"/>
    <cellStyle name="常规 3 6 2 3 4" xfId="39479"/>
    <cellStyle name="常规 3 6 2 3 4 2" xfId="39480"/>
    <cellStyle name="常规 3 6 2 3 4 2 2" xfId="39481"/>
    <cellStyle name="常规 3 6 2 3 5" xfId="39482"/>
    <cellStyle name="常规 3 6 2 3 5 2" xfId="39483"/>
    <cellStyle name="常规 3 6 2 3 5 2 2" xfId="39484"/>
    <cellStyle name="常规 3 6 2 3 6" xfId="39485"/>
    <cellStyle name="常规 3 6 2 3 7" xfId="39486"/>
    <cellStyle name="常规 3 6 2 3 7 2" xfId="39487"/>
    <cellStyle name="常规 3 6 2 3 7 3" xfId="39488"/>
    <cellStyle name="常规 3 6 2 3 8" xfId="39489"/>
    <cellStyle name="常规 3 6 2 3 8 2" xfId="39490"/>
    <cellStyle name="常规 3 6 2 4" xfId="39491"/>
    <cellStyle name="常规 3 6 2 4 2" xfId="39492"/>
    <cellStyle name="常规 3 6 2 4 2 2" xfId="39493"/>
    <cellStyle name="常规 3 6 2 4 2 3" xfId="39494"/>
    <cellStyle name="常规 3 6 2 4 2 4" xfId="39495"/>
    <cellStyle name="常规 3 6 2 4 2 5" xfId="39496"/>
    <cellStyle name="常规 3 6 2 4 2 5 2" xfId="39497"/>
    <cellStyle name="常规 3 6 2 4 3" xfId="39498"/>
    <cellStyle name="常规 3 6 2 4 3 2" xfId="39499"/>
    <cellStyle name="常规 3 6 2 4 3 2 2" xfId="39500"/>
    <cellStyle name="常规 3 6 2 4 4" xfId="39501"/>
    <cellStyle name="常规 3 6 2 4 4 2" xfId="39502"/>
    <cellStyle name="常规 3 6 2 4 4 2 2" xfId="39503"/>
    <cellStyle name="常规 3 6 2 4 5" xfId="39504"/>
    <cellStyle name="常规 3 6 2 4 5 2" xfId="39505"/>
    <cellStyle name="常规 3 6 2 4 5 3" xfId="39506"/>
    <cellStyle name="常规 3 6 2 4 6" xfId="39507"/>
    <cellStyle name="常规 3 6 2 4 6 2" xfId="39508"/>
    <cellStyle name="常规 3 6 2 4 7" xfId="39509"/>
    <cellStyle name="常规 3 6 2 5" xfId="39510"/>
    <cellStyle name="常规 3 6 2 5 2" xfId="39511"/>
    <cellStyle name="常规 3 6 2 5 3" xfId="39512"/>
    <cellStyle name="常规 3 6 2 5 4" xfId="39513"/>
    <cellStyle name="常规 3 6 2 5 5" xfId="39514"/>
    <cellStyle name="常规 3 6 2 5 5 2" xfId="39515"/>
    <cellStyle name="常规 3 6 2 6" xfId="39516"/>
    <cellStyle name="常规 3 6 2 6 2" xfId="39517"/>
    <cellStyle name="常规 3 6 2 6 2 2" xfId="39518"/>
    <cellStyle name="常规 3 6 2 7" xfId="39519"/>
    <cellStyle name="常规 3 6 2 7 2" xfId="39520"/>
    <cellStyle name="常规 3 6 2 7 2 2" xfId="39521"/>
    <cellStyle name="常规 3 6 2 8" xfId="39522"/>
    <cellStyle name="常规 3 6 2 8 2" xfId="39523"/>
    <cellStyle name="常规 3 6 2 8 2 2" xfId="39524"/>
    <cellStyle name="常规 3 6 2 9" xfId="39525"/>
    <cellStyle name="常规 3 6 2 9 2" xfId="39526"/>
    <cellStyle name="常规 3 6 2 9 3" xfId="39527"/>
    <cellStyle name="常规 3 6 3" xfId="39528"/>
    <cellStyle name="常规 3 6 3 2" xfId="39529"/>
    <cellStyle name="常规 3 6 3 2 2" xfId="39530"/>
    <cellStyle name="常规 3 6 3 2 2 2" xfId="39531"/>
    <cellStyle name="常规 3 6 3 2 2 2 2" xfId="39532"/>
    <cellStyle name="常规 3 6 3 2 3" xfId="39533"/>
    <cellStyle name="常规 3 6 3 2 3 2" xfId="39534"/>
    <cellStyle name="常规 3 6 3 2 3 2 2" xfId="39535"/>
    <cellStyle name="常规 3 6 3 2 4" xfId="39536"/>
    <cellStyle name="常规 3 6 3 2 4 2" xfId="39537"/>
    <cellStyle name="常规 3 6 3 2 4 2 2" xfId="39538"/>
    <cellStyle name="常规 3 6 3 2 5" xfId="39539"/>
    <cellStyle name="常规 3 6 3 2 5 2" xfId="39540"/>
    <cellStyle name="常规 3 6 3 2 5 3" xfId="39541"/>
    <cellStyle name="常规 3 6 3 2 6" xfId="39542"/>
    <cellStyle name="常规 3 6 3 3" xfId="39543"/>
    <cellStyle name="常规 3 6 3 3 2" xfId="39544"/>
    <cellStyle name="常规 3 6 3 3 2 2" xfId="39545"/>
    <cellStyle name="常规 3 6 3 3 2 2 2" xfId="39546"/>
    <cellStyle name="常规 3 6 3 3 3" xfId="39547"/>
    <cellStyle name="常规 3 6 3 3 3 2" xfId="39548"/>
    <cellStyle name="常规 3 6 3 3 3 2 2" xfId="39549"/>
    <cellStyle name="常规 3 6 3 3 4" xfId="39550"/>
    <cellStyle name="常规 3 6 3 3 4 2" xfId="39551"/>
    <cellStyle name="常规 3 6 3 3 5" xfId="39552"/>
    <cellStyle name="常规 3 6 3 4" xfId="39553"/>
    <cellStyle name="常规 3 6 3 4 2" xfId="39554"/>
    <cellStyle name="常规 3 6 3 4 2 2" xfId="39555"/>
    <cellStyle name="常规 3 6 3 5" xfId="39556"/>
    <cellStyle name="常规 3 6 3 5 2" xfId="39557"/>
    <cellStyle name="常规 3 6 3 5 2 2" xfId="39558"/>
    <cellStyle name="常规 3 6 3 6" xfId="39559"/>
    <cellStyle name="常规 3 6 3 7" xfId="39560"/>
    <cellStyle name="常规 3 6 3 7 2" xfId="39561"/>
    <cellStyle name="常规 3 6 3 7 3" xfId="39562"/>
    <cellStyle name="常规 3 6 3 8" xfId="39563"/>
    <cellStyle name="常规 3 6 3 8 2" xfId="39564"/>
    <cellStyle name="常规 3 6 4" xfId="39565"/>
    <cellStyle name="常规 3 6 4 2" xfId="39566"/>
    <cellStyle name="常规 3 6 4 2 2" xfId="39567"/>
    <cellStyle name="常规 3 6 4 2 2 2" xfId="39568"/>
    <cellStyle name="常规 3 6 4 2 2 2 2" xfId="39569"/>
    <cellStyle name="常规 3 6 4 2 3" xfId="39570"/>
    <cellStyle name="常规 3 6 4 2 3 2" xfId="39571"/>
    <cellStyle name="常规 3 6 4 2 3 2 2" xfId="39572"/>
    <cellStyle name="常规 3 6 4 2 4" xfId="39573"/>
    <cellStyle name="常规 3 6 4 2 4 2" xfId="39574"/>
    <cellStyle name="常规 3 6 4 2 4 2 2" xfId="39575"/>
    <cellStyle name="常规 3 6 4 2 5" xfId="39576"/>
    <cellStyle name="常规 3 6 4 2 5 2" xfId="39577"/>
    <cellStyle name="常规 3 6 4 2 5 3" xfId="39578"/>
    <cellStyle name="常规 3 6 4 2 6" xfId="39579"/>
    <cellStyle name="常规 3 6 4 3" xfId="39580"/>
    <cellStyle name="常规 3 6 4 3 2" xfId="39581"/>
    <cellStyle name="常规 3 6 4 3 2 2" xfId="39582"/>
    <cellStyle name="常规 3 6 4 4" xfId="39583"/>
    <cellStyle name="常规 3 6 4 4 2" xfId="39584"/>
    <cellStyle name="常规 3 6 4 4 2 2" xfId="39585"/>
    <cellStyle name="常规 3 6 4 5" xfId="39586"/>
    <cellStyle name="常规 3 6 4 5 2" xfId="39587"/>
    <cellStyle name="常规 3 6 4 5 2 2" xfId="39588"/>
    <cellStyle name="常规 3 6 4 6" xfId="39589"/>
    <cellStyle name="常规 3 6 4 7" xfId="39590"/>
    <cellStyle name="常规 3 6 4 7 2" xfId="39591"/>
    <cellStyle name="常规 3 6 4 7 3" xfId="39592"/>
    <cellStyle name="常规 3 6 4 8" xfId="39593"/>
    <cellStyle name="常规 3 6 4 8 2" xfId="39594"/>
    <cellStyle name="常规 3 6 5" xfId="39595"/>
    <cellStyle name="常规 3 6 5 2" xfId="39596"/>
    <cellStyle name="常规 3 6 5 2 2" xfId="39597"/>
    <cellStyle name="常规 3 6 5 2 2 2" xfId="39598"/>
    <cellStyle name="常规 3 6 5 2 2 2 2" xfId="39599"/>
    <cellStyle name="常规 3 6 5 2 3" xfId="39600"/>
    <cellStyle name="常规 3 6 5 2 3 2" xfId="39601"/>
    <cellStyle name="常规 3 6 5 2 3 2 2" xfId="39602"/>
    <cellStyle name="常规 3 6 5 2 4" xfId="39603"/>
    <cellStyle name="常规 3 6 5 2 4 2" xfId="39604"/>
    <cellStyle name="常规 3 6 5 2 5" xfId="39605"/>
    <cellStyle name="常规 3 6 5 3" xfId="39606"/>
    <cellStyle name="常规 3 6 5 3 2" xfId="39607"/>
    <cellStyle name="常规 3 6 5 3 2 2" xfId="39608"/>
    <cellStyle name="常规 3 6 5 4" xfId="39609"/>
    <cellStyle name="常规 3 6 5 4 2" xfId="39610"/>
    <cellStyle name="常规 3 6 5 4 2 2" xfId="39611"/>
    <cellStyle name="常规 3 6 5 5" xfId="39612"/>
    <cellStyle name="常规 3 6 5 5 2" xfId="39613"/>
    <cellStyle name="常规 3 6 5 5 3" xfId="39614"/>
    <cellStyle name="常规 3 6 5 6" xfId="39615"/>
    <cellStyle name="常规 3 6 6" xfId="39616"/>
    <cellStyle name="常规 3 6 6 2" xfId="39617"/>
    <cellStyle name="常规 3 6 6 2 2" xfId="39618"/>
    <cellStyle name="常规 3 6 6 2 2 2" xfId="39619"/>
    <cellStyle name="常规 3 6 6 3" xfId="39620"/>
    <cellStyle name="常规 3 6 6 3 2" xfId="39621"/>
    <cellStyle name="常规 3 6 6 3 2 2" xfId="39622"/>
    <cellStyle name="常规 3 6 6 4" xfId="39623"/>
    <cellStyle name="常规 3 6 6 4 2" xfId="39624"/>
    <cellStyle name="常规 3 6 6 5" xfId="39625"/>
    <cellStyle name="常规 3 6 7" xfId="39626"/>
    <cellStyle name="常规 3 6 7 2" xfId="39627"/>
    <cellStyle name="常规 3 6 7 2 2" xfId="39628"/>
    <cellStyle name="常规 3 6 8" xfId="39629"/>
    <cellStyle name="常规 3 6 8 2" xfId="39630"/>
    <cellStyle name="常规 3 6 8 2 2" xfId="39631"/>
    <cellStyle name="常规 3 6 9" xfId="39632"/>
    <cellStyle name="常规 3 7" xfId="39633"/>
    <cellStyle name="常规 3 7 10" xfId="39634"/>
    <cellStyle name="常规 3 7 10 2" xfId="39635"/>
    <cellStyle name="常规 3 7 2" xfId="39636"/>
    <cellStyle name="常规 3 7 2 2" xfId="39637"/>
    <cellStyle name="常规 3 7 2 2 2" xfId="39638"/>
    <cellStyle name="常规 3 7 2 2 2 2" xfId="39639"/>
    <cellStyle name="常规 3 7 2 2 2 2 2" xfId="39640"/>
    <cellStyle name="常规 3 7 2 2 3" xfId="39641"/>
    <cellStyle name="常规 3 7 2 2 3 2" xfId="39642"/>
    <cellStyle name="常规 3 7 2 2 3 2 2" xfId="39643"/>
    <cellStyle name="常规 3 7 2 2 4" xfId="39644"/>
    <cellStyle name="常规 3 7 2 2 4 2" xfId="39645"/>
    <cellStyle name="常规 3 7 2 2 4 2 2" xfId="39646"/>
    <cellStyle name="常规 3 7 2 2 5" xfId="39647"/>
    <cellStyle name="常规 3 7 2 2 5 2" xfId="39648"/>
    <cellStyle name="常规 3 7 2 2 5 3" xfId="39649"/>
    <cellStyle name="常规 3 7 2 2 6" xfId="39650"/>
    <cellStyle name="常规 3 7 2 3" xfId="39651"/>
    <cellStyle name="常规 3 7 2 3 2" xfId="39652"/>
    <cellStyle name="常规 3 7 2 3 2 2" xfId="39653"/>
    <cellStyle name="常规 3 7 2 4" xfId="39654"/>
    <cellStyle name="常规 3 7 2 4 2" xfId="39655"/>
    <cellStyle name="常规 3 7 2 4 2 2" xfId="39656"/>
    <cellStyle name="常规 3 7 2 5" xfId="39657"/>
    <cellStyle name="常规 3 7 2 5 2" xfId="39658"/>
    <cellStyle name="常规 3 7 2 5 2 2" xfId="39659"/>
    <cellStyle name="常规 3 7 2 6" xfId="39660"/>
    <cellStyle name="常规 3 7 2 7" xfId="39661"/>
    <cellStyle name="常规 3 7 2 7 2" xfId="39662"/>
    <cellStyle name="常规 3 7 2 7 3" xfId="39663"/>
    <cellStyle name="常规 3 7 2 8" xfId="39664"/>
    <cellStyle name="常规 3 7 2 8 2" xfId="39665"/>
    <cellStyle name="常规 3 7 3" xfId="39666"/>
    <cellStyle name="常规 3 7 3 2" xfId="39667"/>
    <cellStyle name="常规 3 7 3 2 2" xfId="39668"/>
    <cellStyle name="常规 3 7 3 2 2 2" xfId="39669"/>
    <cellStyle name="常规 3 7 3 2 2 2 2" xfId="39670"/>
    <cellStyle name="常规 3 7 3 2 3" xfId="39671"/>
    <cellStyle name="常规 3 7 3 2 3 2" xfId="39672"/>
    <cellStyle name="常规 3 7 3 2 3 2 2" xfId="39673"/>
    <cellStyle name="常规 3 7 3 2 4" xfId="39674"/>
    <cellStyle name="常规 3 7 3 2 4 2" xfId="39675"/>
    <cellStyle name="常规 3 7 3 2 4 2 2" xfId="39676"/>
    <cellStyle name="常规 3 7 3 2 5" xfId="39677"/>
    <cellStyle name="常规 3 7 3 2 5 2" xfId="39678"/>
    <cellStyle name="常规 3 7 3 2 5 3" xfId="39679"/>
    <cellStyle name="常规 3 7 3 2 6" xfId="39680"/>
    <cellStyle name="常规 3 7 3 3" xfId="39681"/>
    <cellStyle name="常规 3 7 3 3 2" xfId="39682"/>
    <cellStyle name="常规 3 7 3 3 2 2" xfId="39683"/>
    <cellStyle name="常规 3 7 3 3 2 2 2" xfId="39684"/>
    <cellStyle name="常规 3 7 3 3 3" xfId="39685"/>
    <cellStyle name="常规 3 7 3 3 3 2" xfId="39686"/>
    <cellStyle name="常规 3 7 3 3 3 2 2" xfId="39687"/>
    <cellStyle name="常规 3 7 3 3 4" xfId="39688"/>
    <cellStyle name="常规 3 7 3 3 4 2" xfId="39689"/>
    <cellStyle name="常规 3 7 3 3 5" xfId="39690"/>
    <cellStyle name="常规 3 7 3 4" xfId="39691"/>
    <cellStyle name="常规 3 7 3 4 2" xfId="39692"/>
    <cellStyle name="常规 3 7 3 4 2 2" xfId="39693"/>
    <cellStyle name="常规 3 7 3 5" xfId="39694"/>
    <cellStyle name="常规 3 7 3 5 2" xfId="39695"/>
    <cellStyle name="常规 3 7 3 5 2 2" xfId="39696"/>
    <cellStyle name="常规 3 7 3 6" xfId="39697"/>
    <cellStyle name="常规 3 7 3 7" xfId="39698"/>
    <cellStyle name="常规 3 7 3 7 2" xfId="39699"/>
    <cellStyle name="常规 3 7 3 7 3" xfId="39700"/>
    <cellStyle name="常规 3 7 3 8" xfId="39701"/>
    <cellStyle name="常规 3 7 3 8 2" xfId="39702"/>
    <cellStyle name="常规 3 7 4" xfId="39703"/>
    <cellStyle name="常规 3 7 4 2" xfId="39704"/>
    <cellStyle name="常规 3 7 4 2 2" xfId="39705"/>
    <cellStyle name="常规 3 7 4 2 2 2" xfId="39706"/>
    <cellStyle name="常规 3 7 4 3" xfId="39707"/>
    <cellStyle name="常规 3 7 4 3 2" xfId="39708"/>
    <cellStyle name="常规 3 7 4 3 2 2" xfId="39709"/>
    <cellStyle name="常规 3 7 4 4" xfId="39710"/>
    <cellStyle name="常规 3 7 4 4 2" xfId="39711"/>
    <cellStyle name="常规 3 7 4 4 2 2" xfId="39712"/>
    <cellStyle name="常规 3 7 4 5" xfId="39713"/>
    <cellStyle name="常规 3 7 4 5 2" xfId="39714"/>
    <cellStyle name="常规 3 7 4 5 3" xfId="39715"/>
    <cellStyle name="常规 3 7 4 6" xfId="39716"/>
    <cellStyle name="常规 3 7 5" xfId="39717"/>
    <cellStyle name="常规 3 7 5 2" xfId="39718"/>
    <cellStyle name="常规 3 7 5 2 2" xfId="39719"/>
    <cellStyle name="常规 3 7 6" xfId="39720"/>
    <cellStyle name="常规 3 7 6 2" xfId="39721"/>
    <cellStyle name="常规 3 7 6 2 2" xfId="39722"/>
    <cellStyle name="常规 3 7 7" xfId="39723"/>
    <cellStyle name="常规 3 7 7 2" xfId="39724"/>
    <cellStyle name="常规 3 7 7 2 2" xfId="39725"/>
    <cellStyle name="常规 3 7 8" xfId="39726"/>
    <cellStyle name="常规 3 7 9" xfId="39727"/>
    <cellStyle name="常规 3 7 9 2" xfId="39728"/>
    <cellStyle name="常规 3 7 9 3" xfId="39729"/>
    <cellStyle name="常规 3 8" xfId="39730"/>
    <cellStyle name="常规 3 8 2" xfId="39731"/>
    <cellStyle name="常规 3 8 2 2" xfId="39732"/>
    <cellStyle name="常规 3 8 2 2 2" xfId="39733"/>
    <cellStyle name="常规 3 8 2 2 3" xfId="39734"/>
    <cellStyle name="常规 3 8 2 2 4" xfId="39735"/>
    <cellStyle name="常规 3 8 2 2 4 2" xfId="39736"/>
    <cellStyle name="常规 3 8 2 2 4 3" xfId="39737"/>
    <cellStyle name="常规 3 8 2 2 5" xfId="39738"/>
    <cellStyle name="常规 3 8 2 2 5 2" xfId="39739"/>
    <cellStyle name="常规 3 8 2 3" xfId="39740"/>
    <cellStyle name="常规 3 8 2 3 2" xfId="39741"/>
    <cellStyle name="常规 3 8 2 3 2 2" xfId="39742"/>
    <cellStyle name="常规 3 8 2 3 2 2 2" xfId="39743"/>
    <cellStyle name="常规 3 8 2 3 3" xfId="39744"/>
    <cellStyle name="常规 3 8 2 3 3 2" xfId="39745"/>
    <cellStyle name="常规 3 8 2 3 3 2 2" xfId="39746"/>
    <cellStyle name="常规 3 8 2 3 4" xfId="39747"/>
    <cellStyle name="常规 3 8 2 3 4 2" xfId="39748"/>
    <cellStyle name="常规 3 8 2 3 5" xfId="39749"/>
    <cellStyle name="常规 3 8 2 4" xfId="39750"/>
    <cellStyle name="常规 3 8 2 4 2" xfId="39751"/>
    <cellStyle name="常规 3 8 2 4 2 2" xfId="39752"/>
    <cellStyle name="常规 3 8 2 5" xfId="39753"/>
    <cellStyle name="常规 3 8 2 6" xfId="39754"/>
    <cellStyle name="常规 3 8 2 7" xfId="39755"/>
    <cellStyle name="常规 3 8 2 7 2" xfId="39756"/>
    <cellStyle name="常规 3 8 2 7 3" xfId="39757"/>
    <cellStyle name="常规 3 8 2 8" xfId="39758"/>
    <cellStyle name="常规 3 8 2 8 2" xfId="39759"/>
    <cellStyle name="常规 3 8 3" xfId="39760"/>
    <cellStyle name="常规 3 8 3 2" xfId="39761"/>
    <cellStyle name="常规 3 8 3 3" xfId="39762"/>
    <cellStyle name="常规 3 8 3 4" xfId="39763"/>
    <cellStyle name="常规 3 8 3 4 2" xfId="39764"/>
    <cellStyle name="常规 3 8 3 4 3" xfId="39765"/>
    <cellStyle name="常规 3 8 3 5" xfId="39766"/>
    <cellStyle name="常规 3 8 3 5 2" xfId="39767"/>
    <cellStyle name="常规 3 8 4" xfId="39768"/>
    <cellStyle name="常规 3 8 4 2" xfId="39769"/>
    <cellStyle name="常规 3 8 4 2 2" xfId="39770"/>
    <cellStyle name="常规 3 8 5" xfId="39771"/>
    <cellStyle name="常规 3 8 5 2" xfId="39772"/>
    <cellStyle name="常规 3 8 5 2 2" xfId="39773"/>
    <cellStyle name="常规 3 8 6" xfId="39774"/>
    <cellStyle name="常规 3 8 7" xfId="39775"/>
    <cellStyle name="常规 3 8 8" xfId="39776"/>
    <cellStyle name="常规 3 8 8 2" xfId="39777"/>
    <cellStyle name="常规 3 8 8 3" xfId="39778"/>
    <cellStyle name="常规 3 8 9" xfId="39779"/>
    <cellStyle name="常规 3 8 9 2" xfId="39780"/>
    <cellStyle name="常规 3 9" xfId="39781"/>
    <cellStyle name="常规 3 9 2" xfId="39782"/>
    <cellStyle name="常规 3 9 2 2" xfId="39783"/>
    <cellStyle name="常规 3 9 2 2 2" xfId="39784"/>
    <cellStyle name="常规 3 9 2 2 2 2" xfId="39785"/>
    <cellStyle name="常规 3 9 2 3" xfId="39786"/>
    <cellStyle name="常规 3 9 2 3 2" xfId="39787"/>
    <cellStyle name="常规 3 9 2 3 2 2" xfId="39788"/>
    <cellStyle name="常规 3 9 2 4" xfId="39789"/>
    <cellStyle name="常规 3 9 2 4 2" xfId="39790"/>
    <cellStyle name="常规 3 9 2 4 2 2" xfId="39791"/>
    <cellStyle name="常规 3 9 2 5" xfId="39792"/>
    <cellStyle name="常规 3 9 2 5 2" xfId="39793"/>
    <cellStyle name="常规 3 9 2 5 3" xfId="39794"/>
    <cellStyle name="常规 3 9 2 6" xfId="39795"/>
    <cellStyle name="常规 3 9 3" xfId="39796"/>
    <cellStyle name="常规 3 9 3 2" xfId="39797"/>
    <cellStyle name="常规 3 9 3 2 2" xfId="39798"/>
    <cellStyle name="常规 3 9 3 2 2 2" xfId="39799"/>
    <cellStyle name="常规 3 9 3 3" xfId="39800"/>
    <cellStyle name="常规 3 9 3 3 2" xfId="39801"/>
    <cellStyle name="常规 3 9 3 3 2 2" xfId="39802"/>
    <cellStyle name="常规 3 9 3 4" xfId="39803"/>
    <cellStyle name="常规 3 9 3 4 2" xfId="39804"/>
    <cellStyle name="常规 3 9 3 5" xfId="39805"/>
    <cellStyle name="常规 3 9 4" xfId="39806"/>
    <cellStyle name="常规 3 9 4 2" xfId="39807"/>
    <cellStyle name="常规 3 9 4 2 2" xfId="39808"/>
    <cellStyle name="常规 3 9 5" xfId="39809"/>
    <cellStyle name="常规 3 9 5 2" xfId="39810"/>
    <cellStyle name="常规 3 9 5 2 2" xfId="39811"/>
    <cellStyle name="常规 3 9 6" xfId="39812"/>
    <cellStyle name="常规 3 9 7" xfId="39813"/>
    <cellStyle name="常规 3 9 7 2" xfId="39814"/>
    <cellStyle name="常规 3 9 7 3" xfId="39815"/>
    <cellStyle name="常规 3 9 8" xfId="39816"/>
    <cellStyle name="常规 3 9 8 2" xfId="39817"/>
    <cellStyle name="常规 4" xfId="39818"/>
    <cellStyle name="常规 4 10" xfId="39819"/>
    <cellStyle name="常规 4 10 2" xfId="39820"/>
    <cellStyle name="常规 4 10 2 2" xfId="39821"/>
    <cellStyle name="常规 4 10 2 2 2" xfId="39822"/>
    <cellStyle name="常规 4 10 2 2 2 2" xfId="39823"/>
    <cellStyle name="常规 4 10 2 2 3" xfId="39824"/>
    <cellStyle name="常规 4 10 2 3" xfId="39825"/>
    <cellStyle name="常规 4 10 2 3 2" xfId="39826"/>
    <cellStyle name="常规 4 10 2 3 2 2" xfId="39827"/>
    <cellStyle name="常规 4 10 2 4" xfId="39828"/>
    <cellStyle name="常规 4 10 2 4 2" xfId="39829"/>
    <cellStyle name="常规 4 10 2 4 3" xfId="39830"/>
    <cellStyle name="常规 4 10 2 5" xfId="39831"/>
    <cellStyle name="常规 4 10 2 5 2" xfId="39832"/>
    <cellStyle name="常规 4 10 2 6" xfId="39833"/>
    <cellStyle name="常规 4 10 3" xfId="39834"/>
    <cellStyle name="常规 4 10 3 2" xfId="39835"/>
    <cellStyle name="常规 4 10 3 2 2" xfId="39836"/>
    <cellStyle name="常规 4 10 3 3" xfId="39837"/>
    <cellStyle name="常规 4 10 4" xfId="39838"/>
    <cellStyle name="常规 4 10 4 2" xfId="39839"/>
    <cellStyle name="常规 4 10 4 2 2" xfId="39840"/>
    <cellStyle name="常规 4 10 5" xfId="39841"/>
    <cellStyle name="常规 4 10 5 2" xfId="39842"/>
    <cellStyle name="常规 4 10 5 3" xfId="39843"/>
    <cellStyle name="常规 4 10 6" xfId="39844"/>
    <cellStyle name="常规 4 10 6 2" xfId="39845"/>
    <cellStyle name="常规 4 10 7" xfId="39846"/>
    <cellStyle name="常规 4 11" xfId="39847"/>
    <cellStyle name="常规 4 11 2" xfId="39848"/>
    <cellStyle name="常规 4 11 2 2" xfId="39849"/>
    <cellStyle name="常规 4 11 2 2 2" xfId="39850"/>
    <cellStyle name="常规 4 11 2 2 2 2" xfId="39851"/>
    <cellStyle name="常规 4 11 2 2 3" xfId="39852"/>
    <cellStyle name="常规 4 11 2 3" xfId="39853"/>
    <cellStyle name="常规 4 11 2 3 2" xfId="39854"/>
    <cellStyle name="常规 4 11 2 3 2 2" xfId="39855"/>
    <cellStyle name="常规 4 11 2 4" xfId="39856"/>
    <cellStyle name="常规 4 11 2 4 2" xfId="39857"/>
    <cellStyle name="常规 4 11 2 4 3" xfId="39858"/>
    <cellStyle name="常规 4 11 2 5" xfId="39859"/>
    <cellStyle name="常规 4 11 2 5 2" xfId="39860"/>
    <cellStyle name="常规 4 11 2 6" xfId="39861"/>
    <cellStyle name="常规 4 11 3" xfId="39862"/>
    <cellStyle name="常规 4 11 3 2" xfId="39863"/>
    <cellStyle name="常规 4 11 3 2 2" xfId="39864"/>
    <cellStyle name="常规 4 11 3 3" xfId="39865"/>
    <cellStyle name="常规 4 11 4" xfId="39866"/>
    <cellStyle name="常规 4 11 4 2" xfId="39867"/>
    <cellStyle name="常规 4 11 4 2 2" xfId="39868"/>
    <cellStyle name="常规 4 11 5" xfId="39869"/>
    <cellStyle name="常规 4 11 5 2" xfId="39870"/>
    <cellStyle name="常规 4 11 5 3" xfId="39871"/>
    <cellStyle name="常规 4 11 6" xfId="39872"/>
    <cellStyle name="常规 4 11 6 2" xfId="39873"/>
    <cellStyle name="常规 4 11 7" xfId="39874"/>
    <cellStyle name="常规 4 12" xfId="39875"/>
    <cellStyle name="常规 4 12 2" xfId="39876"/>
    <cellStyle name="常规 4 12 2 2" xfId="39877"/>
    <cellStyle name="常规 4 12 2 2 2" xfId="39878"/>
    <cellStyle name="常规 4 12 2 2 2 2" xfId="39879"/>
    <cellStyle name="常规 4 12 2 3" xfId="39880"/>
    <cellStyle name="常规 4 12 2 3 2" xfId="39881"/>
    <cellStyle name="常规 4 12 2 3 2 2" xfId="39882"/>
    <cellStyle name="常规 4 12 2 4" xfId="39883"/>
    <cellStyle name="常规 4 12 2 4 2" xfId="39884"/>
    <cellStyle name="常规 4 12 2 5" xfId="39885"/>
    <cellStyle name="常规 4 12 3" xfId="39886"/>
    <cellStyle name="常规 4 12 3 2" xfId="39887"/>
    <cellStyle name="常规 4 12 3 2 2" xfId="39888"/>
    <cellStyle name="常规 4 12 3 3" xfId="39889"/>
    <cellStyle name="常规 4 12 4" xfId="39890"/>
    <cellStyle name="常规 4 12 4 2" xfId="39891"/>
    <cellStyle name="常规 4 12 4 2 2" xfId="39892"/>
    <cellStyle name="常规 4 12 5" xfId="39893"/>
    <cellStyle name="常规 4 12 5 2" xfId="39894"/>
    <cellStyle name="常规 4 12 5 3" xfId="39895"/>
    <cellStyle name="常规 4 12 6" xfId="39896"/>
    <cellStyle name="常规 4 12 6 2" xfId="39897"/>
    <cellStyle name="常规 4 13" xfId="39898"/>
    <cellStyle name="常规 4 13 2" xfId="39899"/>
    <cellStyle name="常规 4 13 2 2" xfId="39900"/>
    <cellStyle name="常规 4 13 2 2 2" xfId="39901"/>
    <cellStyle name="常规 4 13 3" xfId="39902"/>
    <cellStyle name="常规 4 13 3 2" xfId="39903"/>
    <cellStyle name="常规 4 13 3 2 2" xfId="39904"/>
    <cellStyle name="常规 4 13 4" xfId="39905"/>
    <cellStyle name="常规 4 13 4 2" xfId="39906"/>
    <cellStyle name="常规 4 13 5" xfId="39907"/>
    <cellStyle name="常规 4 14" xfId="39908"/>
    <cellStyle name="常规 4 14 2" xfId="39909"/>
    <cellStyle name="常规 4 14 2 2" xfId="39910"/>
    <cellStyle name="常规 4 14 2 2 2" xfId="39911"/>
    <cellStyle name="常规 4 14 3" xfId="39912"/>
    <cellStyle name="常规 4 14 3 2" xfId="39913"/>
    <cellStyle name="常规 4 14 3 2 2" xfId="39914"/>
    <cellStyle name="常规 4 14 4" xfId="39915"/>
    <cellStyle name="常规 4 14 4 2" xfId="39916"/>
    <cellStyle name="常规 4 14 5" xfId="39917"/>
    <cellStyle name="常规 4 15" xfId="39918"/>
    <cellStyle name="常规 4 15 2" xfId="39919"/>
    <cellStyle name="常规 4 15 2 2" xfId="39920"/>
    <cellStyle name="常规 4 15 2 3" xfId="39921"/>
    <cellStyle name="常规 4 15 3" xfId="39922"/>
    <cellStyle name="常规 4 15 3 2" xfId="39923"/>
    <cellStyle name="常规 4 15 4" xfId="39924"/>
    <cellStyle name="常规 4 15 5" xfId="39925"/>
    <cellStyle name="常规 4 16" xfId="39926"/>
    <cellStyle name="常规 4 16 2" xfId="39927"/>
    <cellStyle name="常规 4 16 2 2" xfId="39928"/>
    <cellStyle name="常规 4 16 3" xfId="39929"/>
    <cellStyle name="常规 4 17" xfId="39930"/>
    <cellStyle name="常规 4 17 2" xfId="39931"/>
    <cellStyle name="常规 4 18" xfId="39932"/>
    <cellStyle name="常规 4 2" xfId="39933"/>
    <cellStyle name="常规 4 2 10" xfId="39934"/>
    <cellStyle name="常规 4 2 10 2" xfId="39935"/>
    <cellStyle name="常规 4 2 10 2 2" xfId="39936"/>
    <cellStyle name="常规 4 2 11" xfId="39937"/>
    <cellStyle name="常规 4 2 11 2" xfId="39938"/>
    <cellStyle name="常规 4 2 11 3" xfId="39939"/>
    <cellStyle name="常规 4 2 12" xfId="39940"/>
    <cellStyle name="常规 4 2 2" xfId="39941"/>
    <cellStyle name="常规 4 2 2 10" xfId="39942"/>
    <cellStyle name="常规 4 2 2 10 2" xfId="39943"/>
    <cellStyle name="常规 4 2 2 2" xfId="39944"/>
    <cellStyle name="常规 4 2 2 2 2" xfId="39945"/>
    <cellStyle name="常规 4 2 2 2 2 2" xfId="39946"/>
    <cellStyle name="常规 4 2 2 2 2 2 2" xfId="39947"/>
    <cellStyle name="常规 4 2 2 2 2 2 3" xfId="39948"/>
    <cellStyle name="常规 4 2 2 2 2 2 4" xfId="39949"/>
    <cellStyle name="常规 4 2 2 2 2 2 4 2" xfId="39950"/>
    <cellStyle name="常规 4 2 2 2 2 2 4 3" xfId="39951"/>
    <cellStyle name="常规 4 2 2 2 2 2 5" xfId="39952"/>
    <cellStyle name="常规 4 2 2 2 2 2 5 2" xfId="39953"/>
    <cellStyle name="常规 4 2 2 2 2 3" xfId="39954"/>
    <cellStyle name="常规 4 2 2 2 2 3 2" xfId="39955"/>
    <cellStyle name="常规 4 2 2 2 2 3 2 2" xfId="39956"/>
    <cellStyle name="常规 4 2 2 2 2 3 2 2 2" xfId="39957"/>
    <cellStyle name="常规 4 2 2 2 2 3 3" xfId="39958"/>
    <cellStyle name="常规 4 2 2 2 2 3 3 2" xfId="39959"/>
    <cellStyle name="常规 4 2 2 2 2 3 3 2 2" xfId="39960"/>
    <cellStyle name="常规 4 2 2 2 2 3 4" xfId="39961"/>
    <cellStyle name="常规 4 2 2 2 2 3 4 2" xfId="39962"/>
    <cellStyle name="常规 4 2 2 2 2 3 5" xfId="39963"/>
    <cellStyle name="常规 4 2 2 2 2 4" xfId="39964"/>
    <cellStyle name="常规 4 2 2 2 2 4 2" xfId="39965"/>
    <cellStyle name="常规 4 2 2 2 2 4 2 2" xfId="39966"/>
    <cellStyle name="常规 4 2 2 2 2 5" xfId="39967"/>
    <cellStyle name="常规 4 2 2 2 2 6" xfId="39968"/>
    <cellStyle name="常规 4 2 2 2 2 7" xfId="39969"/>
    <cellStyle name="常规 4 2 2 2 2 7 2" xfId="39970"/>
    <cellStyle name="常规 4 2 2 2 2 7 3" xfId="39971"/>
    <cellStyle name="常规 4 2 2 2 2 8" xfId="39972"/>
    <cellStyle name="常规 4 2 2 2 2 8 2" xfId="39973"/>
    <cellStyle name="常规 4 2 2 2 3" xfId="39974"/>
    <cellStyle name="常规 4 2 2 2 3 2" xfId="39975"/>
    <cellStyle name="常规 4 2 2 2 3 3" xfId="39976"/>
    <cellStyle name="常规 4 2 2 2 3 4" xfId="39977"/>
    <cellStyle name="常规 4 2 2 2 3 4 2" xfId="39978"/>
    <cellStyle name="常规 4 2 2 2 3 4 3" xfId="39979"/>
    <cellStyle name="常规 4 2 2 2 3 5" xfId="39980"/>
    <cellStyle name="常规 4 2 2 2 3 5 2" xfId="39981"/>
    <cellStyle name="常规 4 2 2 2 4" xfId="39982"/>
    <cellStyle name="常规 4 2 2 2 4 2" xfId="39983"/>
    <cellStyle name="常规 4 2 2 2 4 2 2" xfId="39984"/>
    <cellStyle name="常规 4 2 2 2 5" xfId="39985"/>
    <cellStyle name="常规 4 2 2 2 5 2" xfId="39986"/>
    <cellStyle name="常规 4 2 2 2 5 2 2" xfId="39987"/>
    <cellStyle name="常规 4 2 2 2 6" xfId="39988"/>
    <cellStyle name="常规 4 2 2 2 7" xfId="39989"/>
    <cellStyle name="常规 4 2 2 2 8" xfId="39990"/>
    <cellStyle name="常规 4 2 2 2 8 2" xfId="39991"/>
    <cellStyle name="常规 4 2 2 2 8 3" xfId="39992"/>
    <cellStyle name="常规 4 2 2 2 9" xfId="39993"/>
    <cellStyle name="常规 4 2 2 2 9 2" xfId="39994"/>
    <cellStyle name="常规 4 2 2 3" xfId="39995"/>
    <cellStyle name="常规 4 2 2 3 2" xfId="39996"/>
    <cellStyle name="常规 4 2 2 3 2 2" xfId="39997"/>
    <cellStyle name="常规 4 2 2 3 2 2 2" xfId="39998"/>
    <cellStyle name="常规 4 2 2 3 2 2 2 2" xfId="39999"/>
    <cellStyle name="常规 4 2 2 3 2 3" xfId="40000"/>
    <cellStyle name="常规 4 2 2 3 2 3 2" xfId="40001"/>
    <cellStyle name="常规 4 2 2 3 2 3 2 2" xfId="40002"/>
    <cellStyle name="常规 4 2 2 3 2 4" xfId="40003"/>
    <cellStyle name="常规 4 2 2 3 2 4 2" xfId="40004"/>
    <cellStyle name="常规 4 2 2 3 2 4 2 2" xfId="40005"/>
    <cellStyle name="常规 4 2 2 3 2 5" xfId="40006"/>
    <cellStyle name="常规 4 2 2 3 2 5 2" xfId="40007"/>
    <cellStyle name="常规 4 2 2 3 2 5 3" xfId="40008"/>
    <cellStyle name="常规 4 2 2 3 2 6" xfId="40009"/>
    <cellStyle name="常规 4 2 2 3 3" xfId="40010"/>
    <cellStyle name="常规 4 2 2 3 3 2" xfId="40011"/>
    <cellStyle name="常规 4 2 2 3 3 2 2" xfId="40012"/>
    <cellStyle name="常规 4 2 2 3 3 2 2 2" xfId="40013"/>
    <cellStyle name="常规 4 2 2 3 3 3" xfId="40014"/>
    <cellStyle name="常规 4 2 2 3 3 3 2" xfId="40015"/>
    <cellStyle name="常规 4 2 2 3 3 3 2 2" xfId="40016"/>
    <cellStyle name="常规 4 2 2 3 3 4" xfId="40017"/>
    <cellStyle name="常规 4 2 2 3 3 4 2" xfId="40018"/>
    <cellStyle name="常规 4 2 2 3 3 5" xfId="40019"/>
    <cellStyle name="常规 4 2 2 3 4" xfId="40020"/>
    <cellStyle name="常规 4 2 2 3 4 2" xfId="40021"/>
    <cellStyle name="常规 4 2 2 3 4 2 2" xfId="40022"/>
    <cellStyle name="常规 4 2 2 3 5" xfId="40023"/>
    <cellStyle name="常规 4 2 2 3 5 2" xfId="40024"/>
    <cellStyle name="常规 4 2 2 3 5 2 2" xfId="40025"/>
    <cellStyle name="常规 4 2 2 3 6" xfId="40026"/>
    <cellStyle name="常规 4 2 2 3 7" xfId="40027"/>
    <cellStyle name="常规 4 2 2 3 7 2" xfId="40028"/>
    <cellStyle name="常规 4 2 2 3 7 3" xfId="40029"/>
    <cellStyle name="常规 4 2 2 3 8" xfId="40030"/>
    <cellStyle name="常规 4 2 2 3 8 2" xfId="40031"/>
    <cellStyle name="常规 4 2 2 4" xfId="40032"/>
    <cellStyle name="常规 4 2 2 4 2" xfId="40033"/>
    <cellStyle name="常规 4 2 2 4 2 2" xfId="40034"/>
    <cellStyle name="常规 4 2 2 4 2 2 2" xfId="40035"/>
    <cellStyle name="常规 4 2 2 4 3" xfId="40036"/>
    <cellStyle name="常规 4 2 2 4 3 2" xfId="40037"/>
    <cellStyle name="常规 4 2 2 4 3 2 2" xfId="40038"/>
    <cellStyle name="常规 4 2 2 4 4" xfId="40039"/>
    <cellStyle name="常规 4 2 2 4 4 2" xfId="40040"/>
    <cellStyle name="常规 4 2 2 4 4 2 2" xfId="40041"/>
    <cellStyle name="常规 4 2 2 4 5" xfId="40042"/>
    <cellStyle name="常规 4 2 2 4 5 2" xfId="40043"/>
    <cellStyle name="常规 4 2 2 4 5 3" xfId="40044"/>
    <cellStyle name="常规 4 2 2 4 6" xfId="40045"/>
    <cellStyle name="常规 4 2 2 5" xfId="40046"/>
    <cellStyle name="常规 4 2 2 5 2" xfId="40047"/>
    <cellStyle name="常规 4 2 2 5 2 2" xfId="40048"/>
    <cellStyle name="常规 4 2 2 6" xfId="40049"/>
    <cellStyle name="常规 4 2 2 6 2" xfId="40050"/>
    <cellStyle name="常规 4 2 2 6 2 2" xfId="40051"/>
    <cellStyle name="常规 4 2 2 7" xfId="40052"/>
    <cellStyle name="常规 4 2 2 7 2" xfId="40053"/>
    <cellStyle name="常规 4 2 2 7 2 2" xfId="40054"/>
    <cellStyle name="常规 4 2 2 8" xfId="40055"/>
    <cellStyle name="常规 4 2 2 9" xfId="40056"/>
    <cellStyle name="常规 4 2 2 9 2" xfId="40057"/>
    <cellStyle name="常规 4 2 2 9 3" xfId="40058"/>
    <cellStyle name="常规 4 2 3" xfId="40059"/>
    <cellStyle name="常规 4 2 3 2" xfId="40060"/>
    <cellStyle name="常规 4 2 3 2 2" xfId="40061"/>
    <cellStyle name="常规 4 2 3 2 2 2" xfId="40062"/>
    <cellStyle name="常规 4 2 3 2 2 3" xfId="40063"/>
    <cellStyle name="常规 4 2 3 2 2 4" xfId="40064"/>
    <cellStyle name="常规 4 2 3 2 2 5" xfId="40065"/>
    <cellStyle name="常规 4 2 3 2 2 5 2" xfId="40066"/>
    <cellStyle name="常规 4 2 3 2 3" xfId="40067"/>
    <cellStyle name="常规 4 2 3 2 3 2" xfId="40068"/>
    <cellStyle name="常规 4 2 3 2 3 2 2" xfId="40069"/>
    <cellStyle name="常规 4 2 3 2 4" xfId="40070"/>
    <cellStyle name="常规 4 2 3 2 4 2" xfId="40071"/>
    <cellStyle name="常规 4 2 3 2 4 2 2" xfId="40072"/>
    <cellStyle name="常规 4 2 3 2 5" xfId="40073"/>
    <cellStyle name="常规 4 2 3 2 5 2" xfId="40074"/>
    <cellStyle name="常规 4 2 3 2 5 3" xfId="40075"/>
    <cellStyle name="常规 4 2 3 2 6" xfId="40076"/>
    <cellStyle name="常规 4 2 3 2 6 2" xfId="40077"/>
    <cellStyle name="常规 4 2 3 2 7" xfId="40078"/>
    <cellStyle name="常规 4 2 3 3" xfId="40079"/>
    <cellStyle name="常规 4 2 3 3 2" xfId="40080"/>
    <cellStyle name="常规 4 2 3 3 2 2" xfId="40081"/>
    <cellStyle name="常规 4 2 3 3 2 2 2" xfId="40082"/>
    <cellStyle name="常规 4 2 3 3 2 3" xfId="40083"/>
    <cellStyle name="常规 4 2 3 3 2 4" xfId="40084"/>
    <cellStyle name="常规 4 2 3 3 2 5" xfId="40085"/>
    <cellStyle name="常规 4 2 3 3 2 5 2" xfId="40086"/>
    <cellStyle name="常规 4 2 3 3 2 6" xfId="40087"/>
    <cellStyle name="常规 4 2 3 3 3" xfId="40088"/>
    <cellStyle name="常规 4 2 3 3 3 2" xfId="40089"/>
    <cellStyle name="常规 4 2 3 3 3 2 2" xfId="40090"/>
    <cellStyle name="常规 4 2 3 3 4" xfId="40091"/>
    <cellStyle name="常规 4 2 3 3 4 2" xfId="40092"/>
    <cellStyle name="常规 4 2 3 3 4 3" xfId="40093"/>
    <cellStyle name="常规 4 2 3 3 5" xfId="40094"/>
    <cellStyle name="常规 4 2 3 3 5 2" xfId="40095"/>
    <cellStyle name="常规 4 2 3 3 6" xfId="40096"/>
    <cellStyle name="常规 4 2 3 3 6 2" xfId="40097"/>
    <cellStyle name="常规 4 2 3 3 7" xfId="40098"/>
    <cellStyle name="常规 4 2 3 4" xfId="40099"/>
    <cellStyle name="常规 4 2 3 4 2" xfId="40100"/>
    <cellStyle name="常规 4 2 3 4 3" xfId="40101"/>
    <cellStyle name="常规 4 2 3 4 4" xfId="40102"/>
    <cellStyle name="常规 4 2 3 4 5" xfId="40103"/>
    <cellStyle name="常规 4 2 3 4 5 2" xfId="40104"/>
    <cellStyle name="常规 4 2 3 5" xfId="40105"/>
    <cellStyle name="常规 4 2 3 5 2" xfId="40106"/>
    <cellStyle name="常规 4 2 3 5 2 2" xfId="40107"/>
    <cellStyle name="常规 4 2 3 6" xfId="40108"/>
    <cellStyle name="常规 4 2 3 6 2" xfId="40109"/>
    <cellStyle name="常规 4 2 3 6 2 2" xfId="40110"/>
    <cellStyle name="常规 4 2 3 7" xfId="40111"/>
    <cellStyle name="常规 4 2 3 7 2" xfId="40112"/>
    <cellStyle name="常规 4 2 3 7 2 2" xfId="40113"/>
    <cellStyle name="常规 4 2 3 8" xfId="40114"/>
    <cellStyle name="常规 4 2 3 8 2" xfId="40115"/>
    <cellStyle name="常规 4 2 3 8 3" xfId="40116"/>
    <cellStyle name="常规 4 2 3 9" xfId="40117"/>
    <cellStyle name="常规 4 2 4" xfId="40118"/>
    <cellStyle name="常规 4 2 4 10" xfId="40119"/>
    <cellStyle name="常规 4 2 4 2" xfId="40120"/>
    <cellStyle name="常规 4 2 4 2 2" xfId="40121"/>
    <cellStyle name="常规 4 2 4 2 2 2" xfId="40122"/>
    <cellStyle name="常规 4 2 4 2 2 2 2" xfId="40123"/>
    <cellStyle name="常规 4 2 4 2 2 2 3" xfId="40124"/>
    <cellStyle name="常规 4 2 4 2 2 2 4" xfId="40125"/>
    <cellStyle name="常规 4 2 4 2 2 3" xfId="40126"/>
    <cellStyle name="常规 4 2 4 2 2 4" xfId="40127"/>
    <cellStyle name="常规 4 2 4 2 2 5" xfId="40128"/>
    <cellStyle name="常规 4 2 4 2 2 6" xfId="40129"/>
    <cellStyle name="常规 4 2 4 2 2 6 2" xfId="40130"/>
    <cellStyle name="常规 4 2 4 2 3" xfId="40131"/>
    <cellStyle name="常规 4 2 4 2 3 2" xfId="40132"/>
    <cellStyle name="常规 4 2 4 2 3 2 2" xfId="40133"/>
    <cellStyle name="常规 4 2 4 2 3 2 3" xfId="40134"/>
    <cellStyle name="常规 4 2 4 2 3 2 4" xfId="40135"/>
    <cellStyle name="常规 4 2 4 2 3 3" xfId="40136"/>
    <cellStyle name="常规 4 2 4 2 3 4" xfId="40137"/>
    <cellStyle name="常规 4 2 4 2 3 5" xfId="40138"/>
    <cellStyle name="常规 4 2 4 2 3 6" xfId="40139"/>
    <cellStyle name="常规 4 2 4 2 3 6 2" xfId="40140"/>
    <cellStyle name="常规 4 2 4 2 4" xfId="40141"/>
    <cellStyle name="常规 4 2 4 2 4 2" xfId="40142"/>
    <cellStyle name="常规 4 2 4 2 4 2 2" xfId="40143"/>
    <cellStyle name="常规 4 2 4 2 4 3" xfId="40144"/>
    <cellStyle name="常规 4 2 4 2 4 4" xfId="40145"/>
    <cellStyle name="常规 4 2 4 2 4 5" xfId="40146"/>
    <cellStyle name="常规 4 2 4 2 5" xfId="40147"/>
    <cellStyle name="常规 4 2 4 2 5 2" xfId="40148"/>
    <cellStyle name="常规 4 2 4 2 5 3" xfId="40149"/>
    <cellStyle name="常规 4 2 4 2 6" xfId="40150"/>
    <cellStyle name="常规 4 2 4 2 7" xfId="40151"/>
    <cellStyle name="常规 4 2 4 2 8" xfId="40152"/>
    <cellStyle name="常规 4 2 4 2 8 2" xfId="40153"/>
    <cellStyle name="常规 4 2 4 2 9" xfId="40154"/>
    <cellStyle name="常规 4 2 4 3" xfId="40155"/>
    <cellStyle name="常规 4 2 4 3 2" xfId="40156"/>
    <cellStyle name="常规 4 2 4 3 2 2" xfId="40157"/>
    <cellStyle name="常规 4 2 4 3 2 3" xfId="40158"/>
    <cellStyle name="常规 4 2 4 3 2 4" xfId="40159"/>
    <cellStyle name="常规 4 2 4 3 3" xfId="40160"/>
    <cellStyle name="常规 4 2 4 3 4" xfId="40161"/>
    <cellStyle name="常规 4 2 4 3 5" xfId="40162"/>
    <cellStyle name="常规 4 2 4 3 6" xfId="40163"/>
    <cellStyle name="常规 4 2 4 3 6 2" xfId="40164"/>
    <cellStyle name="常规 4 2 4 4" xfId="40165"/>
    <cellStyle name="常规 4 2 4 4 2" xfId="40166"/>
    <cellStyle name="常规 4 2 4 4 2 2" xfId="40167"/>
    <cellStyle name="常规 4 2 4 4 2 3" xfId="40168"/>
    <cellStyle name="常规 4 2 4 4 2 4" xfId="40169"/>
    <cellStyle name="常规 4 2 4 4 3" xfId="40170"/>
    <cellStyle name="常规 4 2 4 4 4" xfId="40171"/>
    <cellStyle name="常规 4 2 4 4 5" xfId="40172"/>
    <cellStyle name="常规 4 2 4 4 6" xfId="40173"/>
    <cellStyle name="常规 4 2 4 4 6 2" xfId="40174"/>
    <cellStyle name="常规 4 2 4 5" xfId="40175"/>
    <cellStyle name="常规 4 2 4 5 2" xfId="40176"/>
    <cellStyle name="常规 4 2 4 5 3" xfId="40177"/>
    <cellStyle name="常规 4 2 4 5 4" xfId="40178"/>
    <cellStyle name="常规 4 2 4 5 5" xfId="40179"/>
    <cellStyle name="常规 4 2 4 5 5 2" xfId="40180"/>
    <cellStyle name="常规 4 2 4 6" xfId="40181"/>
    <cellStyle name="常规 4 2 4 6 2" xfId="40182"/>
    <cellStyle name="常规 4 2 4 6 2 2" xfId="40183"/>
    <cellStyle name="常规 4 2 4 7" xfId="40184"/>
    <cellStyle name="常规 4 2 4 7 2" xfId="40185"/>
    <cellStyle name="常规 4 2 4 7 2 2" xfId="40186"/>
    <cellStyle name="常规 4 2 4 8" xfId="40187"/>
    <cellStyle name="常规 4 2 4 8 2" xfId="40188"/>
    <cellStyle name="常规 4 2 4 8 3" xfId="40189"/>
    <cellStyle name="常规 4 2 4 9" xfId="40190"/>
    <cellStyle name="常规 4 2 4 9 2" xfId="40191"/>
    <cellStyle name="常规 4 2 5" xfId="40192"/>
    <cellStyle name="常规 4 2 5 2" xfId="40193"/>
    <cellStyle name="常规 4 2 5 2 2" xfId="40194"/>
    <cellStyle name="常规 4 2 5 2 2 2" xfId="40195"/>
    <cellStyle name="常规 4 2 5 2 2 2 2" xfId="40196"/>
    <cellStyle name="常规 4 2 5 2 2 3" xfId="40197"/>
    <cellStyle name="常规 4 2 5 2 3" xfId="40198"/>
    <cellStyle name="常规 4 2 5 2 3 2" xfId="40199"/>
    <cellStyle name="常规 4 2 5 2 3 2 2" xfId="40200"/>
    <cellStyle name="常规 4 2 5 2 4" xfId="40201"/>
    <cellStyle name="常规 4 2 5 2 4 2" xfId="40202"/>
    <cellStyle name="常规 4 2 5 2 4 3" xfId="40203"/>
    <cellStyle name="常规 4 2 5 2 5" xfId="40204"/>
    <cellStyle name="常规 4 2 5 2 5 2" xfId="40205"/>
    <cellStyle name="常规 4 2 5 2 6" xfId="40206"/>
    <cellStyle name="常规 4 2 5 3" xfId="40207"/>
    <cellStyle name="常规 4 2 5 3 2" xfId="40208"/>
    <cellStyle name="常规 4 2 5 3 2 2" xfId="40209"/>
    <cellStyle name="常规 4 2 5 4" xfId="40210"/>
    <cellStyle name="常规 4 2 5 4 2" xfId="40211"/>
    <cellStyle name="常规 4 2 5 4 2 2" xfId="40212"/>
    <cellStyle name="常规 4 2 5 5" xfId="40213"/>
    <cellStyle name="常规 4 2 5 5 2" xfId="40214"/>
    <cellStyle name="常规 4 2 5 5 3" xfId="40215"/>
    <cellStyle name="常规 4 2 5 6" xfId="40216"/>
    <cellStyle name="常规 4 2 5 6 2" xfId="40217"/>
    <cellStyle name="常规 4 2 5 7" xfId="40218"/>
    <cellStyle name="常规 4 2 6" xfId="40219"/>
    <cellStyle name="常规 4 2 6 2" xfId="40220"/>
    <cellStyle name="常规 4 2 6 2 2" xfId="40221"/>
    <cellStyle name="常规 4 2 6 2 2 2" xfId="40222"/>
    <cellStyle name="常规 4 2 6 2 2 2 2" xfId="40223"/>
    <cellStyle name="常规 4 2 6 2 2 3" xfId="40224"/>
    <cellStyle name="常规 4 2 6 2 3" xfId="40225"/>
    <cellStyle name="常规 4 2 6 2 3 2" xfId="40226"/>
    <cellStyle name="常规 4 2 6 2 3 2 2" xfId="40227"/>
    <cellStyle name="常规 4 2 6 2 4" xfId="40228"/>
    <cellStyle name="常规 4 2 6 2 4 2" xfId="40229"/>
    <cellStyle name="常规 4 2 6 2 4 3" xfId="40230"/>
    <cellStyle name="常规 4 2 6 2 5" xfId="40231"/>
    <cellStyle name="常规 4 2 6 2 5 2" xfId="40232"/>
    <cellStyle name="常规 4 2 6 2 6" xfId="40233"/>
    <cellStyle name="常规 4 2 6 3" xfId="40234"/>
    <cellStyle name="常规 4 2 6 3 2" xfId="40235"/>
    <cellStyle name="常规 4 2 6 3 2 2" xfId="40236"/>
    <cellStyle name="常规 4 2 6 3 3" xfId="40237"/>
    <cellStyle name="常规 4 2 6 4" xfId="40238"/>
    <cellStyle name="常规 4 2 6 4 2" xfId="40239"/>
    <cellStyle name="常规 4 2 6 4 2 2" xfId="40240"/>
    <cellStyle name="常规 4 2 6 5" xfId="40241"/>
    <cellStyle name="常规 4 2 6 5 2" xfId="40242"/>
    <cellStyle name="常规 4 2 6 5 3" xfId="40243"/>
    <cellStyle name="常规 4 2 6 6" xfId="40244"/>
    <cellStyle name="常规 4 2 6 6 2" xfId="40245"/>
    <cellStyle name="常规 4 2 6 7" xfId="40246"/>
    <cellStyle name="常规 4 2 7" xfId="40247"/>
    <cellStyle name="常规 4 2 7 2" xfId="40248"/>
    <cellStyle name="常规 4 2 7 2 2" xfId="40249"/>
    <cellStyle name="常规 4 2 7 2 2 2" xfId="40250"/>
    <cellStyle name="常规 4 2 7 2 2 2 2" xfId="40251"/>
    <cellStyle name="常规 4 2 7 2 3" xfId="40252"/>
    <cellStyle name="常规 4 2 7 2 3 2" xfId="40253"/>
    <cellStyle name="常规 4 2 7 2 3 2 2" xfId="40254"/>
    <cellStyle name="常规 4 2 7 2 4" xfId="40255"/>
    <cellStyle name="常规 4 2 7 2 4 2" xfId="40256"/>
    <cellStyle name="常规 4 2 7 2 5" xfId="40257"/>
    <cellStyle name="常规 4 2 7 3" xfId="40258"/>
    <cellStyle name="常规 4 2 7 3 2" xfId="40259"/>
    <cellStyle name="常规 4 2 7 3 2 2" xfId="40260"/>
    <cellStyle name="常规 4 2 7 3 3" xfId="40261"/>
    <cellStyle name="常规 4 2 7 4" xfId="40262"/>
    <cellStyle name="常规 4 2 7 4 2" xfId="40263"/>
    <cellStyle name="常规 4 2 7 4 2 2" xfId="40264"/>
    <cellStyle name="常规 4 2 7 5" xfId="40265"/>
    <cellStyle name="常规 4 2 7 5 2" xfId="40266"/>
    <cellStyle name="常规 4 2 7 5 3" xfId="40267"/>
    <cellStyle name="常规 4 2 7 6" xfId="40268"/>
    <cellStyle name="常规 4 2 7 6 2" xfId="40269"/>
    <cellStyle name="常规 4 2 8" xfId="40270"/>
    <cellStyle name="常规 4 2 8 2" xfId="40271"/>
    <cellStyle name="常规 4 2 8 2 2" xfId="40272"/>
    <cellStyle name="常规 4 2 8 2 2 2" xfId="40273"/>
    <cellStyle name="常规 4 2 8 3" xfId="40274"/>
    <cellStyle name="常规 4 2 8 3 2" xfId="40275"/>
    <cellStyle name="常规 4 2 8 3 2 2" xfId="40276"/>
    <cellStyle name="常规 4 2 8 4" xfId="40277"/>
    <cellStyle name="常规 4 2 8 4 2" xfId="40278"/>
    <cellStyle name="常规 4 2 8 5" xfId="40279"/>
    <cellStyle name="常规 4 2 9" xfId="40280"/>
    <cellStyle name="常规 4 2 9 2" xfId="40281"/>
    <cellStyle name="常规 4 2 9 2 2" xfId="40282"/>
    <cellStyle name="常规 4 3" xfId="40283"/>
    <cellStyle name="常规 4 3 10" xfId="40284"/>
    <cellStyle name="常规 4 3 10 2" xfId="40285"/>
    <cellStyle name="常规 4 3 10 3" xfId="40286"/>
    <cellStyle name="常规 4 3 10 4" xfId="40287"/>
    <cellStyle name="常规 4 3 11" xfId="40288"/>
    <cellStyle name="常规 4 3 12" xfId="40289"/>
    <cellStyle name="常规 4 3 13" xfId="40290"/>
    <cellStyle name="常规 4 3 14" xfId="40291"/>
    <cellStyle name="常规 4 3 14 2" xfId="40292"/>
    <cellStyle name="常规 4 3 2" xfId="40293"/>
    <cellStyle name="常规 4 3 2 2" xfId="40294"/>
    <cellStyle name="常规 4 3 2 2 2" xfId="40295"/>
    <cellStyle name="常规 4 3 2 2 2 2" xfId="40296"/>
    <cellStyle name="常规 4 3 2 2 2 3" xfId="40297"/>
    <cellStyle name="常规 4 3 2 2 2 4" xfId="40298"/>
    <cellStyle name="常规 4 3 2 2 3" xfId="40299"/>
    <cellStyle name="常规 4 3 2 2 4" xfId="40300"/>
    <cellStyle name="常规 4 3 2 2 5" xfId="40301"/>
    <cellStyle name="常规 4 3 2 3" xfId="40302"/>
    <cellStyle name="常规 4 3 2 3 2" xfId="40303"/>
    <cellStyle name="常规 4 3 2 3 2 2" xfId="40304"/>
    <cellStyle name="常规 4 3 2 3 2 3" xfId="40305"/>
    <cellStyle name="常规 4 3 2 3 2 4" xfId="40306"/>
    <cellStyle name="常规 4 3 2 3 3" xfId="40307"/>
    <cellStyle name="常规 4 3 2 3 4" xfId="40308"/>
    <cellStyle name="常规 4 3 2 3 5" xfId="40309"/>
    <cellStyle name="常规 4 3 2 4" xfId="40310"/>
    <cellStyle name="常规 4 3 2 4 2" xfId="40311"/>
    <cellStyle name="常规 4 3 2 4 3" xfId="40312"/>
    <cellStyle name="常规 4 3 2 4 4" xfId="40313"/>
    <cellStyle name="常规 4 3 2 5" xfId="40314"/>
    <cellStyle name="常规 4 3 2 6" xfId="40315"/>
    <cellStyle name="常规 4 3 2 7" xfId="40316"/>
    <cellStyle name="常规 4 3 3" xfId="40317"/>
    <cellStyle name="常规 4 3 3 2" xfId="40318"/>
    <cellStyle name="常规 4 3 3 2 2" xfId="40319"/>
    <cellStyle name="常规 4 3 3 2 2 2" xfId="40320"/>
    <cellStyle name="常规 4 3 3 2 2 3" xfId="40321"/>
    <cellStyle name="常规 4 3 3 2 2 4" xfId="40322"/>
    <cellStyle name="常规 4 3 3 2 3" xfId="40323"/>
    <cellStyle name="常规 4 3 3 2 4" xfId="40324"/>
    <cellStyle name="常规 4 3 3 2 5" xfId="40325"/>
    <cellStyle name="常规 4 3 3 3" xfId="40326"/>
    <cellStyle name="常规 4 3 3 3 2" xfId="40327"/>
    <cellStyle name="常规 4 3 3 3 2 2" xfId="40328"/>
    <cellStyle name="常规 4 3 3 3 2 3" xfId="40329"/>
    <cellStyle name="常规 4 3 3 3 2 4" xfId="40330"/>
    <cellStyle name="常规 4 3 3 3 3" xfId="40331"/>
    <cellStyle name="常规 4 3 3 3 4" xfId="40332"/>
    <cellStyle name="常规 4 3 3 3 5" xfId="40333"/>
    <cellStyle name="常规 4 3 3 4" xfId="40334"/>
    <cellStyle name="常规 4 3 3 4 2" xfId="40335"/>
    <cellStyle name="常规 4 3 3 4 3" xfId="40336"/>
    <cellStyle name="常规 4 3 3 4 4" xfId="40337"/>
    <cellStyle name="常规 4 3 3 5" xfId="40338"/>
    <cellStyle name="常规 4 3 3 6" xfId="40339"/>
    <cellStyle name="常规 4 3 3 7" xfId="40340"/>
    <cellStyle name="常规 4 3 4" xfId="40341"/>
    <cellStyle name="常规 4 3 4 2" xfId="40342"/>
    <cellStyle name="常规 4 3 4 2 2" xfId="40343"/>
    <cellStyle name="常规 4 3 4 2 2 2" xfId="40344"/>
    <cellStyle name="常规 4 3 4 2 2 3" xfId="40345"/>
    <cellStyle name="常规 4 3 4 2 2 4" xfId="40346"/>
    <cellStyle name="常规 4 3 4 2 3" xfId="40347"/>
    <cellStyle name="常规 4 3 4 2 4" xfId="40348"/>
    <cellStyle name="常规 4 3 4 2 5" xfId="40349"/>
    <cellStyle name="常规 4 3 4 3" xfId="40350"/>
    <cellStyle name="常规 4 3 4 3 2" xfId="40351"/>
    <cellStyle name="常规 4 3 4 3 2 2" xfId="40352"/>
    <cellStyle name="常规 4 3 4 3 2 3" xfId="40353"/>
    <cellStyle name="常规 4 3 4 3 2 4" xfId="40354"/>
    <cellStyle name="常规 4 3 4 3 3" xfId="40355"/>
    <cellStyle name="常规 4 3 4 3 4" xfId="40356"/>
    <cellStyle name="常规 4 3 4 3 5" xfId="40357"/>
    <cellStyle name="常规 4 3 4 4" xfId="40358"/>
    <cellStyle name="常规 4 3 4 4 2" xfId="40359"/>
    <cellStyle name="常规 4 3 4 4 3" xfId="40360"/>
    <cellStyle name="常规 4 3 4 4 4" xfId="40361"/>
    <cellStyle name="常规 4 3 4 5" xfId="40362"/>
    <cellStyle name="常规 4 3 4 6" xfId="40363"/>
    <cellStyle name="常规 4 3 4 7" xfId="40364"/>
    <cellStyle name="常规 4 3 5" xfId="40365"/>
    <cellStyle name="常规 4 3 5 2" xfId="40366"/>
    <cellStyle name="常规 4 3 5 2 2" xfId="40367"/>
    <cellStyle name="常规 4 3 5 2 2 2" xfId="40368"/>
    <cellStyle name="常规 4 3 5 2 2 3" xfId="40369"/>
    <cellStyle name="常规 4 3 5 2 2 4" xfId="40370"/>
    <cellStyle name="常规 4 3 5 2 3" xfId="40371"/>
    <cellStyle name="常规 4 3 5 2 4" xfId="40372"/>
    <cellStyle name="常规 4 3 5 2 5" xfId="40373"/>
    <cellStyle name="常规 4 3 5 3" xfId="40374"/>
    <cellStyle name="常规 4 3 5 3 2" xfId="40375"/>
    <cellStyle name="常规 4 3 5 3 2 2" xfId="40376"/>
    <cellStyle name="常规 4 3 5 3 2 3" xfId="40377"/>
    <cellStyle name="常规 4 3 5 3 2 4" xfId="40378"/>
    <cellStyle name="常规 4 3 5 3 3" xfId="40379"/>
    <cellStyle name="常规 4 3 5 3 4" xfId="40380"/>
    <cellStyle name="常规 4 3 5 3 5" xfId="40381"/>
    <cellStyle name="常规 4 3 5 4" xfId="40382"/>
    <cellStyle name="常规 4 3 5 4 2" xfId="40383"/>
    <cellStyle name="常规 4 3 5 4 3" xfId="40384"/>
    <cellStyle name="常规 4 3 5 4 4" xfId="40385"/>
    <cellStyle name="常规 4 3 5 5" xfId="40386"/>
    <cellStyle name="常规 4 3 5 6" xfId="40387"/>
    <cellStyle name="常规 4 3 5 7" xfId="40388"/>
    <cellStyle name="常规 4 3 6" xfId="40389"/>
    <cellStyle name="常规 4 3 6 2" xfId="40390"/>
    <cellStyle name="常规 4 3 6 2 2" xfId="40391"/>
    <cellStyle name="常规 4 3 6 2 2 2" xfId="40392"/>
    <cellStyle name="常规 4 3 6 2 2 3" xfId="40393"/>
    <cellStyle name="常规 4 3 6 2 2 4" xfId="40394"/>
    <cellStyle name="常规 4 3 6 2 3" xfId="40395"/>
    <cellStyle name="常规 4 3 6 2 4" xfId="40396"/>
    <cellStyle name="常规 4 3 6 2 5" xfId="40397"/>
    <cellStyle name="常规 4 3 6 3" xfId="40398"/>
    <cellStyle name="常规 4 3 6 3 2" xfId="40399"/>
    <cellStyle name="常规 4 3 6 3 2 2" xfId="40400"/>
    <cellStyle name="常规 4 3 6 3 2 3" xfId="40401"/>
    <cellStyle name="常规 4 3 6 3 2 4" xfId="40402"/>
    <cellStyle name="常规 4 3 6 3 3" xfId="40403"/>
    <cellStyle name="常规 4 3 6 3 4" xfId="40404"/>
    <cellStyle name="常规 4 3 6 3 5" xfId="40405"/>
    <cellStyle name="常规 4 3 6 4" xfId="40406"/>
    <cellStyle name="常规 4 3 6 4 2" xfId="40407"/>
    <cellStyle name="常规 4 3 6 4 3" xfId="40408"/>
    <cellStyle name="常规 4 3 6 4 4" xfId="40409"/>
    <cellStyle name="常规 4 3 6 5" xfId="40410"/>
    <cellStyle name="常规 4 3 6 6" xfId="40411"/>
    <cellStyle name="常规 4 3 6 7" xfId="40412"/>
    <cellStyle name="常规 4 3 7" xfId="40413"/>
    <cellStyle name="常规 4 3 7 2" xfId="40414"/>
    <cellStyle name="常规 4 3 7 2 2" xfId="40415"/>
    <cellStyle name="常规 4 3 7 2 2 2" xfId="40416"/>
    <cellStyle name="常规 4 3 7 2 2 2 2" xfId="40417"/>
    <cellStyle name="常规 4 3 7 2 2 2 3" xfId="40418"/>
    <cellStyle name="常规 4 3 7 2 2 2 4" xfId="40419"/>
    <cellStyle name="常规 4 3 7 2 2 3" xfId="40420"/>
    <cellStyle name="常规 4 3 7 2 2 4" xfId="40421"/>
    <cellStyle name="常规 4 3 7 2 2 5" xfId="40422"/>
    <cellStyle name="常规 4 3 7 2 3" xfId="40423"/>
    <cellStyle name="常规 4 3 7 2 3 2" xfId="40424"/>
    <cellStyle name="常规 4 3 7 2 3 2 2" xfId="40425"/>
    <cellStyle name="常规 4 3 7 2 3 2 3" xfId="40426"/>
    <cellStyle name="常规 4 3 7 2 3 2 4" xfId="40427"/>
    <cellStyle name="常规 4 3 7 2 3 3" xfId="40428"/>
    <cellStyle name="常规 4 3 7 2 3 4" xfId="40429"/>
    <cellStyle name="常规 4 3 7 2 3 5" xfId="40430"/>
    <cellStyle name="常规 4 3 7 2 4" xfId="40431"/>
    <cellStyle name="常规 4 3 7 2 4 2" xfId="40432"/>
    <cellStyle name="常规 4 3 7 2 4 3" xfId="40433"/>
    <cellStyle name="常规 4 3 7 2 4 4" xfId="40434"/>
    <cellStyle name="常规 4 3 7 2 5" xfId="40435"/>
    <cellStyle name="常规 4 3 7 2 6" xfId="40436"/>
    <cellStyle name="常规 4 3 7 2 7" xfId="40437"/>
    <cellStyle name="常规 4 3 7 3" xfId="40438"/>
    <cellStyle name="常规 4 3 7 3 2" xfId="40439"/>
    <cellStyle name="常规 4 3 7 3 2 2" xfId="40440"/>
    <cellStyle name="常规 4 3 7 3 2 3" xfId="40441"/>
    <cellStyle name="常规 4 3 7 3 2 4" xfId="40442"/>
    <cellStyle name="常规 4 3 7 3 3" xfId="40443"/>
    <cellStyle name="常规 4 3 7 3 4" xfId="40444"/>
    <cellStyle name="常规 4 3 7 3 5" xfId="40445"/>
    <cellStyle name="常规 4 3 7 4" xfId="40446"/>
    <cellStyle name="常规 4 3 7 4 2" xfId="40447"/>
    <cellStyle name="常规 4 3 7 4 2 2" xfId="40448"/>
    <cellStyle name="常规 4 3 7 4 2 3" xfId="40449"/>
    <cellStyle name="常规 4 3 7 4 2 4" xfId="40450"/>
    <cellStyle name="常规 4 3 7 4 3" xfId="40451"/>
    <cellStyle name="常规 4 3 7 4 4" xfId="40452"/>
    <cellStyle name="常规 4 3 7 4 5" xfId="40453"/>
    <cellStyle name="常规 4 3 7 5" xfId="40454"/>
    <cellStyle name="常规 4 3 7 5 2" xfId="40455"/>
    <cellStyle name="常规 4 3 7 5 3" xfId="40456"/>
    <cellStyle name="常规 4 3 7 5 4" xfId="40457"/>
    <cellStyle name="常规 4 3 7 6" xfId="40458"/>
    <cellStyle name="常规 4 3 7 7" xfId="40459"/>
    <cellStyle name="常规 4 3 7 8" xfId="40460"/>
    <cellStyle name="常规 4 3 8" xfId="40461"/>
    <cellStyle name="常规 4 3 8 2" xfId="40462"/>
    <cellStyle name="常规 4 3 8 2 2" xfId="40463"/>
    <cellStyle name="常规 4 3 8 2 3" xfId="40464"/>
    <cellStyle name="常规 4 3 8 2 4" xfId="40465"/>
    <cellStyle name="常规 4 3 8 3" xfId="40466"/>
    <cellStyle name="常规 4 3 8 4" xfId="40467"/>
    <cellStyle name="常规 4 3 8 5" xfId="40468"/>
    <cellStyle name="常规 4 3 9" xfId="40469"/>
    <cellStyle name="常规 4 3 9 2" xfId="40470"/>
    <cellStyle name="常规 4 3 9 2 2" xfId="40471"/>
    <cellStyle name="常规 4 3 9 2 3" xfId="40472"/>
    <cellStyle name="常规 4 3 9 2 4" xfId="40473"/>
    <cellStyle name="常规 4 3 9 3" xfId="40474"/>
    <cellStyle name="常规 4 3 9 4" xfId="40475"/>
    <cellStyle name="常规 4 3 9 5" xfId="40476"/>
    <cellStyle name="常规 4 4" xfId="40477"/>
    <cellStyle name="常规 4 4 10" xfId="40478"/>
    <cellStyle name="常规 4 4 10 2" xfId="40479"/>
    <cellStyle name="常规 4 4 10 3" xfId="40480"/>
    <cellStyle name="常规 4 4 11" xfId="40481"/>
    <cellStyle name="常规 4 4 2" xfId="40482"/>
    <cellStyle name="常规 4 4 2 2" xfId="40483"/>
    <cellStyle name="常规 4 4 2 2 2" xfId="40484"/>
    <cellStyle name="常规 4 4 2 2 2 2" xfId="40485"/>
    <cellStyle name="常规 4 4 2 2 2 2 2" xfId="40486"/>
    <cellStyle name="常规 4 4 2 2 2 2 2 2" xfId="40487"/>
    <cellStyle name="常规 4 4 2 2 2 3" xfId="40488"/>
    <cellStyle name="常规 4 4 2 2 2 3 2" xfId="40489"/>
    <cellStyle name="常规 4 4 2 2 2 3 2 2" xfId="40490"/>
    <cellStyle name="常规 4 4 2 2 2 4" xfId="40491"/>
    <cellStyle name="常规 4 4 2 2 2 4 2" xfId="40492"/>
    <cellStyle name="常规 4 4 2 2 2 4 2 2" xfId="40493"/>
    <cellStyle name="常规 4 4 2 2 2 5" xfId="40494"/>
    <cellStyle name="常规 4 4 2 2 2 5 2" xfId="40495"/>
    <cellStyle name="常规 4 4 2 2 2 5 3" xfId="40496"/>
    <cellStyle name="常规 4 4 2 2 2 6" xfId="40497"/>
    <cellStyle name="常规 4 4 2 2 3" xfId="40498"/>
    <cellStyle name="常规 4 4 2 2 3 2" xfId="40499"/>
    <cellStyle name="常规 4 4 2 2 3 2 2" xfId="40500"/>
    <cellStyle name="常规 4 4 2 2 3 2 2 2" xfId="40501"/>
    <cellStyle name="常规 4 4 2 2 3 3" xfId="40502"/>
    <cellStyle name="常规 4 4 2 2 3 3 2" xfId="40503"/>
    <cellStyle name="常规 4 4 2 2 3 3 2 2" xfId="40504"/>
    <cellStyle name="常规 4 4 2 2 3 4" xfId="40505"/>
    <cellStyle name="常规 4 4 2 2 3 4 2" xfId="40506"/>
    <cellStyle name="常规 4 4 2 2 3 5" xfId="40507"/>
    <cellStyle name="常规 4 4 2 2 4" xfId="40508"/>
    <cellStyle name="常规 4 4 2 2 4 2" xfId="40509"/>
    <cellStyle name="常规 4 4 2 2 4 2 2" xfId="40510"/>
    <cellStyle name="常规 4 4 2 2 5" xfId="40511"/>
    <cellStyle name="常规 4 4 2 2 5 2" xfId="40512"/>
    <cellStyle name="常规 4 4 2 2 5 2 2" xfId="40513"/>
    <cellStyle name="常规 4 4 2 2 6" xfId="40514"/>
    <cellStyle name="常规 4 4 2 2 7" xfId="40515"/>
    <cellStyle name="常规 4 4 2 2 7 2" xfId="40516"/>
    <cellStyle name="常规 4 4 2 2 7 3" xfId="40517"/>
    <cellStyle name="常规 4 4 2 2 8" xfId="40518"/>
    <cellStyle name="常规 4 4 2 2 8 2" xfId="40519"/>
    <cellStyle name="常规 4 4 2 3" xfId="40520"/>
    <cellStyle name="常规 4 4 2 3 2" xfId="40521"/>
    <cellStyle name="常规 4 4 2 3 2 2" xfId="40522"/>
    <cellStyle name="常规 4 4 2 3 2 3" xfId="40523"/>
    <cellStyle name="常规 4 4 2 3 2 4" xfId="40524"/>
    <cellStyle name="常规 4 4 2 3 2 5" xfId="40525"/>
    <cellStyle name="常规 4 4 2 3 2 5 2" xfId="40526"/>
    <cellStyle name="常规 4 4 2 3 3" xfId="40527"/>
    <cellStyle name="常规 4 4 2 3 3 2" xfId="40528"/>
    <cellStyle name="常规 4 4 2 3 3 2 2" xfId="40529"/>
    <cellStyle name="常规 4 4 2 3 4" xfId="40530"/>
    <cellStyle name="常规 4 4 2 3 4 2" xfId="40531"/>
    <cellStyle name="常规 4 4 2 3 4 2 2" xfId="40532"/>
    <cellStyle name="常规 4 4 2 3 5" xfId="40533"/>
    <cellStyle name="常规 4 4 2 3 5 2" xfId="40534"/>
    <cellStyle name="常规 4 4 2 3 5 3" xfId="40535"/>
    <cellStyle name="常规 4 4 2 3 6" xfId="40536"/>
    <cellStyle name="常规 4 4 2 3 6 2" xfId="40537"/>
    <cellStyle name="常规 4 4 2 3 7" xfId="40538"/>
    <cellStyle name="常规 4 4 2 4" xfId="40539"/>
    <cellStyle name="常规 4 4 2 4 2" xfId="40540"/>
    <cellStyle name="常规 4 4 2 4 3" xfId="40541"/>
    <cellStyle name="常规 4 4 2 4 4" xfId="40542"/>
    <cellStyle name="常规 4 4 2 4 5" xfId="40543"/>
    <cellStyle name="常规 4 4 2 4 5 2" xfId="40544"/>
    <cellStyle name="常规 4 4 2 5" xfId="40545"/>
    <cellStyle name="常规 4 4 2 5 2" xfId="40546"/>
    <cellStyle name="常规 4 4 2 5 2 2" xfId="40547"/>
    <cellStyle name="常规 4 4 2 6" xfId="40548"/>
    <cellStyle name="常规 4 4 2 6 2" xfId="40549"/>
    <cellStyle name="常规 4 4 2 6 2 2" xfId="40550"/>
    <cellStyle name="常规 4 4 2 7" xfId="40551"/>
    <cellStyle name="常规 4 4 2 7 2" xfId="40552"/>
    <cellStyle name="常规 4 4 2 7 2 2" xfId="40553"/>
    <cellStyle name="常规 4 4 2 8" xfId="40554"/>
    <cellStyle name="常规 4 4 2 8 2" xfId="40555"/>
    <cellStyle name="常规 4 4 2 8 3" xfId="40556"/>
    <cellStyle name="常规 4 4 2 9" xfId="40557"/>
    <cellStyle name="常规 4 4 2 9 2" xfId="40558"/>
    <cellStyle name="常规 4 4 3" xfId="40559"/>
    <cellStyle name="常规 4 4 3 10" xfId="40560"/>
    <cellStyle name="常规 4 4 3 2" xfId="40561"/>
    <cellStyle name="常规 4 4 3 2 2" xfId="40562"/>
    <cellStyle name="常规 4 4 3 2 2 2" xfId="40563"/>
    <cellStyle name="常规 4 4 3 2 2 2 2" xfId="40564"/>
    <cellStyle name="常规 4 4 3 2 2 2 3" xfId="40565"/>
    <cellStyle name="常规 4 4 3 2 2 2 4" xfId="40566"/>
    <cellStyle name="常规 4 4 3 2 2 3" xfId="40567"/>
    <cellStyle name="常规 4 4 3 2 2 4" xfId="40568"/>
    <cellStyle name="常规 4 4 3 2 2 5" xfId="40569"/>
    <cellStyle name="常规 4 4 3 2 2 6" xfId="40570"/>
    <cellStyle name="常规 4 4 3 2 2 6 2" xfId="40571"/>
    <cellStyle name="常规 4 4 3 2 3" xfId="40572"/>
    <cellStyle name="常规 4 4 3 2 3 2" xfId="40573"/>
    <cellStyle name="常规 4 4 3 2 3 2 2" xfId="40574"/>
    <cellStyle name="常规 4 4 3 2 3 2 3" xfId="40575"/>
    <cellStyle name="常规 4 4 3 2 3 2 4" xfId="40576"/>
    <cellStyle name="常规 4 4 3 2 3 3" xfId="40577"/>
    <cellStyle name="常规 4 4 3 2 3 4" xfId="40578"/>
    <cellStyle name="常规 4 4 3 2 3 5" xfId="40579"/>
    <cellStyle name="常规 4 4 3 2 3 6" xfId="40580"/>
    <cellStyle name="常规 4 4 3 2 3 6 2" xfId="40581"/>
    <cellStyle name="常规 4 4 3 2 4" xfId="40582"/>
    <cellStyle name="常规 4 4 3 2 4 2" xfId="40583"/>
    <cellStyle name="常规 4 4 3 2 4 2 2" xfId="40584"/>
    <cellStyle name="常规 4 4 3 2 4 3" xfId="40585"/>
    <cellStyle name="常规 4 4 3 2 4 4" xfId="40586"/>
    <cellStyle name="常规 4 4 3 2 4 5" xfId="40587"/>
    <cellStyle name="常规 4 4 3 2 5" xfId="40588"/>
    <cellStyle name="常规 4 4 3 2 5 2" xfId="40589"/>
    <cellStyle name="常规 4 4 3 2 5 3" xfId="40590"/>
    <cellStyle name="常规 4 4 3 2 6" xfId="40591"/>
    <cellStyle name="常规 4 4 3 2 7" xfId="40592"/>
    <cellStyle name="常规 4 4 3 2 8" xfId="40593"/>
    <cellStyle name="常规 4 4 3 2 8 2" xfId="40594"/>
    <cellStyle name="常规 4 4 3 2 9" xfId="40595"/>
    <cellStyle name="常规 4 4 3 3" xfId="40596"/>
    <cellStyle name="常规 4 4 3 3 2" xfId="40597"/>
    <cellStyle name="常规 4 4 3 3 2 2" xfId="40598"/>
    <cellStyle name="常规 4 4 3 3 2 2 2" xfId="40599"/>
    <cellStyle name="常规 4 4 3 3 2 3" xfId="40600"/>
    <cellStyle name="常规 4 4 3 3 2 4" xfId="40601"/>
    <cellStyle name="常规 4 4 3 3 2 5" xfId="40602"/>
    <cellStyle name="常规 4 4 3 3 2 5 2" xfId="40603"/>
    <cellStyle name="常规 4 4 3 3 2 6" xfId="40604"/>
    <cellStyle name="常规 4 4 3 3 3" xfId="40605"/>
    <cellStyle name="常规 4 4 3 3 3 2" xfId="40606"/>
    <cellStyle name="常规 4 4 3 3 3 2 2" xfId="40607"/>
    <cellStyle name="常规 4 4 3 3 4" xfId="40608"/>
    <cellStyle name="常规 4 4 3 3 4 2" xfId="40609"/>
    <cellStyle name="常规 4 4 3 3 4 3" xfId="40610"/>
    <cellStyle name="常规 4 4 3 3 5" xfId="40611"/>
    <cellStyle name="常规 4 4 3 3 5 2" xfId="40612"/>
    <cellStyle name="常规 4 4 3 3 6" xfId="40613"/>
    <cellStyle name="常规 4 4 3 3 6 2" xfId="40614"/>
    <cellStyle name="常规 4 4 3 3 7" xfId="40615"/>
    <cellStyle name="常规 4 4 3 4" xfId="40616"/>
    <cellStyle name="常规 4 4 3 4 2" xfId="40617"/>
    <cellStyle name="常规 4 4 3 4 2 2" xfId="40618"/>
    <cellStyle name="常规 4 4 3 4 2 3" xfId="40619"/>
    <cellStyle name="常规 4 4 3 4 2 4" xfId="40620"/>
    <cellStyle name="常规 4 4 3 4 3" xfId="40621"/>
    <cellStyle name="常规 4 4 3 4 4" xfId="40622"/>
    <cellStyle name="常规 4 4 3 4 5" xfId="40623"/>
    <cellStyle name="常规 4 4 3 4 6" xfId="40624"/>
    <cellStyle name="常规 4 4 3 4 6 2" xfId="40625"/>
    <cellStyle name="常规 4 4 3 5" xfId="40626"/>
    <cellStyle name="常规 4 4 3 5 2" xfId="40627"/>
    <cellStyle name="常规 4 4 3 5 3" xfId="40628"/>
    <cellStyle name="常规 4 4 3 5 4" xfId="40629"/>
    <cellStyle name="常规 4 4 3 5 5" xfId="40630"/>
    <cellStyle name="常规 4 4 3 5 5 2" xfId="40631"/>
    <cellStyle name="常规 4 4 3 6" xfId="40632"/>
    <cellStyle name="常规 4 4 3 6 2" xfId="40633"/>
    <cellStyle name="常规 4 4 3 6 2 2" xfId="40634"/>
    <cellStyle name="常规 4 4 3 7" xfId="40635"/>
    <cellStyle name="常规 4 4 3 7 2" xfId="40636"/>
    <cellStyle name="常规 4 4 3 7 2 2" xfId="40637"/>
    <cellStyle name="常规 4 4 3 8" xfId="40638"/>
    <cellStyle name="常规 4 4 3 8 2" xfId="40639"/>
    <cellStyle name="常规 4 4 3 8 3" xfId="40640"/>
    <cellStyle name="常规 4 4 3 9" xfId="40641"/>
    <cellStyle name="常规 4 4 3 9 2" xfId="40642"/>
    <cellStyle name="常规 4 4 4" xfId="40643"/>
    <cellStyle name="常规 4 4 4 2" xfId="40644"/>
    <cellStyle name="常规 4 4 4 2 2" xfId="40645"/>
    <cellStyle name="常规 4 4 4 2 3" xfId="40646"/>
    <cellStyle name="常规 4 4 4 2 4" xfId="40647"/>
    <cellStyle name="常规 4 4 4 2 5" xfId="40648"/>
    <cellStyle name="常规 4 4 4 2 5 2" xfId="40649"/>
    <cellStyle name="常规 4 4 4 3" xfId="40650"/>
    <cellStyle name="常规 4 4 4 3 2" xfId="40651"/>
    <cellStyle name="常规 4 4 4 3 2 2" xfId="40652"/>
    <cellStyle name="常规 4 4 4 4" xfId="40653"/>
    <cellStyle name="常规 4 4 4 4 2" xfId="40654"/>
    <cellStyle name="常规 4 4 4 4 2 2" xfId="40655"/>
    <cellStyle name="常规 4 4 4 5" xfId="40656"/>
    <cellStyle name="常规 4 4 4 5 2" xfId="40657"/>
    <cellStyle name="常规 4 4 4 5 3" xfId="40658"/>
    <cellStyle name="常规 4 4 4 6" xfId="40659"/>
    <cellStyle name="常规 4 4 4 6 2" xfId="40660"/>
    <cellStyle name="常规 4 4 4 7" xfId="40661"/>
    <cellStyle name="常规 4 4 5" xfId="40662"/>
    <cellStyle name="常规 4 4 5 2" xfId="40663"/>
    <cellStyle name="常规 4 4 5 2 2" xfId="40664"/>
    <cellStyle name="常规 4 4 5 2 3" xfId="40665"/>
    <cellStyle name="常规 4 4 5 2 4" xfId="40666"/>
    <cellStyle name="常规 4 4 5 3" xfId="40667"/>
    <cellStyle name="常规 4 4 5 4" xfId="40668"/>
    <cellStyle name="常规 4 4 5 5" xfId="40669"/>
    <cellStyle name="常规 4 4 5 6" xfId="40670"/>
    <cellStyle name="常规 4 4 5 6 2" xfId="40671"/>
    <cellStyle name="常规 4 4 6" xfId="40672"/>
    <cellStyle name="常规 4 4 6 2" xfId="40673"/>
    <cellStyle name="常规 4 4 6 3" xfId="40674"/>
    <cellStyle name="常规 4 4 6 4" xfId="40675"/>
    <cellStyle name="常规 4 4 6 5" xfId="40676"/>
    <cellStyle name="常规 4 4 6 5 2" xfId="40677"/>
    <cellStyle name="常规 4 4 7" xfId="40678"/>
    <cellStyle name="常规 4 4 7 2" xfId="40679"/>
    <cellStyle name="常规 4 4 7 2 2" xfId="40680"/>
    <cellStyle name="常规 4 4 8" xfId="40681"/>
    <cellStyle name="常规 4 4 8 2" xfId="40682"/>
    <cellStyle name="常规 4 4 8 2 2" xfId="40683"/>
    <cellStyle name="常规 4 4 9" xfId="40684"/>
    <cellStyle name="常规 4 4 9 2" xfId="40685"/>
    <cellStyle name="常规 4 4 9 2 2" xfId="40686"/>
    <cellStyle name="常规 4 5" xfId="40687"/>
    <cellStyle name="常规 4 5 10" xfId="40688"/>
    <cellStyle name="常规 4 5 10 2" xfId="40689"/>
    <cellStyle name="常规 4 5 2" xfId="40690"/>
    <cellStyle name="常规 4 5 2 10" xfId="40691"/>
    <cellStyle name="常规 4 5 2 2" xfId="40692"/>
    <cellStyle name="常规 4 5 2 2 2" xfId="40693"/>
    <cellStyle name="常规 4 5 2 2 2 2" xfId="40694"/>
    <cellStyle name="常规 4 5 2 2 2 2 2" xfId="40695"/>
    <cellStyle name="常规 4 5 2 2 2 2 3" xfId="40696"/>
    <cellStyle name="常规 4 5 2 2 2 2 4" xfId="40697"/>
    <cellStyle name="常规 4 5 2 2 2 3" xfId="40698"/>
    <cellStyle name="常规 4 5 2 2 2 4" xfId="40699"/>
    <cellStyle name="常规 4 5 2 2 2 5" xfId="40700"/>
    <cellStyle name="常规 4 5 2 2 2 6" xfId="40701"/>
    <cellStyle name="常规 4 5 2 2 2 6 2" xfId="40702"/>
    <cellStyle name="常规 4 5 2 2 3" xfId="40703"/>
    <cellStyle name="常规 4 5 2 2 3 2" xfId="40704"/>
    <cellStyle name="常规 4 5 2 2 3 2 2" xfId="40705"/>
    <cellStyle name="常规 4 5 2 2 3 2 3" xfId="40706"/>
    <cellStyle name="常规 4 5 2 2 3 2 4" xfId="40707"/>
    <cellStyle name="常规 4 5 2 2 3 3" xfId="40708"/>
    <cellStyle name="常规 4 5 2 2 3 4" xfId="40709"/>
    <cellStyle name="常规 4 5 2 2 3 5" xfId="40710"/>
    <cellStyle name="常规 4 5 2 2 3 6" xfId="40711"/>
    <cellStyle name="常规 4 5 2 2 3 6 2" xfId="40712"/>
    <cellStyle name="常规 4 5 2 2 4" xfId="40713"/>
    <cellStyle name="常规 4 5 2 2 4 2" xfId="40714"/>
    <cellStyle name="常规 4 5 2 2 4 2 2" xfId="40715"/>
    <cellStyle name="常规 4 5 2 2 4 3" xfId="40716"/>
    <cellStyle name="常规 4 5 2 2 4 4" xfId="40717"/>
    <cellStyle name="常规 4 5 2 2 4 5" xfId="40718"/>
    <cellStyle name="常规 4 5 2 2 5" xfId="40719"/>
    <cellStyle name="常规 4 5 2 2 5 2" xfId="40720"/>
    <cellStyle name="常规 4 5 2 2 5 3" xfId="40721"/>
    <cellStyle name="常规 4 5 2 2 6" xfId="40722"/>
    <cellStyle name="常规 4 5 2 2 7" xfId="40723"/>
    <cellStyle name="常规 4 5 2 2 8" xfId="40724"/>
    <cellStyle name="常规 4 5 2 2 8 2" xfId="40725"/>
    <cellStyle name="常规 4 5 2 2 9" xfId="40726"/>
    <cellStyle name="常规 4 5 2 3" xfId="40727"/>
    <cellStyle name="常规 4 5 2 3 2" xfId="40728"/>
    <cellStyle name="常规 4 5 2 3 2 2" xfId="40729"/>
    <cellStyle name="常规 4 5 2 3 2 3" xfId="40730"/>
    <cellStyle name="常规 4 5 2 3 2 4" xfId="40731"/>
    <cellStyle name="常规 4 5 2 3 3" xfId="40732"/>
    <cellStyle name="常规 4 5 2 3 4" xfId="40733"/>
    <cellStyle name="常规 4 5 2 3 5" xfId="40734"/>
    <cellStyle name="常规 4 5 2 3 6" xfId="40735"/>
    <cellStyle name="常规 4 5 2 3 6 2" xfId="40736"/>
    <cellStyle name="常规 4 5 2 4" xfId="40737"/>
    <cellStyle name="常规 4 5 2 4 2" xfId="40738"/>
    <cellStyle name="常规 4 5 2 4 2 2" xfId="40739"/>
    <cellStyle name="常规 4 5 2 4 2 3" xfId="40740"/>
    <cellStyle name="常规 4 5 2 4 2 4" xfId="40741"/>
    <cellStyle name="常规 4 5 2 4 3" xfId="40742"/>
    <cellStyle name="常规 4 5 2 4 4" xfId="40743"/>
    <cellStyle name="常规 4 5 2 4 5" xfId="40744"/>
    <cellStyle name="常规 4 5 2 4 6" xfId="40745"/>
    <cellStyle name="常规 4 5 2 4 6 2" xfId="40746"/>
    <cellStyle name="常规 4 5 2 5" xfId="40747"/>
    <cellStyle name="常规 4 5 2 5 2" xfId="40748"/>
    <cellStyle name="常规 4 5 2 5 3" xfId="40749"/>
    <cellStyle name="常规 4 5 2 5 4" xfId="40750"/>
    <cellStyle name="常规 4 5 2 5 5" xfId="40751"/>
    <cellStyle name="常规 4 5 2 5 5 2" xfId="40752"/>
    <cellStyle name="常规 4 5 2 6" xfId="40753"/>
    <cellStyle name="常规 4 5 2 6 2" xfId="40754"/>
    <cellStyle name="常规 4 5 2 6 2 2" xfId="40755"/>
    <cellStyle name="常规 4 5 2 7" xfId="40756"/>
    <cellStyle name="常规 4 5 2 7 2" xfId="40757"/>
    <cellStyle name="常规 4 5 2 7 2 2" xfId="40758"/>
    <cellStyle name="常规 4 5 2 8" xfId="40759"/>
    <cellStyle name="常规 4 5 2 8 2" xfId="40760"/>
    <cellStyle name="常规 4 5 2 8 3" xfId="40761"/>
    <cellStyle name="常规 4 5 2 9" xfId="40762"/>
    <cellStyle name="常规 4 5 2 9 2" xfId="40763"/>
    <cellStyle name="常规 4 5 3" xfId="40764"/>
    <cellStyle name="常规 4 5 3 2" xfId="40765"/>
    <cellStyle name="常规 4 5 3 2 2" xfId="40766"/>
    <cellStyle name="常规 4 5 3 2 2 2" xfId="40767"/>
    <cellStyle name="常规 4 5 3 2 2 2 2" xfId="40768"/>
    <cellStyle name="常规 4 5 3 2 3" xfId="40769"/>
    <cellStyle name="常规 4 5 3 2 3 2" xfId="40770"/>
    <cellStyle name="常规 4 5 3 2 3 2 2" xfId="40771"/>
    <cellStyle name="常规 4 5 3 2 4" xfId="40772"/>
    <cellStyle name="常规 4 5 3 2 4 2" xfId="40773"/>
    <cellStyle name="常规 4 5 3 2 4 2 2" xfId="40774"/>
    <cellStyle name="常规 4 5 3 2 5" xfId="40775"/>
    <cellStyle name="常规 4 5 3 2 5 2" xfId="40776"/>
    <cellStyle name="常规 4 5 3 2 5 3" xfId="40777"/>
    <cellStyle name="常规 4 5 3 2 6" xfId="40778"/>
    <cellStyle name="常规 4 5 3 3" xfId="40779"/>
    <cellStyle name="常规 4 5 3 3 2" xfId="40780"/>
    <cellStyle name="常规 4 5 3 3 2 2" xfId="40781"/>
    <cellStyle name="常规 4 5 3 3 2 2 2" xfId="40782"/>
    <cellStyle name="常规 4 5 3 3 3" xfId="40783"/>
    <cellStyle name="常规 4 5 3 3 3 2" xfId="40784"/>
    <cellStyle name="常规 4 5 3 3 3 2 2" xfId="40785"/>
    <cellStyle name="常规 4 5 3 3 4" xfId="40786"/>
    <cellStyle name="常规 4 5 3 3 4 2" xfId="40787"/>
    <cellStyle name="常规 4 5 3 3 5" xfId="40788"/>
    <cellStyle name="常规 4 5 3 4" xfId="40789"/>
    <cellStyle name="常规 4 5 3 4 2" xfId="40790"/>
    <cellStyle name="常规 4 5 3 4 2 2" xfId="40791"/>
    <cellStyle name="常规 4 5 3 5" xfId="40792"/>
    <cellStyle name="常规 4 5 3 5 2" xfId="40793"/>
    <cellStyle name="常规 4 5 3 5 2 2" xfId="40794"/>
    <cellStyle name="常规 4 5 3 6" xfId="40795"/>
    <cellStyle name="常规 4 5 3 7" xfId="40796"/>
    <cellStyle name="常规 4 5 3 7 2" xfId="40797"/>
    <cellStyle name="常规 4 5 3 7 3" xfId="40798"/>
    <cellStyle name="常规 4 5 3 8" xfId="40799"/>
    <cellStyle name="常规 4 5 3 8 2" xfId="40800"/>
    <cellStyle name="常规 4 5 4" xfId="40801"/>
    <cellStyle name="常规 4 5 4 2" xfId="40802"/>
    <cellStyle name="常规 4 5 4 2 2" xfId="40803"/>
    <cellStyle name="常规 4 5 4 2 3" xfId="40804"/>
    <cellStyle name="常规 4 5 4 2 4" xfId="40805"/>
    <cellStyle name="常规 4 5 4 2 5" xfId="40806"/>
    <cellStyle name="常规 4 5 4 2 5 2" xfId="40807"/>
    <cellStyle name="常规 4 5 4 3" xfId="40808"/>
    <cellStyle name="常规 4 5 4 3 2" xfId="40809"/>
    <cellStyle name="常规 4 5 4 3 2 2" xfId="40810"/>
    <cellStyle name="常规 4 5 4 4" xfId="40811"/>
    <cellStyle name="常规 4 5 4 4 2" xfId="40812"/>
    <cellStyle name="常规 4 5 4 4 2 2" xfId="40813"/>
    <cellStyle name="常规 4 5 4 5" xfId="40814"/>
    <cellStyle name="常规 4 5 4 5 2" xfId="40815"/>
    <cellStyle name="常规 4 5 4 5 3" xfId="40816"/>
    <cellStyle name="常规 4 5 4 6" xfId="40817"/>
    <cellStyle name="常规 4 5 4 6 2" xfId="40818"/>
    <cellStyle name="常规 4 5 4 7" xfId="40819"/>
    <cellStyle name="常规 4 5 5" xfId="40820"/>
    <cellStyle name="常规 4 5 5 2" xfId="40821"/>
    <cellStyle name="常规 4 5 5 3" xfId="40822"/>
    <cellStyle name="常规 4 5 5 4" xfId="40823"/>
    <cellStyle name="常规 4 5 5 5" xfId="40824"/>
    <cellStyle name="常规 4 5 5 5 2" xfId="40825"/>
    <cellStyle name="常规 4 5 6" xfId="40826"/>
    <cellStyle name="常规 4 5 6 2" xfId="40827"/>
    <cellStyle name="常规 4 5 6 2 2" xfId="40828"/>
    <cellStyle name="常规 4 5 7" xfId="40829"/>
    <cellStyle name="常规 4 5 7 2" xfId="40830"/>
    <cellStyle name="常规 4 5 7 2 2" xfId="40831"/>
    <cellStyle name="常规 4 5 8" xfId="40832"/>
    <cellStyle name="常规 4 5 8 2" xfId="40833"/>
    <cellStyle name="常规 4 5 8 2 2" xfId="40834"/>
    <cellStyle name="常规 4 5 9" xfId="40835"/>
    <cellStyle name="常规 4 5 9 2" xfId="40836"/>
    <cellStyle name="常规 4 5 9 3" xfId="40837"/>
    <cellStyle name="常规 4 6" xfId="40838"/>
    <cellStyle name="常规 4 6 10" xfId="40839"/>
    <cellStyle name="常规 4 6 2" xfId="40840"/>
    <cellStyle name="常规 4 6 2 10" xfId="40841"/>
    <cellStyle name="常规 4 6 2 2" xfId="40842"/>
    <cellStyle name="常规 4 6 2 2 2" xfId="40843"/>
    <cellStyle name="常规 4 6 2 2 2 2" xfId="40844"/>
    <cellStyle name="常规 4 6 2 2 2 2 2" xfId="40845"/>
    <cellStyle name="常规 4 6 2 2 2 2 3" xfId="40846"/>
    <cellStyle name="常规 4 6 2 2 2 2 4" xfId="40847"/>
    <cellStyle name="常规 4 6 2 2 2 3" xfId="40848"/>
    <cellStyle name="常规 4 6 2 2 2 4" xfId="40849"/>
    <cellStyle name="常规 4 6 2 2 2 5" xfId="40850"/>
    <cellStyle name="常规 4 6 2 2 3" xfId="40851"/>
    <cellStyle name="常规 4 6 2 2 3 2" xfId="40852"/>
    <cellStyle name="常规 4 6 2 2 3 2 2" xfId="40853"/>
    <cellStyle name="常规 4 6 2 2 3 2 3" xfId="40854"/>
    <cellStyle name="常规 4 6 2 2 3 2 4" xfId="40855"/>
    <cellStyle name="常规 4 6 2 2 3 3" xfId="40856"/>
    <cellStyle name="常规 4 6 2 2 3 4" xfId="40857"/>
    <cellStyle name="常规 4 6 2 2 3 5" xfId="40858"/>
    <cellStyle name="常规 4 6 2 2 4" xfId="40859"/>
    <cellStyle name="常规 4 6 2 2 4 2" xfId="40860"/>
    <cellStyle name="常规 4 6 2 2 4 3" xfId="40861"/>
    <cellStyle name="常规 4 6 2 2 4 4" xfId="40862"/>
    <cellStyle name="常规 4 6 2 2 5" xfId="40863"/>
    <cellStyle name="常规 4 6 2 2 6" xfId="40864"/>
    <cellStyle name="常规 4 6 2 2 7" xfId="40865"/>
    <cellStyle name="常规 4 6 2 2 8" xfId="40866"/>
    <cellStyle name="常规 4 6 2 2 8 2" xfId="40867"/>
    <cellStyle name="常规 4 6 2 3" xfId="40868"/>
    <cellStyle name="常规 4 6 2 3 2" xfId="40869"/>
    <cellStyle name="常规 4 6 2 3 2 2" xfId="40870"/>
    <cellStyle name="常规 4 6 2 3 2 3" xfId="40871"/>
    <cellStyle name="常规 4 6 2 3 2 4" xfId="40872"/>
    <cellStyle name="常规 4 6 2 3 3" xfId="40873"/>
    <cellStyle name="常规 4 6 2 3 4" xfId="40874"/>
    <cellStyle name="常规 4 6 2 3 5" xfId="40875"/>
    <cellStyle name="常规 4 6 2 3 6" xfId="40876"/>
    <cellStyle name="常规 4 6 2 3 6 2" xfId="40877"/>
    <cellStyle name="常规 4 6 2 4" xfId="40878"/>
    <cellStyle name="常规 4 6 2 4 2" xfId="40879"/>
    <cellStyle name="常规 4 6 2 4 2 2" xfId="40880"/>
    <cellStyle name="常规 4 6 2 4 2 3" xfId="40881"/>
    <cellStyle name="常规 4 6 2 4 2 4" xfId="40882"/>
    <cellStyle name="常规 4 6 2 4 2 5" xfId="40883"/>
    <cellStyle name="常规 4 6 2 4 3" xfId="40884"/>
    <cellStyle name="常规 4 6 2 4 4" xfId="40885"/>
    <cellStyle name="常规 4 6 2 4 5" xfId="40886"/>
    <cellStyle name="常规 4 6 2 4 6" xfId="40887"/>
    <cellStyle name="常规 4 6 2 5" xfId="40888"/>
    <cellStyle name="常规 4 6 2 5 2" xfId="40889"/>
    <cellStyle name="常规 4 6 2 5 2 2" xfId="40890"/>
    <cellStyle name="常规 4 6 2 5 3" xfId="40891"/>
    <cellStyle name="常规 4 6 2 5 4" xfId="40892"/>
    <cellStyle name="常规 4 6 2 5 5" xfId="40893"/>
    <cellStyle name="常规 4 6 2 6" xfId="40894"/>
    <cellStyle name="常规 4 6 2 7" xfId="40895"/>
    <cellStyle name="常规 4 6 2 8" xfId="40896"/>
    <cellStyle name="常规 4 6 2 9" xfId="40897"/>
    <cellStyle name="常规 4 6 2 9 2" xfId="40898"/>
    <cellStyle name="常规 4 6 3" xfId="40899"/>
    <cellStyle name="常规 4 6 3 2" xfId="40900"/>
    <cellStyle name="常规 4 6 3 2 2" xfId="40901"/>
    <cellStyle name="常规 4 6 3 2 2 2" xfId="40902"/>
    <cellStyle name="常规 4 6 3 2 3" xfId="40903"/>
    <cellStyle name="常规 4 6 3 2 4" xfId="40904"/>
    <cellStyle name="常规 4 6 3 2 5" xfId="40905"/>
    <cellStyle name="常规 4 6 3 2 5 2" xfId="40906"/>
    <cellStyle name="常规 4 6 3 2 6" xfId="40907"/>
    <cellStyle name="常规 4 6 3 3" xfId="40908"/>
    <cellStyle name="常规 4 6 3 3 2" xfId="40909"/>
    <cellStyle name="常规 4 6 3 3 2 2" xfId="40910"/>
    <cellStyle name="常规 4 6 3 4" xfId="40911"/>
    <cellStyle name="常规 4 6 3 4 2" xfId="40912"/>
    <cellStyle name="常规 4 6 3 4 3" xfId="40913"/>
    <cellStyle name="常规 4 6 3 5" xfId="40914"/>
    <cellStyle name="常规 4 6 3 5 2" xfId="40915"/>
    <cellStyle name="常规 4 6 3 6" xfId="40916"/>
    <cellStyle name="常规 4 6 3 6 2" xfId="40917"/>
    <cellStyle name="常规 4 6 3 7" xfId="40918"/>
    <cellStyle name="常规 4 6 4" xfId="40919"/>
    <cellStyle name="常规 4 6 4 2" xfId="40920"/>
    <cellStyle name="常规 4 6 4 2 2" xfId="40921"/>
    <cellStyle name="常规 4 6 4 2 3" xfId="40922"/>
    <cellStyle name="常规 4 6 4 2 4" xfId="40923"/>
    <cellStyle name="常规 4 6 4 3" xfId="40924"/>
    <cellStyle name="常规 4 6 4 4" xfId="40925"/>
    <cellStyle name="常规 4 6 4 5" xfId="40926"/>
    <cellStyle name="常规 4 6 4 6" xfId="40927"/>
    <cellStyle name="常规 4 6 4 6 2" xfId="40928"/>
    <cellStyle name="常规 4 6 5" xfId="40929"/>
    <cellStyle name="常规 4 6 5 2" xfId="40930"/>
    <cellStyle name="常规 4 6 5 3" xfId="40931"/>
    <cellStyle name="常规 4 6 5 4" xfId="40932"/>
    <cellStyle name="常规 4 6 5 5" xfId="40933"/>
    <cellStyle name="常规 4 6 5 5 2" xfId="40934"/>
    <cellStyle name="常规 4 6 6" xfId="40935"/>
    <cellStyle name="常规 4 6 6 2" xfId="40936"/>
    <cellStyle name="常规 4 6 6 2 2" xfId="40937"/>
    <cellStyle name="常规 4 6 7" xfId="40938"/>
    <cellStyle name="常规 4 6 7 2" xfId="40939"/>
    <cellStyle name="常规 4 6 7 2 2" xfId="40940"/>
    <cellStyle name="常规 4 6 8" xfId="40941"/>
    <cellStyle name="常规 4 6 8 2" xfId="40942"/>
    <cellStyle name="常规 4 6 8 3" xfId="40943"/>
    <cellStyle name="常规 4 6 9" xfId="40944"/>
    <cellStyle name="常规 4 6 9 2" xfId="40945"/>
    <cellStyle name="常规 4 7" xfId="40946"/>
    <cellStyle name="常规 4 7 10" xfId="40947"/>
    <cellStyle name="常规 4 7 2" xfId="40948"/>
    <cellStyle name="常规 4 7 2 2" xfId="40949"/>
    <cellStyle name="常规 4 7 2 2 2" xfId="40950"/>
    <cellStyle name="常规 4 7 2 2 2 2" xfId="40951"/>
    <cellStyle name="常规 4 7 2 2 2 3" xfId="40952"/>
    <cellStyle name="常规 4 7 2 2 2 4" xfId="40953"/>
    <cellStyle name="常规 4 7 2 2 3" xfId="40954"/>
    <cellStyle name="常规 4 7 2 2 4" xfId="40955"/>
    <cellStyle name="常规 4 7 2 2 5" xfId="40956"/>
    <cellStyle name="常规 4 7 2 2 6" xfId="40957"/>
    <cellStyle name="常规 4 7 2 2 6 2" xfId="40958"/>
    <cellStyle name="常规 4 7 2 3" xfId="40959"/>
    <cellStyle name="常规 4 7 2 3 2" xfId="40960"/>
    <cellStyle name="常规 4 7 2 3 2 2" xfId="40961"/>
    <cellStyle name="常规 4 7 2 3 2 3" xfId="40962"/>
    <cellStyle name="常规 4 7 2 3 2 4" xfId="40963"/>
    <cellStyle name="常规 4 7 2 3 3" xfId="40964"/>
    <cellStyle name="常规 4 7 2 3 4" xfId="40965"/>
    <cellStyle name="常规 4 7 2 3 5" xfId="40966"/>
    <cellStyle name="常规 4 7 2 3 6" xfId="40967"/>
    <cellStyle name="常规 4 7 2 3 6 2" xfId="40968"/>
    <cellStyle name="常规 4 7 2 4" xfId="40969"/>
    <cellStyle name="常规 4 7 2 4 2" xfId="40970"/>
    <cellStyle name="常规 4 7 2 4 2 2" xfId="40971"/>
    <cellStyle name="常规 4 7 2 4 3" xfId="40972"/>
    <cellStyle name="常规 4 7 2 4 4" xfId="40973"/>
    <cellStyle name="常规 4 7 2 4 5" xfId="40974"/>
    <cellStyle name="常规 4 7 2 5" xfId="40975"/>
    <cellStyle name="常规 4 7 2 5 2" xfId="40976"/>
    <cellStyle name="常规 4 7 2 5 3" xfId="40977"/>
    <cellStyle name="常规 4 7 2 6" xfId="40978"/>
    <cellStyle name="常规 4 7 2 7" xfId="40979"/>
    <cellStyle name="常规 4 7 2 8" xfId="40980"/>
    <cellStyle name="常规 4 7 2 8 2" xfId="40981"/>
    <cellStyle name="常规 4 7 2 9" xfId="40982"/>
    <cellStyle name="常规 4 7 3" xfId="40983"/>
    <cellStyle name="常规 4 7 3 2" xfId="40984"/>
    <cellStyle name="常规 4 7 3 2 2" xfId="40985"/>
    <cellStyle name="常规 4 7 3 2 3" xfId="40986"/>
    <cellStyle name="常规 4 7 3 2 4" xfId="40987"/>
    <cellStyle name="常规 4 7 3 3" xfId="40988"/>
    <cellStyle name="常规 4 7 3 4" xfId="40989"/>
    <cellStyle name="常规 4 7 3 5" xfId="40990"/>
    <cellStyle name="常规 4 7 3 6" xfId="40991"/>
    <cellStyle name="常规 4 7 3 6 2" xfId="40992"/>
    <cellStyle name="常规 4 7 4" xfId="40993"/>
    <cellStyle name="常规 4 7 4 2" xfId="40994"/>
    <cellStyle name="常规 4 7 4 2 2" xfId="40995"/>
    <cellStyle name="常规 4 7 4 2 3" xfId="40996"/>
    <cellStyle name="常规 4 7 4 2 4" xfId="40997"/>
    <cellStyle name="常规 4 7 4 3" xfId="40998"/>
    <cellStyle name="常规 4 7 4 4" xfId="40999"/>
    <cellStyle name="常规 4 7 4 5" xfId="41000"/>
    <cellStyle name="常规 4 7 4 6" xfId="41001"/>
    <cellStyle name="常规 4 7 4 6 2" xfId="41002"/>
    <cellStyle name="常规 4 7 5" xfId="41003"/>
    <cellStyle name="常规 4 7 5 2" xfId="41004"/>
    <cellStyle name="常规 4 7 5 3" xfId="41005"/>
    <cellStyle name="常规 4 7 5 4" xfId="41006"/>
    <cellStyle name="常规 4 7 5 5" xfId="41007"/>
    <cellStyle name="常规 4 7 5 5 2" xfId="41008"/>
    <cellStyle name="常规 4 7 6" xfId="41009"/>
    <cellStyle name="常规 4 7 6 2" xfId="41010"/>
    <cellStyle name="常规 4 7 6 2 2" xfId="41011"/>
    <cellStyle name="常规 4 7 7" xfId="41012"/>
    <cellStyle name="常规 4 7 7 2" xfId="41013"/>
    <cellStyle name="常规 4 7 7 2 2" xfId="41014"/>
    <cellStyle name="常规 4 7 8" xfId="41015"/>
    <cellStyle name="常规 4 7 8 2" xfId="41016"/>
    <cellStyle name="常规 4 7 8 3" xfId="41017"/>
    <cellStyle name="常规 4 7 9" xfId="41018"/>
    <cellStyle name="常规 4 7 9 2" xfId="41019"/>
    <cellStyle name="常规 4 8" xfId="41020"/>
    <cellStyle name="常规 4 8 2" xfId="41021"/>
    <cellStyle name="常规 4 8 2 2" xfId="41022"/>
    <cellStyle name="常规 4 8 2 2 2" xfId="41023"/>
    <cellStyle name="常规 4 8 2 2 3" xfId="41024"/>
    <cellStyle name="常规 4 8 2 2 4" xfId="41025"/>
    <cellStyle name="常规 4 8 2 2 5" xfId="41026"/>
    <cellStyle name="常规 4 8 2 2 5 2" xfId="41027"/>
    <cellStyle name="常规 4 8 2 3" xfId="41028"/>
    <cellStyle name="常规 4 8 2 3 2" xfId="41029"/>
    <cellStyle name="常规 4 8 2 3 2 2" xfId="41030"/>
    <cellStyle name="常规 4 8 2 4" xfId="41031"/>
    <cellStyle name="常规 4 8 2 4 2" xfId="41032"/>
    <cellStyle name="常规 4 8 2 4 2 2" xfId="41033"/>
    <cellStyle name="常规 4 8 2 5" xfId="41034"/>
    <cellStyle name="常规 4 8 2 5 2" xfId="41035"/>
    <cellStyle name="常规 4 8 2 5 3" xfId="41036"/>
    <cellStyle name="常规 4 8 2 6" xfId="41037"/>
    <cellStyle name="常规 4 8 2 6 2" xfId="41038"/>
    <cellStyle name="常规 4 8 2 7" xfId="41039"/>
    <cellStyle name="常规 4 8 3" xfId="41040"/>
    <cellStyle name="常规 4 8 3 2" xfId="41041"/>
    <cellStyle name="常规 4 8 3 2 2" xfId="41042"/>
    <cellStyle name="常规 4 8 3 2 3" xfId="41043"/>
    <cellStyle name="常规 4 8 3 2 4" xfId="41044"/>
    <cellStyle name="常规 4 8 3 3" xfId="41045"/>
    <cellStyle name="常规 4 8 3 4" xfId="41046"/>
    <cellStyle name="常规 4 8 3 5" xfId="41047"/>
    <cellStyle name="常规 4 8 3 6" xfId="41048"/>
    <cellStyle name="常规 4 8 3 6 2" xfId="41049"/>
    <cellStyle name="常规 4 8 4" xfId="41050"/>
    <cellStyle name="常规 4 8 4 2" xfId="41051"/>
    <cellStyle name="常规 4 8 4 3" xfId="41052"/>
    <cellStyle name="常规 4 8 4 4" xfId="41053"/>
    <cellStyle name="常规 4 8 4 5" xfId="41054"/>
    <cellStyle name="常规 4 8 4 5 2" xfId="41055"/>
    <cellStyle name="常规 4 8 5" xfId="41056"/>
    <cellStyle name="常规 4 8 5 2" xfId="41057"/>
    <cellStyle name="常规 4 8 5 2 2" xfId="41058"/>
    <cellStyle name="常规 4 8 6" xfId="41059"/>
    <cellStyle name="常规 4 8 6 2" xfId="41060"/>
    <cellStyle name="常规 4 8 6 2 2" xfId="41061"/>
    <cellStyle name="常规 4 8 7" xfId="41062"/>
    <cellStyle name="常规 4 8 7 2" xfId="41063"/>
    <cellStyle name="常规 4 8 7 3" xfId="41064"/>
    <cellStyle name="常规 4 8 8" xfId="41065"/>
    <cellStyle name="常规 4 8 8 2" xfId="41066"/>
    <cellStyle name="常规 4 8 9" xfId="41067"/>
    <cellStyle name="常规 4 9" xfId="41068"/>
    <cellStyle name="常规 4 9 2" xfId="41069"/>
    <cellStyle name="常规 4 9 2 2" xfId="41070"/>
    <cellStyle name="常规 4 9 2 2 2" xfId="41071"/>
    <cellStyle name="常规 4 9 2 2 2 2" xfId="41072"/>
    <cellStyle name="常规 4 9 2 2 3" xfId="41073"/>
    <cellStyle name="常规 4 9 2 2 4" xfId="41074"/>
    <cellStyle name="常规 4 9 2 2 5" xfId="41075"/>
    <cellStyle name="常规 4 9 2 2 5 2" xfId="41076"/>
    <cellStyle name="常规 4 9 2 2 6" xfId="41077"/>
    <cellStyle name="常规 4 9 2 3" xfId="41078"/>
    <cellStyle name="常规 4 9 2 3 2" xfId="41079"/>
    <cellStyle name="常规 4 9 2 3 2 2" xfId="41080"/>
    <cellStyle name="常规 4 9 2 4" xfId="41081"/>
    <cellStyle name="常规 4 9 2 4 2" xfId="41082"/>
    <cellStyle name="常规 4 9 2 4 3" xfId="41083"/>
    <cellStyle name="常规 4 9 2 5" xfId="41084"/>
    <cellStyle name="常规 4 9 2 5 2" xfId="41085"/>
    <cellStyle name="常规 4 9 2 6" xfId="41086"/>
    <cellStyle name="常规 4 9 2 6 2" xfId="41087"/>
    <cellStyle name="常规 4 9 2 7" xfId="41088"/>
    <cellStyle name="常规 4 9 3" xfId="41089"/>
    <cellStyle name="常规 4 9 3 2" xfId="41090"/>
    <cellStyle name="常规 4 9 3 2 2" xfId="41091"/>
    <cellStyle name="常规 4 9 3 2 3" xfId="41092"/>
    <cellStyle name="常规 4 9 3 2 4" xfId="41093"/>
    <cellStyle name="常规 4 9 3 3" xfId="41094"/>
    <cellStyle name="常规 4 9 3 4" xfId="41095"/>
    <cellStyle name="常规 4 9 3 5" xfId="41096"/>
    <cellStyle name="常规 4 9 3 6" xfId="41097"/>
    <cellStyle name="常规 4 9 3 6 2" xfId="41098"/>
    <cellStyle name="常规 4 9 4" xfId="41099"/>
    <cellStyle name="常规 4 9 4 2" xfId="41100"/>
    <cellStyle name="常规 4 9 4 2 2" xfId="41101"/>
    <cellStyle name="常规 4 9 4 3" xfId="41102"/>
    <cellStyle name="常规 4 9 4 4" xfId="41103"/>
    <cellStyle name="常规 4 9 4 5" xfId="41104"/>
    <cellStyle name="常规 4 9 5" xfId="41105"/>
    <cellStyle name="常规 4 9 5 2" xfId="41106"/>
    <cellStyle name="常规 4 9 5 3" xfId="41107"/>
    <cellStyle name="常规 4 9 6" xfId="41108"/>
    <cellStyle name="常规 4 9 7" xfId="41109"/>
    <cellStyle name="常规 4 9 8" xfId="41110"/>
    <cellStyle name="常规 4 9 8 2" xfId="41111"/>
    <cellStyle name="常规 4 9 9" xfId="41112"/>
    <cellStyle name="常规 5" xfId="41113"/>
    <cellStyle name="常规 5 10" xfId="41114"/>
    <cellStyle name="常规 5 10 2" xfId="41115"/>
    <cellStyle name="常规 5 10 2 2" xfId="41116"/>
    <cellStyle name="常规 5 10 2 2 2" xfId="41117"/>
    <cellStyle name="常规 5 10 3" xfId="41118"/>
    <cellStyle name="常规 5 10 3 2" xfId="41119"/>
    <cellStyle name="常规 5 10 4" xfId="41120"/>
    <cellStyle name="常规 5 10 4 2" xfId="41121"/>
    <cellStyle name="常规 5 10 5" xfId="41122"/>
    <cellStyle name="常规 5 11" xfId="41123"/>
    <cellStyle name="常规 5 12" xfId="41124"/>
    <cellStyle name="常规 5 12 2" xfId="41125"/>
    <cellStyle name="常规 5 12 2 2" xfId="41126"/>
    <cellStyle name="常规 5 12 3" xfId="41127"/>
    <cellStyle name="常规 5 12 3 2" xfId="41128"/>
    <cellStyle name="常规 5 13" xfId="41129"/>
    <cellStyle name="常规 5 13 2" xfId="41130"/>
    <cellStyle name="常规 5 2" xfId="41131"/>
    <cellStyle name="常规 5 2 10" xfId="41132"/>
    <cellStyle name="常规 5 2 10 2" xfId="41133"/>
    <cellStyle name="常规 5 2 2" xfId="41134"/>
    <cellStyle name="常规 5 2 2 2" xfId="41135"/>
    <cellStyle name="常规 5 2 2 2 2" xfId="41136"/>
    <cellStyle name="常规 5 2 2 2 2 2" xfId="41137"/>
    <cellStyle name="常规 5 2 2 2 2 2 2" xfId="41138"/>
    <cellStyle name="常规 5 2 2 2 2 2 2 2" xfId="41139"/>
    <cellStyle name="常规 5 2 2 2 2 3" xfId="41140"/>
    <cellStyle name="常规 5 2 2 2 2 3 2" xfId="41141"/>
    <cellStyle name="常规 5 2 2 2 2 3 2 2" xfId="41142"/>
    <cellStyle name="常规 5 2 2 2 2 4" xfId="41143"/>
    <cellStyle name="常规 5 2 2 2 2 4 2" xfId="41144"/>
    <cellStyle name="常规 5 2 2 2 2 4 2 2" xfId="41145"/>
    <cellStyle name="常规 5 2 2 2 2 5" xfId="41146"/>
    <cellStyle name="常规 5 2 2 2 2 5 2" xfId="41147"/>
    <cellStyle name="常规 5 2 2 2 2 5 3" xfId="41148"/>
    <cellStyle name="常规 5 2 2 2 2 6" xfId="41149"/>
    <cellStyle name="常规 5 2 2 2 3" xfId="41150"/>
    <cellStyle name="常规 5 2 2 2 3 2" xfId="41151"/>
    <cellStyle name="常规 5 2 2 2 3 2 2" xfId="41152"/>
    <cellStyle name="常规 5 2 2 2 3 2 2 2" xfId="41153"/>
    <cellStyle name="常规 5 2 2 2 3 3" xfId="41154"/>
    <cellStyle name="常规 5 2 2 2 3 3 2" xfId="41155"/>
    <cellStyle name="常规 5 2 2 2 3 3 2 2" xfId="41156"/>
    <cellStyle name="常规 5 2 2 2 3 4" xfId="41157"/>
    <cellStyle name="常规 5 2 2 2 3 4 2" xfId="41158"/>
    <cellStyle name="常规 5 2 2 2 3 5" xfId="41159"/>
    <cellStyle name="常规 5 2 2 2 4" xfId="41160"/>
    <cellStyle name="常规 5 2 2 2 4 2" xfId="41161"/>
    <cellStyle name="常规 5 2 2 2 4 2 2" xfId="41162"/>
    <cellStyle name="常规 5 2 2 2 5" xfId="41163"/>
    <cellStyle name="常规 5 2 2 2 5 2" xfId="41164"/>
    <cellStyle name="常规 5 2 2 2 5 2 2" xfId="41165"/>
    <cellStyle name="常规 5 2 2 2 6" xfId="41166"/>
    <cellStyle name="常规 5 2 2 2 7" xfId="41167"/>
    <cellStyle name="常规 5 2 2 2 7 2" xfId="41168"/>
    <cellStyle name="常规 5 2 2 2 7 3" xfId="41169"/>
    <cellStyle name="常规 5 2 2 2 8" xfId="41170"/>
    <cellStyle name="常规 5 2 2 2 8 2" xfId="41171"/>
    <cellStyle name="常规 5 2 2 3" xfId="41172"/>
    <cellStyle name="常规 5 2 2 3 2" xfId="41173"/>
    <cellStyle name="常规 5 2 2 3 2 2" xfId="41174"/>
    <cellStyle name="常规 5 2 2 3 2 3" xfId="41175"/>
    <cellStyle name="常规 5 2 2 3 2 4" xfId="41176"/>
    <cellStyle name="常规 5 2 2 3 2 5" xfId="41177"/>
    <cellStyle name="常规 5 2 2 3 2 5 2" xfId="41178"/>
    <cellStyle name="常规 5 2 2 3 3" xfId="41179"/>
    <cellStyle name="常规 5 2 2 3 3 2" xfId="41180"/>
    <cellStyle name="常规 5 2 2 3 3 2 2" xfId="41181"/>
    <cellStyle name="常规 5 2 2 3 4" xfId="41182"/>
    <cellStyle name="常规 5 2 2 3 4 2" xfId="41183"/>
    <cellStyle name="常规 5 2 2 3 4 2 2" xfId="41184"/>
    <cellStyle name="常规 5 2 2 3 5" xfId="41185"/>
    <cellStyle name="常规 5 2 2 3 5 2" xfId="41186"/>
    <cellStyle name="常规 5 2 2 3 5 3" xfId="41187"/>
    <cellStyle name="常规 5 2 2 3 6" xfId="41188"/>
    <cellStyle name="常规 5 2 2 3 6 2" xfId="41189"/>
    <cellStyle name="常规 5 2 2 3 7" xfId="41190"/>
    <cellStyle name="常规 5 2 2 4" xfId="41191"/>
    <cellStyle name="常规 5 2 2 4 2" xfId="41192"/>
    <cellStyle name="常规 5 2 2 4 3" xfId="41193"/>
    <cellStyle name="常规 5 2 2 4 4" xfId="41194"/>
    <cellStyle name="常规 5 2 2 4 5" xfId="41195"/>
    <cellStyle name="常规 5 2 2 4 5 2" xfId="41196"/>
    <cellStyle name="常规 5 2 2 5" xfId="41197"/>
    <cellStyle name="常规 5 2 2 5 2" xfId="41198"/>
    <cellStyle name="常规 5 2 2 5 2 2" xfId="41199"/>
    <cellStyle name="常规 5 2 2 6" xfId="41200"/>
    <cellStyle name="常规 5 2 2 6 2" xfId="41201"/>
    <cellStyle name="常规 5 2 2 6 2 2" xfId="41202"/>
    <cellStyle name="常规 5 2 2 7" xfId="41203"/>
    <cellStyle name="常规 5 2 2 7 2" xfId="41204"/>
    <cellStyle name="常规 5 2 2 7 2 2" xfId="41205"/>
    <cellStyle name="常规 5 2 2 8" xfId="41206"/>
    <cellStyle name="常规 5 2 2 8 2" xfId="41207"/>
    <cellStyle name="常规 5 2 2 8 3" xfId="41208"/>
    <cellStyle name="常规 5 2 2 9" xfId="41209"/>
    <cellStyle name="常规 5 2 2 9 2" xfId="41210"/>
    <cellStyle name="常规 5 2 3" xfId="41211"/>
    <cellStyle name="常规 5 2 3 2" xfId="41212"/>
    <cellStyle name="常规 5 2 3 2 2" xfId="41213"/>
    <cellStyle name="常规 5 2 3 2 2 2" xfId="41214"/>
    <cellStyle name="常规 5 2 3 2 2 2 2" xfId="41215"/>
    <cellStyle name="常规 5 2 3 2 3" xfId="41216"/>
    <cellStyle name="常规 5 2 3 2 3 2" xfId="41217"/>
    <cellStyle name="常规 5 2 3 2 3 2 2" xfId="41218"/>
    <cellStyle name="常规 5 2 3 2 4" xfId="41219"/>
    <cellStyle name="常规 5 2 3 2 4 2" xfId="41220"/>
    <cellStyle name="常规 5 2 3 2 4 2 2" xfId="41221"/>
    <cellStyle name="常规 5 2 3 2 5" xfId="41222"/>
    <cellStyle name="常规 5 2 3 2 5 2" xfId="41223"/>
    <cellStyle name="常规 5 2 3 2 5 3" xfId="41224"/>
    <cellStyle name="常规 5 2 3 2 6" xfId="41225"/>
    <cellStyle name="常规 5 2 3 3" xfId="41226"/>
    <cellStyle name="常规 5 2 3 3 2" xfId="41227"/>
    <cellStyle name="常规 5 2 3 3 2 2" xfId="41228"/>
    <cellStyle name="常规 5 2 3 3 2 2 2" xfId="41229"/>
    <cellStyle name="常规 5 2 3 3 3" xfId="41230"/>
    <cellStyle name="常规 5 2 3 3 3 2" xfId="41231"/>
    <cellStyle name="常规 5 2 3 3 3 2 2" xfId="41232"/>
    <cellStyle name="常规 5 2 3 3 4" xfId="41233"/>
    <cellStyle name="常规 5 2 3 3 4 2" xfId="41234"/>
    <cellStyle name="常规 5 2 3 3 5" xfId="41235"/>
    <cellStyle name="常规 5 2 3 4" xfId="41236"/>
    <cellStyle name="常规 5 2 3 4 2" xfId="41237"/>
    <cellStyle name="常规 5 2 3 4 2 2" xfId="41238"/>
    <cellStyle name="常规 5 2 3 5" xfId="41239"/>
    <cellStyle name="常规 5 2 3 5 2" xfId="41240"/>
    <cellStyle name="常规 5 2 3 5 2 2" xfId="41241"/>
    <cellStyle name="常规 5 2 3 6" xfId="41242"/>
    <cellStyle name="常规 5 2 3 7" xfId="41243"/>
    <cellStyle name="常规 5 2 3 7 2" xfId="41244"/>
    <cellStyle name="常规 5 2 3 7 3" xfId="41245"/>
    <cellStyle name="常规 5 2 3 8" xfId="41246"/>
    <cellStyle name="常规 5 2 3 8 2" xfId="41247"/>
    <cellStyle name="常规 5 2 4" xfId="41248"/>
    <cellStyle name="常规 5 2 4 2" xfId="41249"/>
    <cellStyle name="常规 5 2 4 2 2" xfId="41250"/>
    <cellStyle name="常规 5 2 4 2 3" xfId="41251"/>
    <cellStyle name="常规 5 2 4 2 4" xfId="41252"/>
    <cellStyle name="常规 5 2 4 2 5" xfId="41253"/>
    <cellStyle name="常规 5 2 4 2 5 2" xfId="41254"/>
    <cellStyle name="常规 5 2 4 3" xfId="41255"/>
    <cellStyle name="常规 5 2 4 3 2" xfId="41256"/>
    <cellStyle name="常规 5 2 4 3 2 2" xfId="41257"/>
    <cellStyle name="常规 5 2 4 4" xfId="41258"/>
    <cellStyle name="常规 5 2 4 4 2" xfId="41259"/>
    <cellStyle name="常规 5 2 4 4 2 2" xfId="41260"/>
    <cellStyle name="常规 5 2 4 5" xfId="41261"/>
    <cellStyle name="常规 5 2 4 5 2" xfId="41262"/>
    <cellStyle name="常规 5 2 4 5 3" xfId="41263"/>
    <cellStyle name="常规 5 2 4 6" xfId="41264"/>
    <cellStyle name="常规 5 2 4 6 2" xfId="41265"/>
    <cellStyle name="常规 5 2 4 7" xfId="41266"/>
    <cellStyle name="常规 5 2 5" xfId="41267"/>
    <cellStyle name="常规 5 2 5 2" xfId="41268"/>
    <cellStyle name="常规 5 2 5 3" xfId="41269"/>
    <cellStyle name="常规 5 2 5 4" xfId="41270"/>
    <cellStyle name="常规 5 2 5 5" xfId="41271"/>
    <cellStyle name="常规 5 2 5 5 2" xfId="41272"/>
    <cellStyle name="常规 5 2 6" xfId="41273"/>
    <cellStyle name="常规 5 2 6 2" xfId="41274"/>
    <cellStyle name="常规 5 2 6 2 2" xfId="41275"/>
    <cellStyle name="常规 5 2 7" xfId="41276"/>
    <cellStyle name="常规 5 2 7 2" xfId="41277"/>
    <cellStyle name="常规 5 2 7 2 2" xfId="41278"/>
    <cellStyle name="常规 5 2 8" xfId="41279"/>
    <cellStyle name="常规 5 2 8 2" xfId="41280"/>
    <cellStyle name="常规 5 2 8 2 2" xfId="41281"/>
    <cellStyle name="常规 5 2 9" xfId="41282"/>
    <cellStyle name="常规 5 2 9 2" xfId="41283"/>
    <cellStyle name="常规 5 2 9 3" xfId="41284"/>
    <cellStyle name="常规 5 3" xfId="41285"/>
    <cellStyle name="常规 5 3 2" xfId="41286"/>
    <cellStyle name="常规 5 3 2 2" xfId="41287"/>
    <cellStyle name="常规 5 3 2 2 2" xfId="41288"/>
    <cellStyle name="常规 5 3 2 2 2 2" xfId="41289"/>
    <cellStyle name="常规 5 3 2 3" xfId="41290"/>
    <cellStyle name="常规 5 3 2 3 2" xfId="41291"/>
    <cellStyle name="常规 5 3 2 3 2 2" xfId="41292"/>
    <cellStyle name="常规 5 3 2 4" xfId="41293"/>
    <cellStyle name="常规 5 3 2 4 2" xfId="41294"/>
    <cellStyle name="常规 5 3 2 4 2 2" xfId="41295"/>
    <cellStyle name="常规 5 3 2 5" xfId="41296"/>
    <cellStyle name="常规 5 3 2 5 2" xfId="41297"/>
    <cellStyle name="常规 5 3 2 5 3" xfId="41298"/>
    <cellStyle name="常规 5 3 2 6" xfId="41299"/>
    <cellStyle name="常规 5 3 3" xfId="41300"/>
    <cellStyle name="常规 5 3 3 2" xfId="41301"/>
    <cellStyle name="常规 5 3 3 2 2" xfId="41302"/>
    <cellStyle name="常规 5 3 3 2 2 2" xfId="41303"/>
    <cellStyle name="常规 5 3 3 3" xfId="41304"/>
    <cellStyle name="常规 5 3 3 3 2" xfId="41305"/>
    <cellStyle name="常规 5 3 3 3 2 2" xfId="41306"/>
    <cellStyle name="常规 5 3 3 4" xfId="41307"/>
    <cellStyle name="常规 5 3 3 4 2" xfId="41308"/>
    <cellStyle name="常规 5 3 3 5" xfId="41309"/>
    <cellStyle name="常规 5 3 4" xfId="41310"/>
    <cellStyle name="常规 5 3 4 2" xfId="41311"/>
    <cellStyle name="常规 5 3 4 2 2" xfId="41312"/>
    <cellStyle name="常规 5 3 5" xfId="41313"/>
    <cellStyle name="常规 5 3 5 2" xfId="41314"/>
    <cellStyle name="常规 5 3 5 2 2" xfId="41315"/>
    <cellStyle name="常规 5 3 6" xfId="41316"/>
    <cellStyle name="常规 5 3 7" xfId="41317"/>
    <cellStyle name="常规 5 3 7 2" xfId="41318"/>
    <cellStyle name="常规 5 3 7 3" xfId="41319"/>
    <cellStyle name="常规 5 3 8" xfId="41320"/>
    <cellStyle name="常规 5 3 8 2" xfId="41321"/>
    <cellStyle name="常规 5 4" xfId="41322"/>
    <cellStyle name="常规 5 4 2" xfId="41323"/>
    <cellStyle name="常规 5 4 2 2" xfId="41324"/>
    <cellStyle name="常规 5 4 2 2 2" xfId="41325"/>
    <cellStyle name="常规 5 4 2 2 2 2" xfId="41326"/>
    <cellStyle name="常规 5 4 2 3" xfId="41327"/>
    <cellStyle name="常规 5 4 2 3 2" xfId="41328"/>
    <cellStyle name="常规 5 4 2 3 2 2" xfId="41329"/>
    <cellStyle name="常规 5 4 2 4" xfId="41330"/>
    <cellStyle name="常规 5 4 2 4 2" xfId="41331"/>
    <cellStyle name="常规 5 4 2 4 2 2" xfId="41332"/>
    <cellStyle name="常规 5 4 2 5" xfId="41333"/>
    <cellStyle name="常规 5 4 2 5 2" xfId="41334"/>
    <cellStyle name="常规 5 4 2 5 3" xfId="41335"/>
    <cellStyle name="常规 5 4 2 6" xfId="41336"/>
    <cellStyle name="常规 5 4 3" xfId="41337"/>
    <cellStyle name="常规 5 4 3 2" xfId="41338"/>
    <cellStyle name="常规 5 4 3 2 2" xfId="41339"/>
    <cellStyle name="常规 5 4 4" xfId="41340"/>
    <cellStyle name="常规 5 4 4 2" xfId="41341"/>
    <cellStyle name="常规 5 4 4 2 2" xfId="41342"/>
    <cellStyle name="常规 5 4 5" xfId="41343"/>
    <cellStyle name="常规 5 4 5 2" xfId="41344"/>
    <cellStyle name="常规 5 4 5 2 2" xfId="41345"/>
    <cellStyle name="常规 5 4 6" xfId="41346"/>
    <cellStyle name="常规 5 4 7" xfId="41347"/>
    <cellStyle name="常规 5 4 7 2" xfId="41348"/>
    <cellStyle name="常规 5 4 7 3" xfId="41349"/>
    <cellStyle name="常规 5 4 8" xfId="41350"/>
    <cellStyle name="常规 5 4 8 2" xfId="41351"/>
    <cellStyle name="常规 5 5" xfId="41352"/>
    <cellStyle name="常规 5 5 2" xfId="41353"/>
    <cellStyle name="常规 5 5 2 2" xfId="41354"/>
    <cellStyle name="常规 5 5 2 3" xfId="41355"/>
    <cellStyle name="常规 5 5 2 3 2" xfId="41356"/>
    <cellStyle name="常规 5 5 3" xfId="41357"/>
    <cellStyle name="常规 5 5 3 2" xfId="41358"/>
    <cellStyle name="常规 5 5 3 2 2" xfId="41359"/>
    <cellStyle name="常规 5 5 4" xfId="41360"/>
    <cellStyle name="常规 5 5 4 2" xfId="41361"/>
    <cellStyle name="常规 5 5 4 2 2" xfId="41362"/>
    <cellStyle name="常规 5 5 5" xfId="41363"/>
    <cellStyle name="常规 5 5 5 2" xfId="41364"/>
    <cellStyle name="常规 5 5 6" xfId="41365"/>
    <cellStyle name="常规 5 6" xfId="41366"/>
    <cellStyle name="常规 5 6 2" xfId="41367"/>
    <cellStyle name="常规 5 6 2 2" xfId="41368"/>
    <cellStyle name="常规 5 6 3" xfId="41369"/>
    <cellStyle name="常规 5 6 4" xfId="41370"/>
    <cellStyle name="常规 5 6 5" xfId="41371"/>
    <cellStyle name="常规 5 6 5 2" xfId="41372"/>
    <cellStyle name="常规 5 6 6" xfId="41373"/>
    <cellStyle name="常规 5 7" xfId="41374"/>
    <cellStyle name="常规 5 7 2" xfId="41375"/>
    <cellStyle name="常规 5 7 2 2" xfId="41376"/>
    <cellStyle name="常规 5 7 2 2 2" xfId="41377"/>
    <cellStyle name="常规 5 7 2 2 2 2" xfId="41378"/>
    <cellStyle name="常规 5 7 2 3" xfId="41379"/>
    <cellStyle name="常规 5 7 2 3 2" xfId="41380"/>
    <cellStyle name="常规 5 7 2 4" xfId="41381"/>
    <cellStyle name="常规 5 7 2 4 2" xfId="41382"/>
    <cellStyle name="常规 5 7 2 5" xfId="41383"/>
    <cellStyle name="常规 5 7 3" xfId="41384"/>
    <cellStyle name="常规 5 7 4" xfId="41385"/>
    <cellStyle name="常规 5 7 4 2" xfId="41386"/>
    <cellStyle name="常规 5 7 4 3" xfId="41387"/>
    <cellStyle name="常规 5 7 5" xfId="41388"/>
    <cellStyle name="常规 5 7 5 2" xfId="41389"/>
    <cellStyle name="常规 5 8" xfId="41390"/>
    <cellStyle name="常规 5 8 2" xfId="41391"/>
    <cellStyle name="常规 5 8 2 2" xfId="41392"/>
    <cellStyle name="常规 5 8 2 2 2" xfId="41393"/>
    <cellStyle name="常规 5 8 2 2 2 2" xfId="41394"/>
    <cellStyle name="常规 5 8 2 3" xfId="41395"/>
    <cellStyle name="常规 5 8 2 3 2" xfId="41396"/>
    <cellStyle name="常规 5 8 2 4" xfId="41397"/>
    <cellStyle name="常规 5 8 2 4 2" xfId="41398"/>
    <cellStyle name="常规 5 8 2 5" xfId="41399"/>
    <cellStyle name="常规 5 8 3" xfId="41400"/>
    <cellStyle name="常规 5 8 3 2" xfId="41401"/>
    <cellStyle name="常规 5 8 3 2 2" xfId="41402"/>
    <cellStyle name="常规 5 8 4" xfId="41403"/>
    <cellStyle name="常规 5 8 4 2" xfId="41404"/>
    <cellStyle name="常规 5 8 4 2 2" xfId="41405"/>
    <cellStyle name="常规 5 8 5" xfId="41406"/>
    <cellStyle name="常规 5 8 5 2" xfId="41407"/>
    <cellStyle name="常规 5 8 6" xfId="41408"/>
    <cellStyle name="常规 5 9" xfId="41409"/>
    <cellStyle name="常规 5 9 2" xfId="41410"/>
    <cellStyle name="常规 5 9 2 2" xfId="41411"/>
    <cellStyle name="常规 5 9 2 2 2" xfId="41412"/>
    <cellStyle name="常规 5 9 2 2 2 2" xfId="41413"/>
    <cellStyle name="常规 5 9 2 3" xfId="41414"/>
    <cellStyle name="常规 5 9 2 3 2" xfId="41415"/>
    <cellStyle name="常规 5 9 2 4" xfId="41416"/>
    <cellStyle name="常规 5 9 2 4 2" xfId="41417"/>
    <cellStyle name="常规 5 9 2 5" xfId="41418"/>
    <cellStyle name="常规 5 9 3" xfId="41419"/>
    <cellStyle name="常规 5 9 3 2" xfId="41420"/>
    <cellStyle name="常规 5 9 3 2 2" xfId="41421"/>
    <cellStyle name="常规 5 9 4" xfId="41422"/>
    <cellStyle name="常规 5 9 4 2" xfId="41423"/>
    <cellStyle name="常规 5 9 5" xfId="41424"/>
    <cellStyle name="常规 5 9 5 2" xfId="41425"/>
    <cellStyle name="常规 5 9 6" xfId="41426"/>
    <cellStyle name="常规 5_Profit Statement  072610" xfId="41427"/>
    <cellStyle name="常规 6" xfId="41428"/>
    <cellStyle name="常规 6 10" xfId="41429"/>
    <cellStyle name="常规 6 10 2" xfId="41430"/>
    <cellStyle name="常规 6 2" xfId="41431"/>
    <cellStyle name="常规 6 2 10" xfId="41432"/>
    <cellStyle name="常规 6 2 10 2" xfId="41433"/>
    <cellStyle name="常规 6 2 2" xfId="41434"/>
    <cellStyle name="常规 6 2 2 2" xfId="41435"/>
    <cellStyle name="常规 6 2 2 2 2" xfId="41436"/>
    <cellStyle name="常规 6 2 2 2 2 2" xfId="41437"/>
    <cellStyle name="常规 6 2 2 2 2 3" xfId="41438"/>
    <cellStyle name="常规 6 2 2 2 2 4" xfId="41439"/>
    <cellStyle name="常规 6 2 2 2 2 4 2" xfId="41440"/>
    <cellStyle name="常规 6 2 2 2 2 4 3" xfId="41441"/>
    <cellStyle name="常规 6 2 2 2 2 5" xfId="41442"/>
    <cellStyle name="常规 6 2 2 2 2 5 2" xfId="41443"/>
    <cellStyle name="常规 6 2 2 2 3" xfId="41444"/>
    <cellStyle name="常规 6 2 2 2 3 2" xfId="41445"/>
    <cellStyle name="常规 6 2 2 2 3 2 2" xfId="41446"/>
    <cellStyle name="常规 6 2 2 2 3 2 2 2" xfId="41447"/>
    <cellStyle name="常规 6 2 2 2 3 3" xfId="41448"/>
    <cellStyle name="常规 6 2 2 2 3 3 2" xfId="41449"/>
    <cellStyle name="常规 6 2 2 2 3 3 2 2" xfId="41450"/>
    <cellStyle name="常规 6 2 2 2 3 4" xfId="41451"/>
    <cellStyle name="常规 6 2 2 2 3 4 2" xfId="41452"/>
    <cellStyle name="常规 6 2 2 2 3 5" xfId="41453"/>
    <cellStyle name="常规 6 2 2 2 4" xfId="41454"/>
    <cellStyle name="常规 6 2 2 2 5" xfId="41455"/>
    <cellStyle name="常规 6 2 2 2 6" xfId="41456"/>
    <cellStyle name="常规 6 2 2 2 7" xfId="41457"/>
    <cellStyle name="常规 6 2 2 2 7 2" xfId="41458"/>
    <cellStyle name="常规 6 2 2 2 7 3" xfId="41459"/>
    <cellStyle name="常规 6 2 2 2 8" xfId="41460"/>
    <cellStyle name="常规 6 2 2 2 8 2" xfId="41461"/>
    <cellStyle name="常规 6 2 2 3" xfId="41462"/>
    <cellStyle name="常规 6 2 2 3 2" xfId="41463"/>
    <cellStyle name="常规 6 2 2 3 3" xfId="41464"/>
    <cellStyle name="常规 6 2 2 3 4" xfId="41465"/>
    <cellStyle name="常规 6 2 2 3 4 2" xfId="41466"/>
    <cellStyle name="常规 6 2 2 3 4 3" xfId="41467"/>
    <cellStyle name="常规 6 2 2 3 5" xfId="41468"/>
    <cellStyle name="常规 6 2 2 3 5 2" xfId="41469"/>
    <cellStyle name="常规 6 2 2 4" xfId="41470"/>
    <cellStyle name="常规 6 2 2 4 2" xfId="41471"/>
    <cellStyle name="常规 6 2 2 4 2 2" xfId="41472"/>
    <cellStyle name="常规 6 2 2 5" xfId="41473"/>
    <cellStyle name="常规 6 2 2 6" xfId="41474"/>
    <cellStyle name="常规 6 2 2 7" xfId="41475"/>
    <cellStyle name="常规 6 2 2 8" xfId="41476"/>
    <cellStyle name="常规 6 2 2 8 2" xfId="41477"/>
    <cellStyle name="常规 6 2 2 8 3" xfId="41478"/>
    <cellStyle name="常规 6 2 2 9" xfId="41479"/>
    <cellStyle name="常规 6 2 2 9 2" xfId="41480"/>
    <cellStyle name="常规 6 2 3" xfId="41481"/>
    <cellStyle name="常规 6 2 3 2" xfId="41482"/>
    <cellStyle name="常规 6 2 3 2 2" xfId="41483"/>
    <cellStyle name="常规 6 2 3 2 3" xfId="41484"/>
    <cellStyle name="常规 6 2 3 2 4" xfId="41485"/>
    <cellStyle name="常规 6 2 3 2 4 2" xfId="41486"/>
    <cellStyle name="常规 6 2 3 2 4 3" xfId="41487"/>
    <cellStyle name="常规 6 2 3 2 5" xfId="41488"/>
    <cellStyle name="常规 6 2 3 2 5 2" xfId="41489"/>
    <cellStyle name="常规 6 2 3 3" xfId="41490"/>
    <cellStyle name="常规 6 2 3 3 2" xfId="41491"/>
    <cellStyle name="常规 6 2 3 3 2 2" xfId="41492"/>
    <cellStyle name="常规 6 2 3 3 2 2 2" xfId="41493"/>
    <cellStyle name="常规 6 2 3 3 3" xfId="41494"/>
    <cellStyle name="常规 6 2 3 3 3 2" xfId="41495"/>
    <cellStyle name="常规 6 2 3 3 3 2 2" xfId="41496"/>
    <cellStyle name="常规 6 2 3 3 4" xfId="41497"/>
    <cellStyle name="常规 6 2 3 3 4 2" xfId="41498"/>
    <cellStyle name="常规 6 2 3 3 5" xfId="41499"/>
    <cellStyle name="常规 6 2 3 4" xfId="41500"/>
    <cellStyle name="常规 6 2 3 5" xfId="41501"/>
    <cellStyle name="常规 6 2 3 6" xfId="41502"/>
    <cellStyle name="常规 6 2 3 7" xfId="41503"/>
    <cellStyle name="常规 6 2 3 7 2" xfId="41504"/>
    <cellStyle name="常规 6 2 3 7 3" xfId="41505"/>
    <cellStyle name="常规 6 2 3 8" xfId="41506"/>
    <cellStyle name="常规 6 2 3 8 2" xfId="41507"/>
    <cellStyle name="常规 6 2 4" xfId="41508"/>
    <cellStyle name="常规 6 2 4 2" xfId="41509"/>
    <cellStyle name="常规 6 2 4 3" xfId="41510"/>
    <cellStyle name="常规 6 2 4 4" xfId="41511"/>
    <cellStyle name="常规 6 2 4 4 2" xfId="41512"/>
    <cellStyle name="常规 6 2 4 4 3" xfId="41513"/>
    <cellStyle name="常规 6 2 4 5" xfId="41514"/>
    <cellStyle name="常规 6 2 4 5 2" xfId="41515"/>
    <cellStyle name="常规 6 2 5" xfId="41516"/>
    <cellStyle name="常规 6 2 5 2" xfId="41517"/>
    <cellStyle name="常规 6 2 5 2 2" xfId="41518"/>
    <cellStyle name="常规 6 2 6" xfId="41519"/>
    <cellStyle name="常规 6 2 7" xfId="41520"/>
    <cellStyle name="常规 6 2 8" xfId="41521"/>
    <cellStyle name="常规 6 2 9" xfId="41522"/>
    <cellStyle name="常规 6 2 9 2" xfId="41523"/>
    <cellStyle name="常规 6 2 9 3" xfId="41524"/>
    <cellStyle name="常规 6 3" xfId="41525"/>
    <cellStyle name="常规 6 3 2" xfId="41526"/>
    <cellStyle name="常规 6 3 2 2" xfId="41527"/>
    <cellStyle name="常规 6 3 2 2 2" xfId="41528"/>
    <cellStyle name="常规 6 3 2 2 3" xfId="41529"/>
    <cellStyle name="常规 6 3 2 2 4" xfId="41530"/>
    <cellStyle name="常规 6 3 2 2 4 2" xfId="41531"/>
    <cellStyle name="常规 6 3 2 3" xfId="41532"/>
    <cellStyle name="常规 6 3 2 3 2" xfId="41533"/>
    <cellStyle name="常规 6 3 2 3 2 2" xfId="41534"/>
    <cellStyle name="常规 6 3 2 4" xfId="41535"/>
    <cellStyle name="常规 6 3 2 4 2" xfId="41536"/>
    <cellStyle name="常规 6 3 2 4 2 2" xfId="41537"/>
    <cellStyle name="常规 6 3 2 5" xfId="41538"/>
    <cellStyle name="常规 6 3 2 5 2" xfId="41539"/>
    <cellStyle name="常规 6 3 2 5 3" xfId="41540"/>
    <cellStyle name="常规 6 3 2 6" xfId="41541"/>
    <cellStyle name="常规 6 3 2 7" xfId="41542"/>
    <cellStyle name="常规 6 3 2 7 2" xfId="41543"/>
    <cellStyle name="常规 6 3 2 8" xfId="41544"/>
    <cellStyle name="常规 6 3 3" xfId="41545"/>
    <cellStyle name="常规 6 3 3 2" xfId="41546"/>
    <cellStyle name="常规 6 3 3 2 2" xfId="41547"/>
    <cellStyle name="常规 6 3 3 2 2 2" xfId="41548"/>
    <cellStyle name="常规 6 3 3 2 3" xfId="41549"/>
    <cellStyle name="常规 6 3 3 3" xfId="41550"/>
    <cellStyle name="常规 6 3 3 3 2" xfId="41551"/>
    <cellStyle name="常规 6 3 3 3 2 2" xfId="41552"/>
    <cellStyle name="常规 6 3 3 4" xfId="41553"/>
    <cellStyle name="常规 6 3 3 4 2" xfId="41554"/>
    <cellStyle name="常规 6 3 3 4 3" xfId="41555"/>
    <cellStyle name="常规 6 3 3 5" xfId="41556"/>
    <cellStyle name="常规 6 3 3 5 2" xfId="41557"/>
    <cellStyle name="常规 6 3 4" xfId="41558"/>
    <cellStyle name="常规 6 3 4 2" xfId="41559"/>
    <cellStyle name="常规 6 3 4 2 2" xfId="41560"/>
    <cellStyle name="常规 6 3 5" xfId="41561"/>
    <cellStyle name="常规 6 3 5 2" xfId="41562"/>
    <cellStyle name="常规 6 3 5 2 2" xfId="41563"/>
    <cellStyle name="常规 6 3 6" xfId="41564"/>
    <cellStyle name="常规 6 3 6 2" xfId="41565"/>
    <cellStyle name="常规 6 3 6 2 2" xfId="41566"/>
    <cellStyle name="常规 6 3 7" xfId="41567"/>
    <cellStyle name="常规 6 3 7 2" xfId="41568"/>
    <cellStyle name="常规 6 3 7 2 2" xfId="41569"/>
    <cellStyle name="常规 6 3 8" xfId="41570"/>
    <cellStyle name="常规 6 3 8 2" xfId="41571"/>
    <cellStyle name="常规 6 3 8 3" xfId="41572"/>
    <cellStyle name="常规 6 3 9" xfId="41573"/>
    <cellStyle name="常规 6 4" xfId="41574"/>
    <cellStyle name="常规 6 4 2" xfId="41575"/>
    <cellStyle name="常规 6 4 2 2" xfId="41576"/>
    <cellStyle name="常规 6 4 2 2 2" xfId="41577"/>
    <cellStyle name="常规 6 4 2 2 2 2" xfId="41578"/>
    <cellStyle name="常规 6 4 2 3" xfId="41579"/>
    <cellStyle name="常规 6 4 2 3 2" xfId="41580"/>
    <cellStyle name="常规 6 4 2 3 2 2" xfId="41581"/>
    <cellStyle name="常规 6 4 2 4" xfId="41582"/>
    <cellStyle name="常规 6 4 2 4 2" xfId="41583"/>
    <cellStyle name="常规 6 4 2 4 3" xfId="41584"/>
    <cellStyle name="常规 6 4 2 5" xfId="41585"/>
    <cellStyle name="常规 6 4 2 5 2" xfId="41586"/>
    <cellStyle name="常规 6 4 3" xfId="41587"/>
    <cellStyle name="常规 6 4 3 2" xfId="41588"/>
    <cellStyle name="常规 6 4 3 2 2" xfId="41589"/>
    <cellStyle name="常规 6 4 4" xfId="41590"/>
    <cellStyle name="常规 6 4 4 2" xfId="41591"/>
    <cellStyle name="常规 6 4 4 2 2" xfId="41592"/>
    <cellStyle name="常规 6 4 5" xfId="41593"/>
    <cellStyle name="常规 6 4 5 2" xfId="41594"/>
    <cellStyle name="常规 6 4 5 2 2" xfId="41595"/>
    <cellStyle name="常规 6 4 6" xfId="41596"/>
    <cellStyle name="常规 6 4 6 2" xfId="41597"/>
    <cellStyle name="常规 6 4 6 2 2" xfId="41598"/>
    <cellStyle name="常规 6 4 7" xfId="41599"/>
    <cellStyle name="常规 6 4 7 2" xfId="41600"/>
    <cellStyle name="常规 6 4 7 3" xfId="41601"/>
    <cellStyle name="常规 6 4 8" xfId="41602"/>
    <cellStyle name="常规 6 4 8 2" xfId="41603"/>
    <cellStyle name="常规 6 5" xfId="41604"/>
    <cellStyle name="常规 6 5 2" xfId="41605"/>
    <cellStyle name="常规 6 5 2 2" xfId="41606"/>
    <cellStyle name="常规 6 5 2 2 2" xfId="41607"/>
    <cellStyle name="常规 6 5 2 2 2 2" xfId="41608"/>
    <cellStyle name="常规 6 5 2 3" xfId="41609"/>
    <cellStyle name="常规 6 5 2 3 2" xfId="41610"/>
    <cellStyle name="常规 6 5 2 3 2 2" xfId="41611"/>
    <cellStyle name="常规 6 5 2 4" xfId="41612"/>
    <cellStyle name="常规 6 5 2 4 2" xfId="41613"/>
    <cellStyle name="常规 6 5 2 5" xfId="41614"/>
    <cellStyle name="常规 6 5 3" xfId="41615"/>
    <cellStyle name="常规 6 5 3 2" xfId="41616"/>
    <cellStyle name="常规 6 5 3 2 2" xfId="41617"/>
    <cellStyle name="常规 6 5 4" xfId="41618"/>
    <cellStyle name="常规 6 5 4 2" xfId="41619"/>
    <cellStyle name="常规 6 5 4 3" xfId="41620"/>
    <cellStyle name="常规 6 5 5" xfId="41621"/>
    <cellStyle name="常规 6 5 5 2" xfId="41622"/>
    <cellStyle name="常规 6 6" xfId="41623"/>
    <cellStyle name="常规 6 6 2" xfId="41624"/>
    <cellStyle name="常规 6 6 2 2" xfId="41625"/>
    <cellStyle name="常规 6 6 2 2 2" xfId="41626"/>
    <cellStyle name="常规 6 6 3" xfId="41627"/>
    <cellStyle name="常规 6 6 3 2" xfId="41628"/>
    <cellStyle name="常规 6 6 3 2 2" xfId="41629"/>
    <cellStyle name="常规 6 6 4" xfId="41630"/>
    <cellStyle name="常规 6 6 4 2" xfId="41631"/>
    <cellStyle name="常规 6 6 5" xfId="41632"/>
    <cellStyle name="常规 6 7" xfId="41633"/>
    <cellStyle name="常规 6 7 2" xfId="41634"/>
    <cellStyle name="常规 6 7 2 2" xfId="41635"/>
    <cellStyle name="常规 6 8" xfId="41636"/>
    <cellStyle name="常规 6 9" xfId="41637"/>
    <cellStyle name="常规 6 9 2" xfId="41638"/>
    <cellStyle name="常规 6 9 2 2" xfId="41639"/>
    <cellStyle name="常规 6 9 3" xfId="41640"/>
    <cellStyle name="常规 6 9 3 2" xfId="41641"/>
    <cellStyle name="常规 7" xfId="41642"/>
    <cellStyle name="常规 7 10" xfId="41643"/>
    <cellStyle name="常规 7 10 2" xfId="41644"/>
    <cellStyle name="常规 7 10 3" xfId="41645"/>
    <cellStyle name="常规 7 11" xfId="41646"/>
    <cellStyle name="常规 7 2" xfId="41647"/>
    <cellStyle name="常规 7 2 10" xfId="41648"/>
    <cellStyle name="常规 7 2 10 2" xfId="41649"/>
    <cellStyle name="常规 7 2 2" xfId="41650"/>
    <cellStyle name="常规 7 2 2 2" xfId="41651"/>
    <cellStyle name="常规 7 2 2 2 2" xfId="41652"/>
    <cellStyle name="常规 7 2 2 2 2 2" xfId="41653"/>
    <cellStyle name="常规 7 2 2 2 2 3" xfId="41654"/>
    <cellStyle name="常规 7 2 2 2 2 4" xfId="41655"/>
    <cellStyle name="常规 7 2 2 2 2 4 2" xfId="41656"/>
    <cellStyle name="常规 7 2 2 2 2 4 3" xfId="41657"/>
    <cellStyle name="常规 7 2 2 2 2 5" xfId="41658"/>
    <cellStyle name="常规 7 2 2 2 2 5 2" xfId="41659"/>
    <cellStyle name="常规 7 2 2 2 3" xfId="41660"/>
    <cellStyle name="常规 7 2 2 2 3 2" xfId="41661"/>
    <cellStyle name="常规 7 2 2 2 3 2 2" xfId="41662"/>
    <cellStyle name="常规 7 2 2 2 3 2 2 2" xfId="41663"/>
    <cellStyle name="常规 7 2 2 2 3 3" xfId="41664"/>
    <cellStyle name="常规 7 2 2 2 3 3 2" xfId="41665"/>
    <cellStyle name="常规 7 2 2 2 3 3 2 2" xfId="41666"/>
    <cellStyle name="常规 7 2 2 2 3 4" xfId="41667"/>
    <cellStyle name="常规 7 2 2 2 3 4 2" xfId="41668"/>
    <cellStyle name="常规 7 2 2 2 3 5" xfId="41669"/>
    <cellStyle name="常规 7 2 2 2 4" xfId="41670"/>
    <cellStyle name="常规 7 2 2 2 5" xfId="41671"/>
    <cellStyle name="常规 7 2 2 2 6" xfId="41672"/>
    <cellStyle name="常规 7 2 2 2 7" xfId="41673"/>
    <cellStyle name="常规 7 2 2 2 7 2" xfId="41674"/>
    <cellStyle name="常规 7 2 2 2 7 3" xfId="41675"/>
    <cellStyle name="常规 7 2 2 2 8" xfId="41676"/>
    <cellStyle name="常规 7 2 2 2 8 2" xfId="41677"/>
    <cellStyle name="常规 7 2 2 3" xfId="41678"/>
    <cellStyle name="常规 7 2 2 3 2" xfId="41679"/>
    <cellStyle name="常规 7 2 2 3 3" xfId="41680"/>
    <cellStyle name="常规 7 2 2 3 4" xfId="41681"/>
    <cellStyle name="常规 7 2 2 3 4 2" xfId="41682"/>
    <cellStyle name="常规 7 2 2 3 4 3" xfId="41683"/>
    <cellStyle name="常规 7 2 2 3 5" xfId="41684"/>
    <cellStyle name="常规 7 2 2 3 5 2" xfId="41685"/>
    <cellStyle name="常规 7 2 2 4" xfId="41686"/>
    <cellStyle name="常规 7 2 2 4 2" xfId="41687"/>
    <cellStyle name="常规 7 2 2 4 2 2" xfId="41688"/>
    <cellStyle name="常规 7 2 2 5" xfId="41689"/>
    <cellStyle name="常规 7 2 2 5 2" xfId="41690"/>
    <cellStyle name="常规 7 2 2 5 2 2" xfId="41691"/>
    <cellStyle name="常规 7 2 2 6" xfId="41692"/>
    <cellStyle name="常规 7 2 2 6 2" xfId="41693"/>
    <cellStyle name="常规 7 2 2 6 2 2" xfId="41694"/>
    <cellStyle name="常规 7 2 2 7" xfId="41695"/>
    <cellStyle name="常规 7 2 2 8" xfId="41696"/>
    <cellStyle name="常规 7 2 2 8 2" xfId="41697"/>
    <cellStyle name="常规 7 2 2 8 3" xfId="41698"/>
    <cellStyle name="常规 7 2 2 9" xfId="41699"/>
    <cellStyle name="常规 7 2 2 9 2" xfId="41700"/>
    <cellStyle name="常规 7 2 3" xfId="41701"/>
    <cellStyle name="常规 7 2 3 2" xfId="41702"/>
    <cellStyle name="常规 7 2 3 2 2" xfId="41703"/>
    <cellStyle name="常规 7 2 3 2 3" xfId="41704"/>
    <cellStyle name="常规 7 2 3 2 4" xfId="41705"/>
    <cellStyle name="常规 7 2 3 2 4 2" xfId="41706"/>
    <cellStyle name="常规 7 2 3 2 4 3" xfId="41707"/>
    <cellStyle name="常规 7 2 3 2 5" xfId="41708"/>
    <cellStyle name="常规 7 2 3 2 5 2" xfId="41709"/>
    <cellStyle name="常规 7 2 3 3" xfId="41710"/>
    <cellStyle name="常规 7 2 3 3 2" xfId="41711"/>
    <cellStyle name="常规 7 2 3 3 2 2" xfId="41712"/>
    <cellStyle name="常规 7 2 3 3 2 2 2" xfId="41713"/>
    <cellStyle name="常规 7 2 3 3 3" xfId="41714"/>
    <cellStyle name="常规 7 2 3 3 3 2" xfId="41715"/>
    <cellStyle name="常规 7 2 3 3 3 2 2" xfId="41716"/>
    <cellStyle name="常规 7 2 3 3 4" xfId="41717"/>
    <cellStyle name="常规 7 2 3 3 4 2" xfId="41718"/>
    <cellStyle name="常规 7 2 3 3 5" xfId="41719"/>
    <cellStyle name="常规 7 2 3 4" xfId="41720"/>
    <cellStyle name="常规 7 2 3 5" xfId="41721"/>
    <cellStyle name="常规 7 2 3 6" xfId="41722"/>
    <cellStyle name="常规 7 2 3 7" xfId="41723"/>
    <cellStyle name="常规 7 2 3 7 2" xfId="41724"/>
    <cellStyle name="常规 7 2 3 7 3" xfId="41725"/>
    <cellStyle name="常规 7 2 3 8" xfId="41726"/>
    <cellStyle name="常规 7 2 3 8 2" xfId="41727"/>
    <cellStyle name="常规 7 2 4" xfId="41728"/>
    <cellStyle name="常规 7 2 4 2" xfId="41729"/>
    <cellStyle name="常规 7 2 4 3" xfId="41730"/>
    <cellStyle name="常规 7 2 4 4" xfId="41731"/>
    <cellStyle name="常规 7 2 4 4 2" xfId="41732"/>
    <cellStyle name="常规 7 2 4 4 3" xfId="41733"/>
    <cellStyle name="常规 7 2 4 5" xfId="41734"/>
    <cellStyle name="常规 7 2 4 5 2" xfId="41735"/>
    <cellStyle name="常规 7 2 5" xfId="41736"/>
    <cellStyle name="常规 7 2 5 2" xfId="41737"/>
    <cellStyle name="常规 7 2 5 2 2" xfId="41738"/>
    <cellStyle name="常规 7 2 6" xfId="41739"/>
    <cellStyle name="常规 7 2 6 2" xfId="41740"/>
    <cellStyle name="常规 7 2 6 2 2" xfId="41741"/>
    <cellStyle name="常规 7 2 7" xfId="41742"/>
    <cellStyle name="常规 7 2 7 2" xfId="41743"/>
    <cellStyle name="常规 7 2 7 2 2" xfId="41744"/>
    <cellStyle name="常规 7 2 8" xfId="41745"/>
    <cellStyle name="常规 7 2 9" xfId="41746"/>
    <cellStyle name="常规 7 2 9 2" xfId="41747"/>
    <cellStyle name="常规 7 2 9 3" xfId="41748"/>
    <cellStyle name="常规 7 3" xfId="41749"/>
    <cellStyle name="常规 7 3 2" xfId="41750"/>
    <cellStyle name="常规 7 3 2 2" xfId="41751"/>
    <cellStyle name="常规 7 3 2 2 2" xfId="41752"/>
    <cellStyle name="常规 7 3 2 2 3" xfId="41753"/>
    <cellStyle name="常规 7 3 2 2 4" xfId="41754"/>
    <cellStyle name="常规 7 3 2 2 4 2" xfId="41755"/>
    <cellStyle name="常规 7 3 2 3" xfId="41756"/>
    <cellStyle name="常规 7 3 2 3 2" xfId="41757"/>
    <cellStyle name="常规 7 3 2 3 2 2" xfId="41758"/>
    <cellStyle name="常规 7 3 2 4" xfId="41759"/>
    <cellStyle name="常规 7 3 2 4 2" xfId="41760"/>
    <cellStyle name="常规 7 3 2 4 2 2" xfId="41761"/>
    <cellStyle name="常规 7 3 2 5" xfId="41762"/>
    <cellStyle name="常规 7 3 2 5 2" xfId="41763"/>
    <cellStyle name="常规 7 3 2 5 3" xfId="41764"/>
    <cellStyle name="常规 7 3 2 6" xfId="41765"/>
    <cellStyle name="常规 7 3 2 7" xfId="41766"/>
    <cellStyle name="常规 7 3 2 7 2" xfId="41767"/>
    <cellStyle name="常规 7 3 2 8" xfId="41768"/>
    <cellStyle name="常规 7 3 3" xfId="41769"/>
    <cellStyle name="常规 7 3 3 2" xfId="41770"/>
    <cellStyle name="常规 7 3 3 2 2" xfId="41771"/>
    <cellStyle name="常规 7 3 3 2 2 2" xfId="41772"/>
    <cellStyle name="常规 7 3 3 2 3" xfId="41773"/>
    <cellStyle name="常规 7 3 3 3" xfId="41774"/>
    <cellStyle name="常规 7 3 3 3 2" xfId="41775"/>
    <cellStyle name="常规 7 3 3 3 2 2" xfId="41776"/>
    <cellStyle name="常规 7 3 3 4" xfId="41777"/>
    <cellStyle name="常规 7 3 3 4 2" xfId="41778"/>
    <cellStyle name="常规 7 3 3 4 3" xfId="41779"/>
    <cellStyle name="常规 7 3 3 5" xfId="41780"/>
    <cellStyle name="常规 7 3 3 5 2" xfId="41781"/>
    <cellStyle name="常规 7 3 4" xfId="41782"/>
    <cellStyle name="常规 7 3 4 2" xfId="41783"/>
    <cellStyle name="常规 7 3 4 2 2" xfId="41784"/>
    <cellStyle name="常规 7 3 5" xfId="41785"/>
    <cellStyle name="常规 7 3 5 2" xfId="41786"/>
    <cellStyle name="常规 7 3 5 2 2" xfId="41787"/>
    <cellStyle name="常规 7 3 6" xfId="41788"/>
    <cellStyle name="常规 7 3 6 2" xfId="41789"/>
    <cellStyle name="常规 7 3 6 2 2" xfId="41790"/>
    <cellStyle name="常规 7 3 7" xfId="41791"/>
    <cellStyle name="常规 7 3 7 2" xfId="41792"/>
    <cellStyle name="常规 7 3 7 2 2" xfId="41793"/>
    <cellStyle name="常规 7 3 8" xfId="41794"/>
    <cellStyle name="常规 7 3 8 2" xfId="41795"/>
    <cellStyle name="常规 7 3 8 3" xfId="41796"/>
    <cellStyle name="常规 7 3 9" xfId="41797"/>
    <cellStyle name="常规 7 4" xfId="41798"/>
    <cellStyle name="常规 7 4 2" xfId="41799"/>
    <cellStyle name="常规 7 4 2 2" xfId="41800"/>
    <cellStyle name="常规 7 4 2 2 2" xfId="41801"/>
    <cellStyle name="常规 7 4 2 2 2 2" xfId="41802"/>
    <cellStyle name="常规 7 4 2 3" xfId="41803"/>
    <cellStyle name="常规 7 4 2 3 2" xfId="41804"/>
    <cellStyle name="常规 7 4 2 3 2 2" xfId="41805"/>
    <cellStyle name="常规 7 4 2 4" xfId="41806"/>
    <cellStyle name="常规 7 4 2 4 2" xfId="41807"/>
    <cellStyle name="常规 7 4 2 4 3" xfId="41808"/>
    <cellStyle name="常规 7 4 2 5" xfId="41809"/>
    <cellStyle name="常规 7 4 2 5 2" xfId="41810"/>
    <cellStyle name="常规 7 4 3" xfId="41811"/>
    <cellStyle name="常规 7 4 3 2" xfId="41812"/>
    <cellStyle name="常规 7 4 3 2 2" xfId="41813"/>
    <cellStyle name="常规 7 4 4" xfId="41814"/>
    <cellStyle name="常规 7 4 4 2" xfId="41815"/>
    <cellStyle name="常规 7 4 4 2 2" xfId="41816"/>
    <cellStyle name="常规 7 4 5" xfId="41817"/>
    <cellStyle name="常规 7 4 5 2" xfId="41818"/>
    <cellStyle name="常规 7 4 5 2 2" xfId="41819"/>
    <cellStyle name="常规 7 4 6" xfId="41820"/>
    <cellStyle name="常规 7 4 6 2" xfId="41821"/>
    <cellStyle name="常规 7 4 6 2 2" xfId="41822"/>
    <cellStyle name="常规 7 4 7" xfId="41823"/>
    <cellStyle name="常规 7 4 7 2" xfId="41824"/>
    <cellStyle name="常规 7 4 7 3" xfId="41825"/>
    <cellStyle name="常规 7 4 8" xfId="41826"/>
    <cellStyle name="常规 7 4 8 2" xfId="41827"/>
    <cellStyle name="常规 7 5" xfId="41828"/>
    <cellStyle name="常规 7 5 2" xfId="41829"/>
    <cellStyle name="常规 7 5 2 2" xfId="41830"/>
    <cellStyle name="常规 7 5 2 2 2" xfId="41831"/>
    <cellStyle name="常规 7 5 2 2 2 2" xfId="41832"/>
    <cellStyle name="常规 7 5 2 3" xfId="41833"/>
    <cellStyle name="常规 7 5 2 3 2" xfId="41834"/>
    <cellStyle name="常规 7 5 2 3 2 2" xfId="41835"/>
    <cellStyle name="常规 7 5 2 4" xfId="41836"/>
    <cellStyle name="常规 7 5 2 4 2" xfId="41837"/>
    <cellStyle name="常规 7 5 2 5" xfId="41838"/>
    <cellStyle name="常规 7 5 3" xfId="41839"/>
    <cellStyle name="常规 7 5 3 2" xfId="41840"/>
    <cellStyle name="常规 7 5 3 2 2" xfId="41841"/>
    <cellStyle name="常规 7 5 4" xfId="41842"/>
    <cellStyle name="常规 7 5 4 2" xfId="41843"/>
    <cellStyle name="常规 7 5 4 3" xfId="41844"/>
    <cellStyle name="常规 7 5 5" xfId="41845"/>
    <cellStyle name="常规 7 5 5 2" xfId="41846"/>
    <cellStyle name="常规 7 6" xfId="41847"/>
    <cellStyle name="常规 7 6 2" xfId="41848"/>
    <cellStyle name="常规 7 6 2 2" xfId="41849"/>
    <cellStyle name="常规 7 6 2 2 2" xfId="41850"/>
    <cellStyle name="常规 7 6 3" xfId="41851"/>
    <cellStyle name="常规 7 6 3 2" xfId="41852"/>
    <cellStyle name="常规 7 6 3 2 2" xfId="41853"/>
    <cellStyle name="常规 7 6 4" xfId="41854"/>
    <cellStyle name="常规 7 6 4 2" xfId="41855"/>
    <cellStyle name="常规 7 6 5" xfId="41856"/>
    <cellStyle name="常规 7 7" xfId="41857"/>
    <cellStyle name="常规 7 7 2" xfId="41858"/>
    <cellStyle name="常规 7 7 2 2" xfId="41859"/>
    <cellStyle name="常规 7 8" xfId="41860"/>
    <cellStyle name="常规 7 8 2" xfId="41861"/>
    <cellStyle name="常规 7 8 2 2" xfId="41862"/>
    <cellStyle name="常规 7 9" xfId="41863"/>
    <cellStyle name="常规 7 9 2" xfId="41864"/>
    <cellStyle name="常规 7 9 2 2" xfId="41865"/>
    <cellStyle name="常规 8" xfId="41866"/>
    <cellStyle name="常规 8 10" xfId="41867"/>
    <cellStyle name="常规 8 10 2" xfId="41868"/>
    <cellStyle name="常规 8 10 2 2" xfId="41869"/>
    <cellStyle name="常规 8 11" xfId="41870"/>
    <cellStyle name="常规 8 11 2" xfId="41871"/>
    <cellStyle name="常规 8 11 3" xfId="41872"/>
    <cellStyle name="常规 8 12" xfId="41873"/>
    <cellStyle name="常规 8 2" xfId="41874"/>
    <cellStyle name="常规 8 2 10" xfId="41875"/>
    <cellStyle name="常规 8 2 10 2" xfId="41876"/>
    <cellStyle name="常规 8 2 10 3" xfId="41877"/>
    <cellStyle name="常规 8 2 11" xfId="41878"/>
    <cellStyle name="常规 8 2 2" xfId="41879"/>
    <cellStyle name="常规 8 2 2 2" xfId="41880"/>
    <cellStyle name="常规 8 2 2 2 2" xfId="41881"/>
    <cellStyle name="常规 8 2 2 2 2 2" xfId="41882"/>
    <cellStyle name="常规 8 2 2 2 2 2 2" xfId="41883"/>
    <cellStyle name="常规 8 2 2 2 2 2 2 2" xfId="41884"/>
    <cellStyle name="常规 8 2 2 2 2 3" xfId="41885"/>
    <cellStyle name="常规 8 2 2 2 2 3 2" xfId="41886"/>
    <cellStyle name="常规 8 2 2 2 2 3 2 2" xfId="41887"/>
    <cellStyle name="常规 8 2 2 2 2 4" xfId="41888"/>
    <cellStyle name="常规 8 2 2 2 2 4 2" xfId="41889"/>
    <cellStyle name="常规 8 2 2 2 2 4 3" xfId="41890"/>
    <cellStyle name="常规 8 2 2 2 2 5" xfId="41891"/>
    <cellStyle name="常规 8 2 2 2 2 5 2" xfId="41892"/>
    <cellStyle name="常规 8 2 2 2 3" xfId="41893"/>
    <cellStyle name="常规 8 2 2 2 3 2" xfId="41894"/>
    <cellStyle name="常规 8 2 2 2 3 2 2" xfId="41895"/>
    <cellStyle name="常规 8 2 2 2 3 2 2 2" xfId="41896"/>
    <cellStyle name="常规 8 2 2 2 3 3" xfId="41897"/>
    <cellStyle name="常规 8 2 2 2 3 3 2" xfId="41898"/>
    <cellStyle name="常规 8 2 2 2 3 3 2 2" xfId="41899"/>
    <cellStyle name="常规 8 2 2 2 3 4" xfId="41900"/>
    <cellStyle name="常规 8 2 2 2 3 4 2" xfId="41901"/>
    <cellStyle name="常规 8 2 2 2 3 5" xfId="41902"/>
    <cellStyle name="常规 8 2 2 2 4" xfId="41903"/>
    <cellStyle name="常规 8 2 2 2 4 2" xfId="41904"/>
    <cellStyle name="常规 8 2 2 2 4 2 2" xfId="41905"/>
    <cellStyle name="常规 8 2 2 2 5" xfId="41906"/>
    <cellStyle name="常规 8 2 2 2 5 2" xfId="41907"/>
    <cellStyle name="常规 8 2 2 2 5 2 2" xfId="41908"/>
    <cellStyle name="常规 8 2 2 2 6" xfId="41909"/>
    <cellStyle name="常规 8 2 2 2 6 2" xfId="41910"/>
    <cellStyle name="常规 8 2 2 2 6 2 2" xfId="41911"/>
    <cellStyle name="常规 8 2 2 2 7" xfId="41912"/>
    <cellStyle name="常规 8 2 2 2 7 2" xfId="41913"/>
    <cellStyle name="常规 8 2 2 2 7 3" xfId="41914"/>
    <cellStyle name="常规 8 2 2 2 8" xfId="41915"/>
    <cellStyle name="常规 8 2 2 2 8 2" xfId="41916"/>
    <cellStyle name="常规 8 2 2 3" xfId="41917"/>
    <cellStyle name="常规 8 2 2 3 2" xfId="41918"/>
    <cellStyle name="常规 8 2 2 3 2 2" xfId="41919"/>
    <cellStyle name="常规 8 2 2 3 2 2 2" xfId="41920"/>
    <cellStyle name="常规 8 2 2 3 3" xfId="41921"/>
    <cellStyle name="常规 8 2 2 3 3 2" xfId="41922"/>
    <cellStyle name="常规 8 2 2 3 3 2 2" xfId="41923"/>
    <cellStyle name="常规 8 2 2 3 4" xfId="41924"/>
    <cellStyle name="常规 8 2 2 3 4 2" xfId="41925"/>
    <cellStyle name="常规 8 2 2 3 4 3" xfId="41926"/>
    <cellStyle name="常规 8 2 2 3 5" xfId="41927"/>
    <cellStyle name="常规 8 2 2 3 5 2" xfId="41928"/>
    <cellStyle name="常规 8 2 2 4" xfId="41929"/>
    <cellStyle name="常规 8 2 2 4 2" xfId="41930"/>
    <cellStyle name="常规 8 2 2 4 2 2" xfId="41931"/>
    <cellStyle name="常规 8 2 2 5" xfId="41932"/>
    <cellStyle name="常规 8 2 2 5 2" xfId="41933"/>
    <cellStyle name="常规 8 2 2 5 2 2" xfId="41934"/>
    <cellStyle name="常规 8 2 2 6" xfId="41935"/>
    <cellStyle name="常规 8 2 2 6 2" xfId="41936"/>
    <cellStyle name="常规 8 2 2 6 2 2" xfId="41937"/>
    <cellStyle name="常规 8 2 2 7" xfId="41938"/>
    <cellStyle name="常规 8 2 2 7 2" xfId="41939"/>
    <cellStyle name="常规 8 2 2 7 2 2" xfId="41940"/>
    <cellStyle name="常规 8 2 2 8" xfId="41941"/>
    <cellStyle name="常规 8 2 2 8 2" xfId="41942"/>
    <cellStyle name="常规 8 2 2 8 3" xfId="41943"/>
    <cellStyle name="常规 8 2 2 9" xfId="41944"/>
    <cellStyle name="常规 8 2 2 9 2" xfId="41945"/>
    <cellStyle name="常规 8 2 3" xfId="41946"/>
    <cellStyle name="常规 8 2 3 2" xfId="41947"/>
    <cellStyle name="常规 8 2 3 2 2" xfId="41948"/>
    <cellStyle name="常规 8 2 3 2 2 2" xfId="41949"/>
    <cellStyle name="常规 8 2 3 2 2 3" xfId="41950"/>
    <cellStyle name="常规 8 2 3 2 2 4" xfId="41951"/>
    <cellStyle name="常规 8 2 3 2 2 4 2" xfId="41952"/>
    <cellStyle name="常规 8 2 3 2 3" xfId="41953"/>
    <cellStyle name="常规 8 2 3 2 3 2" xfId="41954"/>
    <cellStyle name="常规 8 2 3 2 3 2 2" xfId="41955"/>
    <cellStyle name="常规 8 2 3 2 4" xfId="41956"/>
    <cellStyle name="常规 8 2 3 2 4 2" xfId="41957"/>
    <cellStyle name="常规 8 2 3 2 4 2 2" xfId="41958"/>
    <cellStyle name="常规 8 2 3 2 5" xfId="41959"/>
    <cellStyle name="常规 8 2 3 2 5 2" xfId="41960"/>
    <cellStyle name="常规 8 2 3 2 5 3" xfId="41961"/>
    <cellStyle name="常规 8 2 3 2 6" xfId="41962"/>
    <cellStyle name="常规 8 2 3 2 7" xfId="41963"/>
    <cellStyle name="常规 8 2 3 2 7 2" xfId="41964"/>
    <cellStyle name="常规 8 2 3 2 8" xfId="41965"/>
    <cellStyle name="常规 8 2 3 3" xfId="41966"/>
    <cellStyle name="常规 8 2 3 3 2" xfId="41967"/>
    <cellStyle name="常规 8 2 3 3 2 2" xfId="41968"/>
    <cellStyle name="常规 8 2 3 3 2 2 2" xfId="41969"/>
    <cellStyle name="常规 8 2 3 3 2 3" xfId="41970"/>
    <cellStyle name="常规 8 2 3 3 3" xfId="41971"/>
    <cellStyle name="常规 8 2 3 3 3 2" xfId="41972"/>
    <cellStyle name="常规 8 2 3 3 3 2 2" xfId="41973"/>
    <cellStyle name="常规 8 2 3 3 4" xfId="41974"/>
    <cellStyle name="常规 8 2 3 3 4 2" xfId="41975"/>
    <cellStyle name="常规 8 2 3 3 4 3" xfId="41976"/>
    <cellStyle name="常规 8 2 3 3 5" xfId="41977"/>
    <cellStyle name="常规 8 2 3 3 5 2" xfId="41978"/>
    <cellStyle name="常规 8 2 3 4" xfId="41979"/>
    <cellStyle name="常规 8 2 3 4 2" xfId="41980"/>
    <cellStyle name="常规 8 2 3 4 2 2" xfId="41981"/>
    <cellStyle name="常规 8 2 3 5" xfId="41982"/>
    <cellStyle name="常规 8 2 3 5 2" xfId="41983"/>
    <cellStyle name="常规 8 2 3 5 2 2" xfId="41984"/>
    <cellStyle name="常规 8 2 3 6" xfId="41985"/>
    <cellStyle name="常规 8 2 3 6 2" xfId="41986"/>
    <cellStyle name="常规 8 2 3 6 2 2" xfId="41987"/>
    <cellStyle name="常规 8 2 3 7" xfId="41988"/>
    <cellStyle name="常规 8 2 3 7 2" xfId="41989"/>
    <cellStyle name="常规 8 2 3 7 2 2" xfId="41990"/>
    <cellStyle name="常规 8 2 3 8" xfId="41991"/>
    <cellStyle name="常规 8 2 3 8 2" xfId="41992"/>
    <cellStyle name="常规 8 2 3 8 3" xfId="41993"/>
    <cellStyle name="常规 8 2 3 9" xfId="41994"/>
    <cellStyle name="常规 8 2 4" xfId="41995"/>
    <cellStyle name="常规 8 2 4 2" xfId="41996"/>
    <cellStyle name="常规 8 2 4 2 2" xfId="41997"/>
    <cellStyle name="常规 8 2 4 2 3" xfId="41998"/>
    <cellStyle name="常规 8 2 4 2 4" xfId="41999"/>
    <cellStyle name="常规 8 2 4 2 4 2" xfId="42000"/>
    <cellStyle name="常规 8 2 4 3" xfId="42001"/>
    <cellStyle name="常规 8 2 4 3 2" xfId="42002"/>
    <cellStyle name="常规 8 2 4 3 2 2" xfId="42003"/>
    <cellStyle name="常规 8 2 4 4" xfId="42004"/>
    <cellStyle name="常规 8 2 4 4 2" xfId="42005"/>
    <cellStyle name="常规 8 2 4 4 2 2" xfId="42006"/>
    <cellStyle name="常规 8 2 4 5" xfId="42007"/>
    <cellStyle name="常规 8 2 4 5 2" xfId="42008"/>
    <cellStyle name="常规 8 2 4 5 3" xfId="42009"/>
    <cellStyle name="常规 8 2 4 6" xfId="42010"/>
    <cellStyle name="常规 8 2 4 7" xfId="42011"/>
    <cellStyle name="常规 8 2 4 7 2" xfId="42012"/>
    <cellStyle name="常规 8 2 4 8" xfId="42013"/>
    <cellStyle name="常规 8 2 5" xfId="42014"/>
    <cellStyle name="常规 8 2 5 2" xfId="42015"/>
    <cellStyle name="常规 8 2 5 3" xfId="42016"/>
    <cellStyle name="常规 8 2 5 4" xfId="42017"/>
    <cellStyle name="常规 8 2 5 4 2" xfId="42018"/>
    <cellStyle name="常规 8 2 6" xfId="42019"/>
    <cellStyle name="常规 8 2 6 2" xfId="42020"/>
    <cellStyle name="常规 8 2 6 2 2" xfId="42021"/>
    <cellStyle name="常规 8 2 7" xfId="42022"/>
    <cellStyle name="常规 8 2 7 2" xfId="42023"/>
    <cellStyle name="常规 8 2 7 2 2" xfId="42024"/>
    <cellStyle name="常规 8 2 8" xfId="42025"/>
    <cellStyle name="常规 8 2 8 2" xfId="42026"/>
    <cellStyle name="常规 8 2 8 2 2" xfId="42027"/>
    <cellStyle name="常规 8 2 9" xfId="42028"/>
    <cellStyle name="常规 8 2 9 2" xfId="42029"/>
    <cellStyle name="常规 8 2 9 2 2" xfId="42030"/>
    <cellStyle name="常规 8 3" xfId="42031"/>
    <cellStyle name="常规 8 3 2" xfId="42032"/>
    <cellStyle name="常规 8 3 2 2" xfId="42033"/>
    <cellStyle name="常规 8 3 2 2 2" xfId="42034"/>
    <cellStyle name="常规 8 3 2 2 3" xfId="42035"/>
    <cellStyle name="常规 8 3 2 2 4" xfId="42036"/>
    <cellStyle name="常规 8 3 2 2 4 2" xfId="42037"/>
    <cellStyle name="常规 8 3 2 3" xfId="42038"/>
    <cellStyle name="常规 8 3 2 3 2" xfId="42039"/>
    <cellStyle name="常规 8 3 2 3 2 2" xfId="42040"/>
    <cellStyle name="常规 8 3 2 4" xfId="42041"/>
    <cellStyle name="常规 8 3 2 4 2" xfId="42042"/>
    <cellStyle name="常规 8 3 2 4 2 2" xfId="42043"/>
    <cellStyle name="常规 8 3 2 5" xfId="42044"/>
    <cellStyle name="常规 8 3 2 5 2" xfId="42045"/>
    <cellStyle name="常规 8 3 2 5 3" xfId="42046"/>
    <cellStyle name="常规 8 3 2 6" xfId="42047"/>
    <cellStyle name="常规 8 3 2 7" xfId="42048"/>
    <cellStyle name="常规 8 3 2 7 2" xfId="42049"/>
    <cellStyle name="常规 8 3 2 8" xfId="42050"/>
    <cellStyle name="常规 8 3 3" xfId="42051"/>
    <cellStyle name="常规 8 3 3 2" xfId="42052"/>
    <cellStyle name="常规 8 3 3 2 2" xfId="42053"/>
    <cellStyle name="常规 8 3 3 2 2 2" xfId="42054"/>
    <cellStyle name="常规 8 3 3 2 3" xfId="42055"/>
    <cellStyle name="常规 8 3 3 3" xfId="42056"/>
    <cellStyle name="常规 8 3 3 3 2" xfId="42057"/>
    <cellStyle name="常规 8 3 3 3 2 2" xfId="42058"/>
    <cellStyle name="常规 8 3 3 4" xfId="42059"/>
    <cellStyle name="常规 8 3 3 4 2" xfId="42060"/>
    <cellStyle name="常规 8 3 3 4 3" xfId="42061"/>
    <cellStyle name="常规 8 3 3 5" xfId="42062"/>
    <cellStyle name="常规 8 3 3 5 2" xfId="42063"/>
    <cellStyle name="常规 8 3 4" xfId="42064"/>
    <cellStyle name="常规 8 3 4 2" xfId="42065"/>
    <cellStyle name="常规 8 3 4 2 2" xfId="42066"/>
    <cellStyle name="常规 8 3 5" xfId="42067"/>
    <cellStyle name="常规 8 3 5 2" xfId="42068"/>
    <cellStyle name="常规 8 3 5 2 2" xfId="42069"/>
    <cellStyle name="常规 8 3 6" xfId="42070"/>
    <cellStyle name="常规 8 3 6 2" xfId="42071"/>
    <cellStyle name="常规 8 3 6 2 2" xfId="42072"/>
    <cellStyle name="常规 8 3 7" xfId="42073"/>
    <cellStyle name="常规 8 3 7 2" xfId="42074"/>
    <cellStyle name="常规 8 3 7 2 2" xfId="42075"/>
    <cellStyle name="常规 8 3 8" xfId="42076"/>
    <cellStyle name="常规 8 3 8 2" xfId="42077"/>
    <cellStyle name="常规 8 3 8 3" xfId="42078"/>
    <cellStyle name="常规 8 3 9" xfId="42079"/>
    <cellStyle name="常规 8 4" xfId="42080"/>
    <cellStyle name="常规 8 4 2" xfId="42081"/>
    <cellStyle name="常规 8 4 2 2" xfId="42082"/>
    <cellStyle name="常规 8 4 2 2 2" xfId="42083"/>
    <cellStyle name="常规 8 4 2 2 3" xfId="42084"/>
    <cellStyle name="常规 8 4 2 2 4" xfId="42085"/>
    <cellStyle name="常规 8 4 2 2 4 2" xfId="42086"/>
    <cellStyle name="常规 8 4 2 3" xfId="42087"/>
    <cellStyle name="常规 8 4 2 3 2" xfId="42088"/>
    <cellStyle name="常规 8 4 2 3 2 2" xfId="42089"/>
    <cellStyle name="常规 8 4 2 4" xfId="42090"/>
    <cellStyle name="常规 8 4 2 4 2" xfId="42091"/>
    <cellStyle name="常规 8 4 2 4 2 2" xfId="42092"/>
    <cellStyle name="常规 8 4 2 5" xfId="42093"/>
    <cellStyle name="常规 8 4 2 5 2" xfId="42094"/>
    <cellStyle name="常规 8 4 2 5 3" xfId="42095"/>
    <cellStyle name="常规 8 4 2 6" xfId="42096"/>
    <cellStyle name="常规 8 4 2 7" xfId="42097"/>
    <cellStyle name="常规 8 4 2 7 2" xfId="42098"/>
    <cellStyle name="常规 8 4 2 8" xfId="42099"/>
    <cellStyle name="常规 8 4 3" xfId="42100"/>
    <cellStyle name="常规 8 4 3 2" xfId="42101"/>
    <cellStyle name="常规 8 4 3 3" xfId="42102"/>
    <cellStyle name="常规 8 4 3 4" xfId="42103"/>
    <cellStyle name="常规 8 4 3 4 2" xfId="42104"/>
    <cellStyle name="常规 8 4 4" xfId="42105"/>
    <cellStyle name="常规 8 4 4 2" xfId="42106"/>
    <cellStyle name="常规 8 4 4 2 2" xfId="42107"/>
    <cellStyle name="常规 8 4 5" xfId="42108"/>
    <cellStyle name="常规 8 4 5 2" xfId="42109"/>
    <cellStyle name="常规 8 4 5 2 2" xfId="42110"/>
    <cellStyle name="常规 8 4 6" xfId="42111"/>
    <cellStyle name="常规 8 4 6 2" xfId="42112"/>
    <cellStyle name="常规 8 4 6 2 2" xfId="42113"/>
    <cellStyle name="常规 8 4 7" xfId="42114"/>
    <cellStyle name="常规 8 4 7 2" xfId="42115"/>
    <cellStyle name="常规 8 4 7 2 2" xfId="42116"/>
    <cellStyle name="常规 8 4 8" xfId="42117"/>
    <cellStyle name="常规 8 4 8 2" xfId="42118"/>
    <cellStyle name="常规 8 4 8 3" xfId="42119"/>
    <cellStyle name="常规 8 4 9" xfId="42120"/>
    <cellStyle name="常规 8 5" xfId="42121"/>
    <cellStyle name="常规 8 5 2" xfId="42122"/>
    <cellStyle name="常规 8 5 2 2" xfId="42123"/>
    <cellStyle name="常规 8 5 2 2 2" xfId="42124"/>
    <cellStyle name="常规 8 5 2 2 2 2" xfId="42125"/>
    <cellStyle name="常规 8 5 2 2 3" xfId="42126"/>
    <cellStyle name="常规 8 5 2 3" xfId="42127"/>
    <cellStyle name="常规 8 5 2 3 2" xfId="42128"/>
    <cellStyle name="常规 8 5 2 3 2 2" xfId="42129"/>
    <cellStyle name="常规 8 5 2 4" xfId="42130"/>
    <cellStyle name="常规 8 5 2 4 2" xfId="42131"/>
    <cellStyle name="常规 8 5 2 4 3" xfId="42132"/>
    <cellStyle name="常规 8 5 2 5" xfId="42133"/>
    <cellStyle name="常规 8 5 2 5 2" xfId="42134"/>
    <cellStyle name="常规 8 5 3" xfId="42135"/>
    <cellStyle name="常规 8 5 3 2" xfId="42136"/>
    <cellStyle name="常规 8 5 3 2 2" xfId="42137"/>
    <cellStyle name="常规 8 5 4" xfId="42138"/>
    <cellStyle name="常规 8 5 4 2" xfId="42139"/>
    <cellStyle name="常规 8 5 4 2 2" xfId="42140"/>
    <cellStyle name="常规 8 5 5" xfId="42141"/>
    <cellStyle name="常规 8 5 5 2" xfId="42142"/>
    <cellStyle name="常规 8 5 5 3" xfId="42143"/>
    <cellStyle name="常规 8 5 6" xfId="42144"/>
    <cellStyle name="常规 8 5 7" xfId="42145"/>
    <cellStyle name="常规 8 5 7 2" xfId="42146"/>
    <cellStyle name="常规 8 5 8" xfId="42147"/>
    <cellStyle name="常规 8 6" xfId="42148"/>
    <cellStyle name="常规 8 6 2" xfId="42149"/>
    <cellStyle name="常规 8 6 2 2" xfId="42150"/>
    <cellStyle name="常规 8 6 2 2 2" xfId="42151"/>
    <cellStyle name="常规 8 6 2 3" xfId="42152"/>
    <cellStyle name="常规 8 6 3" xfId="42153"/>
    <cellStyle name="常规 8 6 3 2" xfId="42154"/>
    <cellStyle name="常规 8 6 3 2 2" xfId="42155"/>
    <cellStyle name="常规 8 6 4" xfId="42156"/>
    <cellStyle name="常规 8 6 4 2" xfId="42157"/>
    <cellStyle name="常规 8 6 4 3" xfId="42158"/>
    <cellStyle name="常规 8 6 5" xfId="42159"/>
    <cellStyle name="常规 8 6 5 2" xfId="42160"/>
    <cellStyle name="常规 8 7" xfId="42161"/>
    <cellStyle name="常规 8 7 2" xfId="42162"/>
    <cellStyle name="常规 8 7 2 2" xfId="42163"/>
    <cellStyle name="常规 8 8" xfId="42164"/>
    <cellStyle name="常规 8 8 2" xfId="42165"/>
    <cellStyle name="常规 8 8 2 2" xfId="42166"/>
    <cellStyle name="常规 8 9" xfId="42167"/>
    <cellStyle name="常规 8 9 2" xfId="42168"/>
    <cellStyle name="常规 8 9 2 2" xfId="42169"/>
    <cellStyle name="常规 9" xfId="42170"/>
    <cellStyle name="常规 9 10" xfId="42171"/>
    <cellStyle name="常规 9 10 2" xfId="42172"/>
    <cellStyle name="常规 9 10 3" xfId="42173"/>
    <cellStyle name="常规 9 11" xfId="42174"/>
    <cellStyle name="常规 9 11 2" xfId="42175"/>
    <cellStyle name="常规 9 12" xfId="42176"/>
    <cellStyle name="常规 9 2" xfId="42177"/>
    <cellStyle name="常规 9 2 10" xfId="42178"/>
    <cellStyle name="常规 9 2 10 2" xfId="42179"/>
    <cellStyle name="常规 9 2 11" xfId="42180"/>
    <cellStyle name="常规 9 2 2" xfId="42181"/>
    <cellStyle name="常规 9 2 2 2" xfId="42182"/>
    <cellStyle name="常规 9 2 2 2 2" xfId="42183"/>
    <cellStyle name="常规 9 2 2 2 2 2" xfId="42184"/>
    <cellStyle name="常规 9 2 2 2 2 3" xfId="42185"/>
    <cellStyle name="常规 9 2 2 2 3" xfId="42186"/>
    <cellStyle name="常规 9 2 2 2 4" xfId="42187"/>
    <cellStyle name="常规 9 2 2 2 5" xfId="42188"/>
    <cellStyle name="常规 9 2 2 2 6" xfId="42189"/>
    <cellStyle name="常规 9 2 2 2 7" xfId="42190"/>
    <cellStyle name="常规 9 2 2 2 7 2" xfId="42191"/>
    <cellStyle name="常规 9 2 2 3" xfId="42192"/>
    <cellStyle name="常规 9 2 2 3 2" xfId="42193"/>
    <cellStyle name="常规 9 2 2 3 3" xfId="42194"/>
    <cellStyle name="常规 9 2 2 3 4" xfId="42195"/>
    <cellStyle name="常规 9 2 2 3 4 2" xfId="42196"/>
    <cellStyle name="常规 9 2 2 4" xfId="42197"/>
    <cellStyle name="常规 9 2 2 4 2" xfId="42198"/>
    <cellStyle name="常规 9 2 2 4 2 2" xfId="42199"/>
    <cellStyle name="常规 9 2 2 5" xfId="42200"/>
    <cellStyle name="常规 9 2 2 5 2" xfId="42201"/>
    <cellStyle name="常规 9 2 2 5 3" xfId="42202"/>
    <cellStyle name="常规 9 2 2 6" xfId="42203"/>
    <cellStyle name="常规 9 2 2 7" xfId="42204"/>
    <cellStyle name="常规 9 2 2 8" xfId="42205"/>
    <cellStyle name="常规 9 2 2 8 2" xfId="42206"/>
    <cellStyle name="常规 9 2 2 9" xfId="42207"/>
    <cellStyle name="常规 9 2 3" xfId="42208"/>
    <cellStyle name="常规 9 2 3 2" xfId="42209"/>
    <cellStyle name="常规 9 2 3 2 2" xfId="42210"/>
    <cellStyle name="常规 9 2 3 2 2 2" xfId="42211"/>
    <cellStyle name="常规 9 2 3 2 2 3" xfId="42212"/>
    <cellStyle name="常规 9 2 3 2 3" xfId="42213"/>
    <cellStyle name="常规 9 2 3 2 4" xfId="42214"/>
    <cellStyle name="常规 9 2 3 2 5" xfId="42215"/>
    <cellStyle name="常规 9 2 3 2 6" xfId="42216"/>
    <cellStyle name="常规 9 2 3 3" xfId="42217"/>
    <cellStyle name="常规 9 2 3 3 2" xfId="42218"/>
    <cellStyle name="常规 9 2 3 3 3" xfId="42219"/>
    <cellStyle name="常规 9 2 3 4" xfId="42220"/>
    <cellStyle name="常规 9 2 3 5" xfId="42221"/>
    <cellStyle name="常规 9 2 3 6" xfId="42222"/>
    <cellStyle name="常规 9 2 3 7" xfId="42223"/>
    <cellStyle name="常规 9 2 3 8" xfId="42224"/>
    <cellStyle name="常规 9 2 3 8 2" xfId="42225"/>
    <cellStyle name="常规 9 2 4" xfId="42226"/>
    <cellStyle name="常规 9 2 4 2" xfId="42227"/>
    <cellStyle name="常规 9 2 4 2 2" xfId="42228"/>
    <cellStyle name="常规 9 2 4 2 3" xfId="42229"/>
    <cellStyle name="常规 9 2 4 3" xfId="42230"/>
    <cellStyle name="常规 9 2 4 4" xfId="42231"/>
    <cellStyle name="常规 9 2 4 5" xfId="42232"/>
    <cellStyle name="常规 9 2 4 6" xfId="42233"/>
    <cellStyle name="常规 9 2 4 7" xfId="42234"/>
    <cellStyle name="常规 9 2 4 7 2" xfId="42235"/>
    <cellStyle name="常规 9 2 5" xfId="42236"/>
    <cellStyle name="常规 9 2 5 2" xfId="42237"/>
    <cellStyle name="常规 9 2 5 3" xfId="42238"/>
    <cellStyle name="常规 9 2 5 4" xfId="42239"/>
    <cellStyle name="常规 9 2 5 4 2" xfId="42240"/>
    <cellStyle name="常规 9 2 6" xfId="42241"/>
    <cellStyle name="常规 9 2 6 2" xfId="42242"/>
    <cellStyle name="常规 9 2 6 2 2" xfId="42243"/>
    <cellStyle name="常规 9 2 7" xfId="42244"/>
    <cellStyle name="常规 9 2 7 2" xfId="42245"/>
    <cellStyle name="常规 9 2 7 2 2" xfId="42246"/>
    <cellStyle name="常规 9 2 8" xfId="42247"/>
    <cellStyle name="常规 9 2 8 2" xfId="42248"/>
    <cellStyle name="常规 9 2 8 3" xfId="42249"/>
    <cellStyle name="常规 9 2 9" xfId="42250"/>
    <cellStyle name="常规 9 3" xfId="42251"/>
    <cellStyle name="常规 9 3 2" xfId="42252"/>
    <cellStyle name="常规 9 3 2 2" xfId="42253"/>
    <cellStyle name="常规 9 3 2 2 2" xfId="42254"/>
    <cellStyle name="常规 9 3 2 2 3" xfId="42255"/>
    <cellStyle name="常规 9 3 2 2 4" xfId="42256"/>
    <cellStyle name="常规 9 3 2 2 4 2" xfId="42257"/>
    <cellStyle name="常规 9 3 2 3" xfId="42258"/>
    <cellStyle name="常规 9 3 2 3 2" xfId="42259"/>
    <cellStyle name="常规 9 3 2 3 2 2" xfId="42260"/>
    <cellStyle name="常规 9 3 2 4" xfId="42261"/>
    <cellStyle name="常规 9 3 2 4 2" xfId="42262"/>
    <cellStyle name="常规 9 3 2 4 2 2" xfId="42263"/>
    <cellStyle name="常规 9 3 2 5" xfId="42264"/>
    <cellStyle name="常规 9 3 2 5 2" xfId="42265"/>
    <cellStyle name="常规 9 3 2 5 3" xfId="42266"/>
    <cellStyle name="常规 9 3 2 6" xfId="42267"/>
    <cellStyle name="常规 9 3 2 7" xfId="42268"/>
    <cellStyle name="常规 9 3 2 7 2" xfId="42269"/>
    <cellStyle name="常规 9 3 2 8" xfId="42270"/>
    <cellStyle name="常规 9 3 3" xfId="42271"/>
    <cellStyle name="常规 9 3 3 2" xfId="42272"/>
    <cellStyle name="常规 9 3 3 2 2" xfId="42273"/>
    <cellStyle name="常规 9 3 3 2 2 2" xfId="42274"/>
    <cellStyle name="常规 9 3 3 2 3" xfId="42275"/>
    <cellStyle name="常规 9 3 3 3" xfId="42276"/>
    <cellStyle name="常规 9 3 3 3 2" xfId="42277"/>
    <cellStyle name="常规 9 3 3 3 2 2" xfId="42278"/>
    <cellStyle name="常规 9 3 3 4" xfId="42279"/>
    <cellStyle name="常规 9 3 3 4 2" xfId="42280"/>
    <cellStyle name="常规 9 3 3 4 3" xfId="42281"/>
    <cellStyle name="常规 9 3 3 5" xfId="42282"/>
    <cellStyle name="常规 9 3 3 5 2" xfId="42283"/>
    <cellStyle name="常规 9 3 4" xfId="42284"/>
    <cellStyle name="常规 9 3 4 2" xfId="42285"/>
    <cellStyle name="常规 9 3 4 2 2" xfId="42286"/>
    <cellStyle name="常规 9 3 5" xfId="42287"/>
    <cellStyle name="常规 9 3 5 2" xfId="42288"/>
    <cellStyle name="常规 9 3 5 2 2" xfId="42289"/>
    <cellStyle name="常规 9 3 6" xfId="42290"/>
    <cellStyle name="常规 9 3 6 2" xfId="42291"/>
    <cellStyle name="常规 9 3 6 2 2" xfId="42292"/>
    <cellStyle name="常规 9 3 7" xfId="42293"/>
    <cellStyle name="常规 9 3 7 2" xfId="42294"/>
    <cellStyle name="常规 9 3 7 2 2" xfId="42295"/>
    <cellStyle name="常规 9 3 8" xfId="42296"/>
    <cellStyle name="常规 9 3 8 2" xfId="42297"/>
    <cellStyle name="常规 9 3 8 3" xfId="42298"/>
    <cellStyle name="常规 9 3 9" xfId="42299"/>
    <cellStyle name="常规 9 4" xfId="42300"/>
    <cellStyle name="常规 9 4 2" xfId="42301"/>
    <cellStyle name="常规 9 4 2 2" xfId="42302"/>
    <cellStyle name="常规 9 4 2 2 2" xfId="42303"/>
    <cellStyle name="常规 9 4 2 2 3" xfId="42304"/>
    <cellStyle name="常规 9 4 2 3" xfId="42305"/>
    <cellStyle name="常规 9 4 2 4" xfId="42306"/>
    <cellStyle name="常规 9 4 2 5" xfId="42307"/>
    <cellStyle name="常规 9 4 2 6" xfId="42308"/>
    <cellStyle name="常规 9 4 2 7" xfId="42309"/>
    <cellStyle name="常规 9 4 2 7 2" xfId="42310"/>
    <cellStyle name="常规 9 4 3" xfId="42311"/>
    <cellStyle name="常规 9 4 3 2" xfId="42312"/>
    <cellStyle name="常规 9 4 3 3" xfId="42313"/>
    <cellStyle name="常规 9 4 3 4" xfId="42314"/>
    <cellStyle name="常规 9 4 3 4 2" xfId="42315"/>
    <cellStyle name="常规 9 4 4" xfId="42316"/>
    <cellStyle name="常规 9 4 4 2" xfId="42317"/>
    <cellStyle name="常规 9 4 4 2 2" xfId="42318"/>
    <cellStyle name="常规 9 4 5" xfId="42319"/>
    <cellStyle name="常规 9 4 5 2" xfId="42320"/>
    <cellStyle name="常规 9 4 5 3" xfId="42321"/>
    <cellStyle name="常规 9 4 6" xfId="42322"/>
    <cellStyle name="常规 9 4 7" xfId="42323"/>
    <cellStyle name="常规 9 4 8" xfId="42324"/>
    <cellStyle name="常规 9 4 8 2" xfId="42325"/>
    <cellStyle name="常规 9 4 9" xfId="42326"/>
    <cellStyle name="常规 9 5" xfId="42327"/>
    <cellStyle name="常规 9 5 2" xfId="42328"/>
    <cellStyle name="常规 9 5 2 2" xfId="42329"/>
    <cellStyle name="常规 9 5 2 3" xfId="42330"/>
    <cellStyle name="常规 9 5 3" xfId="42331"/>
    <cellStyle name="常规 9 5 4" xfId="42332"/>
    <cellStyle name="常规 9 5 5" xfId="42333"/>
    <cellStyle name="常规 9 5 6" xfId="42334"/>
    <cellStyle name="常规 9 5 7" xfId="42335"/>
    <cellStyle name="常规 9 5 7 2" xfId="42336"/>
    <cellStyle name="常规 9 6" xfId="42337"/>
    <cellStyle name="常规 9 6 2" xfId="42338"/>
    <cellStyle name="常规 9 6 3" xfId="42339"/>
    <cellStyle name="常规 9 6 4" xfId="42340"/>
    <cellStyle name="常规 9 6 4 2" xfId="42341"/>
    <cellStyle name="常规 9 7" xfId="42342"/>
    <cellStyle name="常规 9 7 2" xfId="42343"/>
    <cellStyle name="常规 9 7 2 2" xfId="42344"/>
    <cellStyle name="常规 9 8" xfId="42345"/>
    <cellStyle name="常规 9 8 2" xfId="42346"/>
    <cellStyle name="常规 9 8 2 2" xfId="42347"/>
    <cellStyle name="常规 9 9" xfId="42348"/>
    <cellStyle name="常规 9 9 2" xfId="42349"/>
    <cellStyle name="常规 9 9 2 2" xfId="42350"/>
    <cellStyle name="常规_061 explanation" xfId="42351"/>
    <cellStyle name="强调文字颜色 1 2" xfId="42352"/>
    <cellStyle name="强调文字颜色 1 2 10" xfId="42353"/>
    <cellStyle name="强调文字颜色 1 2 11" xfId="42354"/>
    <cellStyle name="强调文字颜色 1 2 2" xfId="42355"/>
    <cellStyle name="强调文字颜色 1 2 2 10" xfId="42356"/>
    <cellStyle name="强调文字颜色 1 2 2 11" xfId="42357"/>
    <cellStyle name="强调文字颜色 1 2 2 2" xfId="42358"/>
    <cellStyle name="强调文字颜色 1 2 2 2 2" xfId="42359"/>
    <cellStyle name="强调文字颜色 1 2 2 2 2 2" xfId="42360"/>
    <cellStyle name="强调文字颜色 1 2 2 2 2 2 2" xfId="42361"/>
    <cellStyle name="强调文字颜色 1 2 2 2 2 2 3" xfId="42362"/>
    <cellStyle name="强调文字颜色 1 2 2 2 2 2 3 2" xfId="42363"/>
    <cellStyle name="强调文字颜色 1 2 2 2 2 2 3 2 2" xfId="42364"/>
    <cellStyle name="强调文字颜色 1 2 2 2 2 2 4" xfId="42365"/>
    <cellStyle name="强调文字颜色 1 2 2 2 2 2 4 2" xfId="42366"/>
    <cellStyle name="强调文字颜色 1 2 2 2 2 3" xfId="42367"/>
    <cellStyle name="强调文字颜色 1 2 2 2 2 3 2" xfId="42368"/>
    <cellStyle name="强调文字颜色 1 2 2 2 2 3 2 2" xfId="42369"/>
    <cellStyle name="强调文字颜色 1 2 2 2 2 3 2 2 2" xfId="42370"/>
    <cellStyle name="强调文字颜色 1 2 2 2 2 3 3" xfId="42371"/>
    <cellStyle name="强调文字颜色 1 2 2 2 2 3 3 2" xfId="42372"/>
    <cellStyle name="强调文字颜色 1 2 2 2 2 4" xfId="42373"/>
    <cellStyle name="强调文字颜色 1 2 2 2 2 5" xfId="42374"/>
    <cellStyle name="强调文字颜色 1 2 2 2 2 6" xfId="42375"/>
    <cellStyle name="强调文字颜色 1 2 2 2 3" xfId="42376"/>
    <cellStyle name="强调文字颜色 1 2 2 2 3 2" xfId="42377"/>
    <cellStyle name="强调文字颜色 1 2 2 2 3 3" xfId="42378"/>
    <cellStyle name="强调文字颜色 1 2 2 2 3 3 2" xfId="42379"/>
    <cellStyle name="强调文字颜色 1 2 2 2 3 3 2 2" xfId="42380"/>
    <cellStyle name="强调文字颜色 1 2 2 2 3 4" xfId="42381"/>
    <cellStyle name="强调文字颜色 1 2 2 2 3 4 2" xfId="42382"/>
    <cellStyle name="强调文字颜色 1 2 2 2 4" xfId="42383"/>
    <cellStyle name="强调文字颜色 1 2 2 2 4 2" xfId="42384"/>
    <cellStyle name="强调文字颜色 1 2 2 2 4 2 2" xfId="42385"/>
    <cellStyle name="强调文字颜色 1 2 2 2 4 2 2 2" xfId="42386"/>
    <cellStyle name="强调文字颜色 1 2 2 2 4 3" xfId="42387"/>
    <cellStyle name="强调文字颜色 1 2 2 2 4 3 2" xfId="42388"/>
    <cellStyle name="强调文字颜色 1 2 2 2 5" xfId="42389"/>
    <cellStyle name="强调文字颜色 1 2 2 2 6" xfId="42390"/>
    <cellStyle name="强调文字颜色 1 2 2 2 7" xfId="42391"/>
    <cellStyle name="强调文字颜色 1 2 2 3" xfId="42392"/>
    <cellStyle name="强调文字颜色 1 2 2 3 2" xfId="42393"/>
    <cellStyle name="强调文字颜色 1 2 2 3 2 2" xfId="42394"/>
    <cellStyle name="强调文字颜色 1 2 2 3 2 3" xfId="42395"/>
    <cellStyle name="强调文字颜色 1 2 2 3 2 3 2" xfId="42396"/>
    <cellStyle name="强调文字颜色 1 2 2 3 2 3 2 2" xfId="42397"/>
    <cellStyle name="强调文字颜色 1 2 2 3 2 4" xfId="42398"/>
    <cellStyle name="强调文字颜色 1 2 2 3 2 4 2" xfId="42399"/>
    <cellStyle name="强调文字颜色 1 2 2 3 3" xfId="42400"/>
    <cellStyle name="强调文字颜色 1 2 2 3 3 2" xfId="42401"/>
    <cellStyle name="强调文字颜色 1 2 2 3 3 2 2" xfId="42402"/>
    <cellStyle name="强调文字颜色 1 2 2 3 3 2 2 2" xfId="42403"/>
    <cellStyle name="强调文字颜色 1 2 2 3 3 3" xfId="42404"/>
    <cellStyle name="强调文字颜色 1 2 2 3 3 3 2" xfId="42405"/>
    <cellStyle name="强调文字颜色 1 2 2 3 4" xfId="42406"/>
    <cellStyle name="强调文字颜色 1 2 2 3 5" xfId="42407"/>
    <cellStyle name="强调文字颜色 1 2 2 3 6" xfId="42408"/>
    <cellStyle name="强调文字颜色 1 2 2 4" xfId="42409"/>
    <cellStyle name="强调文字颜色 1 2 2 4 2" xfId="42410"/>
    <cellStyle name="强调文字颜色 1 2 2 4 2 2" xfId="42411"/>
    <cellStyle name="强调文字颜色 1 2 2 4 2 3" xfId="42412"/>
    <cellStyle name="强调文字颜色 1 2 2 4 2 3 2" xfId="42413"/>
    <cellStyle name="强调文字颜色 1 2 2 4 2 3 2 2" xfId="42414"/>
    <cellStyle name="强调文字颜色 1 2 2 4 2 4" xfId="42415"/>
    <cellStyle name="强调文字颜色 1 2 2 4 2 4 2" xfId="42416"/>
    <cellStyle name="强调文字颜色 1 2 2 4 3" xfId="42417"/>
    <cellStyle name="强调文字颜色 1 2 2 4 4" xfId="42418"/>
    <cellStyle name="强调文字颜色 1 2 2 4 5" xfId="42419"/>
    <cellStyle name="强调文字颜色 1 2 2 4 6" xfId="42420"/>
    <cellStyle name="强调文字颜色 1 2 2 5" xfId="42421"/>
    <cellStyle name="强调文字颜色 1 2 2 5 2" xfId="42422"/>
    <cellStyle name="强调文字颜色 1 2 2 5 2 2" xfId="42423"/>
    <cellStyle name="强调文字颜色 1 2 2 5 2 2 2" xfId="42424"/>
    <cellStyle name="强调文字颜色 1 2 2 5 2 2 2 2" xfId="42425"/>
    <cellStyle name="强调文字颜色 1 2 2 5 2 3" xfId="42426"/>
    <cellStyle name="强调文字颜色 1 2 2 5 2 3 2" xfId="42427"/>
    <cellStyle name="强调文字颜色 1 2 2 5 3" xfId="42428"/>
    <cellStyle name="强调文字颜色 1 2 2 5 3 2" xfId="42429"/>
    <cellStyle name="强调文字颜色 1 2 2 5 3 2 2" xfId="42430"/>
    <cellStyle name="强调文字颜色 1 2 2 5 4" xfId="42431"/>
    <cellStyle name="强调文字颜色 1 2 2 5 4 2" xfId="42432"/>
    <cellStyle name="强调文字颜色 1 2 2 6" xfId="42433"/>
    <cellStyle name="强调文字颜色 1 2 2 6 2" xfId="42434"/>
    <cellStyle name="强调文字颜色 1 2 2 6 2 2" xfId="42435"/>
    <cellStyle name="强调文字颜色 1 2 2 6 2 2 2" xfId="42436"/>
    <cellStyle name="强调文字颜色 1 2 2 6 2 2 2 2" xfId="42437"/>
    <cellStyle name="强调文字颜色 1 2 2 6 2 3" xfId="42438"/>
    <cellStyle name="强调文字颜色 1 2 2 6 2 3 2" xfId="42439"/>
    <cellStyle name="强调文字颜色 1 2 2 6 3" xfId="42440"/>
    <cellStyle name="强调文字颜色 1 2 2 6 3 2" xfId="42441"/>
    <cellStyle name="强调文字颜色 1 2 2 6 3 2 2" xfId="42442"/>
    <cellStyle name="强调文字颜色 1 2 2 6 4" xfId="42443"/>
    <cellStyle name="强调文字颜色 1 2 2 6 4 2" xfId="42444"/>
    <cellStyle name="强调文字颜色 1 2 2 7" xfId="42445"/>
    <cellStyle name="强调文字颜色 1 2 2 7 2" xfId="42446"/>
    <cellStyle name="强调文字颜色 1 2 2 7 2 2" xfId="42447"/>
    <cellStyle name="强调文字颜色 1 2 2 7 2 2 2" xfId="42448"/>
    <cellStyle name="强调文字颜色 1 2 2 7 2 2 2 2" xfId="42449"/>
    <cellStyle name="强调文字颜色 1 2 2 7 2 3" xfId="42450"/>
    <cellStyle name="强调文字颜色 1 2 2 7 2 3 2" xfId="42451"/>
    <cellStyle name="强调文字颜色 1 2 2 7 3" xfId="42452"/>
    <cellStyle name="强调文字颜色 1 2 2 7 3 2" xfId="42453"/>
    <cellStyle name="强调文字颜色 1 2 2 7 3 2 2" xfId="42454"/>
    <cellStyle name="强调文字颜色 1 2 2 7 4" xfId="42455"/>
    <cellStyle name="强调文字颜色 1 2 2 7 4 2" xfId="42456"/>
    <cellStyle name="强调文字颜色 1 2 2 8" xfId="42457"/>
    <cellStyle name="强调文字颜色 1 2 2 8 2" xfId="42458"/>
    <cellStyle name="强调文字颜色 1 2 2 8 2 2" xfId="42459"/>
    <cellStyle name="强调文字颜色 1 2 2 8 2 2 2" xfId="42460"/>
    <cellStyle name="强调文字颜色 1 2 2 8 3" xfId="42461"/>
    <cellStyle name="强调文字颜色 1 2 2 8 3 2" xfId="42462"/>
    <cellStyle name="强调文字颜色 1 2 2 9" xfId="42463"/>
    <cellStyle name="强调文字颜色 1 2 2 9 2" xfId="42464"/>
    <cellStyle name="强调文字颜色 1 2 2 9 2 2" xfId="42465"/>
    <cellStyle name="强调文字颜色 1 2 2 9 2 2 2" xfId="42466"/>
    <cellStyle name="强调文字颜色 1 2 2 9 3" xfId="42467"/>
    <cellStyle name="强调文字颜色 1 2 2 9 3 2" xfId="42468"/>
    <cellStyle name="强调文字颜色 1 2 3" xfId="42469"/>
    <cellStyle name="强调文字颜色 1 2 3 2" xfId="42470"/>
    <cellStyle name="强调文字颜色 1 2 3 2 2" xfId="42471"/>
    <cellStyle name="强调文字颜色 1 2 3 2 2 2" xfId="42472"/>
    <cellStyle name="强调文字颜色 1 2 3 2 2 2 2" xfId="42473"/>
    <cellStyle name="强调文字颜色 1 2 3 2 2 2 3" xfId="42474"/>
    <cellStyle name="强调文字颜色 1 2 3 2 2 2 3 2" xfId="42475"/>
    <cellStyle name="强调文字颜色 1 2 3 2 2 2 3 2 2" xfId="42476"/>
    <cellStyle name="强调文字颜色 1 2 3 2 2 2 4" xfId="42477"/>
    <cellStyle name="强调文字颜色 1 2 3 2 2 2 4 2" xfId="42478"/>
    <cellStyle name="强调文字颜色 1 2 3 2 2 3" xfId="42479"/>
    <cellStyle name="强调文字颜色 1 2 3 2 2 3 2" xfId="42480"/>
    <cellStyle name="强调文字颜色 1 2 3 2 2 3 2 2" xfId="42481"/>
    <cellStyle name="强调文字颜色 1 2 3 2 2 3 2 2 2" xfId="42482"/>
    <cellStyle name="强调文字颜色 1 2 3 2 2 3 3" xfId="42483"/>
    <cellStyle name="强调文字颜色 1 2 3 2 2 3 3 2" xfId="42484"/>
    <cellStyle name="强调文字颜色 1 2 3 2 2 4" xfId="42485"/>
    <cellStyle name="强调文字颜色 1 2 3 2 2 5" xfId="42486"/>
    <cellStyle name="强调文字颜色 1 2 3 2 2 6" xfId="42487"/>
    <cellStyle name="强调文字颜色 1 2 3 2 3" xfId="42488"/>
    <cellStyle name="强调文字颜色 1 2 3 2 3 2" xfId="42489"/>
    <cellStyle name="强调文字颜色 1 2 3 2 3 3" xfId="42490"/>
    <cellStyle name="强调文字颜色 1 2 3 2 3 3 2" xfId="42491"/>
    <cellStyle name="强调文字颜色 1 2 3 2 3 3 2 2" xfId="42492"/>
    <cellStyle name="强调文字颜色 1 2 3 2 3 4" xfId="42493"/>
    <cellStyle name="强调文字颜色 1 2 3 2 3 4 2" xfId="42494"/>
    <cellStyle name="强调文字颜色 1 2 3 2 4" xfId="42495"/>
    <cellStyle name="强调文字颜色 1 2 3 2 4 2" xfId="42496"/>
    <cellStyle name="强调文字颜色 1 2 3 2 4 2 2" xfId="42497"/>
    <cellStyle name="强调文字颜色 1 2 3 2 4 2 2 2" xfId="42498"/>
    <cellStyle name="强调文字颜色 1 2 3 2 4 3" xfId="42499"/>
    <cellStyle name="强调文字颜色 1 2 3 2 4 3 2" xfId="42500"/>
    <cellStyle name="强调文字颜色 1 2 3 2 5" xfId="42501"/>
    <cellStyle name="强调文字颜色 1 2 3 2 6" xfId="42502"/>
    <cellStyle name="强调文字颜色 1 2 3 2 7" xfId="42503"/>
    <cellStyle name="强调文字颜色 1 2 3 3" xfId="42504"/>
    <cellStyle name="强调文字颜色 1 2 3 3 2" xfId="42505"/>
    <cellStyle name="强调文字颜色 1 2 3 3 2 2" xfId="42506"/>
    <cellStyle name="强调文字颜色 1 2 3 3 2 3" xfId="42507"/>
    <cellStyle name="强调文字颜色 1 2 3 3 2 3 2" xfId="42508"/>
    <cellStyle name="强调文字颜色 1 2 3 3 2 3 2 2" xfId="42509"/>
    <cellStyle name="强调文字颜色 1 2 3 3 2 4" xfId="42510"/>
    <cellStyle name="强调文字颜色 1 2 3 3 2 4 2" xfId="42511"/>
    <cellStyle name="强调文字颜色 1 2 3 3 3" xfId="42512"/>
    <cellStyle name="强调文字颜色 1 2 3 3 3 2" xfId="42513"/>
    <cellStyle name="强调文字颜色 1 2 3 3 3 2 2" xfId="42514"/>
    <cellStyle name="强调文字颜色 1 2 3 3 3 2 2 2" xfId="42515"/>
    <cellStyle name="强调文字颜色 1 2 3 3 3 3" xfId="42516"/>
    <cellStyle name="强调文字颜色 1 2 3 3 3 3 2" xfId="42517"/>
    <cellStyle name="强调文字颜色 1 2 3 3 4" xfId="42518"/>
    <cellStyle name="强调文字颜色 1 2 3 3 5" xfId="42519"/>
    <cellStyle name="强调文字颜色 1 2 3 3 6" xfId="42520"/>
    <cellStyle name="强调文字颜色 1 2 3 4" xfId="42521"/>
    <cellStyle name="强调文字颜色 1 2 3 4 2" xfId="42522"/>
    <cellStyle name="强调文字颜色 1 2 3 4 2 2" xfId="42523"/>
    <cellStyle name="强调文字颜色 1 2 3 4 2 3" xfId="42524"/>
    <cellStyle name="强调文字颜色 1 2 3 4 2 3 2" xfId="42525"/>
    <cellStyle name="强调文字颜色 1 2 3 4 2 3 2 2" xfId="42526"/>
    <cellStyle name="强调文字颜色 1 2 3 4 2 4" xfId="42527"/>
    <cellStyle name="强调文字颜色 1 2 3 4 2 4 2" xfId="42528"/>
    <cellStyle name="强调文字颜色 1 2 3 4 3" xfId="42529"/>
    <cellStyle name="强调文字颜色 1 2 3 4 4" xfId="42530"/>
    <cellStyle name="强调文字颜色 1 2 3 4 5" xfId="42531"/>
    <cellStyle name="强调文字颜色 1 2 3 4 6" xfId="42532"/>
    <cellStyle name="强调文字颜色 1 2 3 5" xfId="42533"/>
    <cellStyle name="强调文字颜色 1 2 3 5 2" xfId="42534"/>
    <cellStyle name="强调文字颜色 1 2 3 5 2 2" xfId="42535"/>
    <cellStyle name="强调文字颜色 1 2 3 5 2 2 2" xfId="42536"/>
    <cellStyle name="强调文字颜色 1 2 3 5 2 2 2 2" xfId="42537"/>
    <cellStyle name="强调文字颜色 1 2 3 5 2 3" xfId="42538"/>
    <cellStyle name="强调文字颜色 1 2 3 5 2 3 2" xfId="42539"/>
    <cellStyle name="强调文字颜色 1 2 3 5 3" xfId="42540"/>
    <cellStyle name="强调文字颜色 1 2 3 5 3 2" xfId="42541"/>
    <cellStyle name="强调文字颜色 1 2 3 5 3 2 2" xfId="42542"/>
    <cellStyle name="强调文字颜色 1 2 3 5 4" xfId="42543"/>
    <cellStyle name="强调文字颜色 1 2 3 5 4 2" xfId="42544"/>
    <cellStyle name="强调文字颜色 1 2 3 6" xfId="42545"/>
    <cellStyle name="强调文字颜色 1 2 3 6 2" xfId="42546"/>
    <cellStyle name="强调文字颜色 1 2 3 6 2 2" xfId="42547"/>
    <cellStyle name="强调文字颜色 1 2 3 6 2 2 2" xfId="42548"/>
    <cellStyle name="强调文字颜色 1 2 3 6 3" xfId="42549"/>
    <cellStyle name="强调文字颜色 1 2 3 6 3 2" xfId="42550"/>
    <cellStyle name="强调文字颜色 1 2 3 7" xfId="42551"/>
    <cellStyle name="强调文字颜色 1 2 3 7 2" xfId="42552"/>
    <cellStyle name="强调文字颜色 1 2 3 7 2 2" xfId="42553"/>
    <cellStyle name="强调文字颜色 1 2 3 7 2 2 2" xfId="42554"/>
    <cellStyle name="强调文字颜色 1 2 3 7 3" xfId="42555"/>
    <cellStyle name="强调文字颜色 1 2 3 7 3 2" xfId="42556"/>
    <cellStyle name="强调文字颜色 1 2 3 8" xfId="42557"/>
    <cellStyle name="强调文字颜色 1 2 3 9" xfId="42558"/>
    <cellStyle name="强调文字颜色 1 2 4" xfId="42559"/>
    <cellStyle name="强调文字颜色 1 2 4 2" xfId="42560"/>
    <cellStyle name="强调文字颜色 1 2 4 2 2" xfId="42561"/>
    <cellStyle name="强调文字颜色 1 2 4 2 3" xfId="42562"/>
    <cellStyle name="强调文字颜色 1 2 4 2 3 2" xfId="42563"/>
    <cellStyle name="强调文字颜色 1 2 4 2 3 2 2" xfId="42564"/>
    <cellStyle name="强调文字颜色 1 2 4 2 4" xfId="42565"/>
    <cellStyle name="强调文字颜色 1 2 4 2 4 2" xfId="42566"/>
    <cellStyle name="强调文字颜色 1 2 4 3" xfId="42567"/>
    <cellStyle name="强调文字颜色 1 2 4 3 2" xfId="42568"/>
    <cellStyle name="强调文字颜色 1 2 4 3 2 2" xfId="42569"/>
    <cellStyle name="强调文字颜色 1 2 4 3 2 2 2" xfId="42570"/>
    <cellStyle name="强调文字颜色 1 2 4 3 3" xfId="42571"/>
    <cellStyle name="强调文字颜色 1 2 4 3 3 2" xfId="42572"/>
    <cellStyle name="强调文字颜色 1 2 4 4" xfId="42573"/>
    <cellStyle name="强调文字颜色 1 2 4 5" xfId="42574"/>
    <cellStyle name="强调文字颜色 1 2 4 6" xfId="42575"/>
    <cellStyle name="强调文字颜色 1 2 5" xfId="42576"/>
    <cellStyle name="强调文字颜色 1 2 5 2" xfId="42577"/>
    <cellStyle name="强调文字颜色 1 2 5 2 2" xfId="42578"/>
    <cellStyle name="强调文字颜色 1 2 5 2 3" xfId="42579"/>
    <cellStyle name="强调文字颜色 1 2 5 2 3 2" xfId="42580"/>
    <cellStyle name="强调文字颜色 1 2 5 2 3 2 2" xfId="42581"/>
    <cellStyle name="强调文字颜色 1 2 5 2 4" xfId="42582"/>
    <cellStyle name="强调文字颜色 1 2 5 2 4 2" xfId="42583"/>
    <cellStyle name="强调文字颜色 1 2 5 3" xfId="42584"/>
    <cellStyle name="强调文字颜色 1 2 5 4" xfId="42585"/>
    <cellStyle name="强调文字颜色 1 2 5 5" xfId="42586"/>
    <cellStyle name="强调文字颜色 1 2 5 6" xfId="42587"/>
    <cellStyle name="强调文字颜色 1 2 6" xfId="42588"/>
    <cellStyle name="强调文字颜色 1 2 6 2" xfId="42589"/>
    <cellStyle name="强调文字颜色 1 2 6 2 2" xfId="42590"/>
    <cellStyle name="强调文字颜色 1 2 6 2 2 2" xfId="42591"/>
    <cellStyle name="强调文字颜色 1 2 6 2 2 2 2" xfId="42592"/>
    <cellStyle name="强调文字颜色 1 2 6 2 3" xfId="42593"/>
    <cellStyle name="强调文字颜色 1 2 6 2 3 2" xfId="42594"/>
    <cellStyle name="强调文字颜色 1 2 6 3" xfId="42595"/>
    <cellStyle name="强调文字颜色 1 2 6 3 2" xfId="42596"/>
    <cellStyle name="强调文字颜色 1 2 6 3 2 2" xfId="42597"/>
    <cellStyle name="强调文字颜色 1 2 6 4" xfId="42598"/>
    <cellStyle name="强调文字颜色 1 2 6 4 2" xfId="42599"/>
    <cellStyle name="强调文字颜色 1 2 7" xfId="42600"/>
    <cellStyle name="强调文字颜色 1 2 7 2" xfId="42601"/>
    <cellStyle name="强调文字颜色 1 2 7 2 2" xfId="42602"/>
    <cellStyle name="强调文字颜色 1 2 7 2 2 2" xfId="42603"/>
    <cellStyle name="强调文字颜色 1 2 7 2 2 2 2" xfId="42604"/>
    <cellStyle name="强调文字颜色 1 2 7 2 3" xfId="42605"/>
    <cellStyle name="强调文字颜色 1 2 7 2 3 2" xfId="42606"/>
    <cellStyle name="强调文字颜色 1 2 7 3" xfId="42607"/>
    <cellStyle name="强调文字颜色 1 2 7 3 2" xfId="42608"/>
    <cellStyle name="强调文字颜色 1 2 7 3 2 2" xfId="42609"/>
    <cellStyle name="强调文字颜色 1 2 7 4" xfId="42610"/>
    <cellStyle name="强调文字颜色 1 2 7 4 2" xfId="42611"/>
    <cellStyle name="强调文字颜色 1 2 8" xfId="42612"/>
    <cellStyle name="强调文字颜色 1 2 8 2" xfId="42613"/>
    <cellStyle name="强调文字颜色 1 2 8 2 2" xfId="42614"/>
    <cellStyle name="强调文字颜色 1 2 8 2 2 2" xfId="42615"/>
    <cellStyle name="强调文字颜色 1 2 8 2 2 2 2" xfId="42616"/>
    <cellStyle name="强调文字颜色 1 2 8 2 3" xfId="42617"/>
    <cellStyle name="强调文字颜色 1 2 8 2 3 2" xfId="42618"/>
    <cellStyle name="强调文字颜色 1 2 8 3" xfId="42619"/>
    <cellStyle name="强调文字颜色 1 2 8 3 2" xfId="42620"/>
    <cellStyle name="强调文字颜色 1 2 8 3 2 2" xfId="42621"/>
    <cellStyle name="强调文字颜色 1 2 8 4" xfId="42622"/>
    <cellStyle name="强调文字颜色 1 2 8 4 2" xfId="42623"/>
    <cellStyle name="强调文字颜色 1 2 9" xfId="42624"/>
    <cellStyle name="强调文字颜色 1 2 9 2" xfId="42625"/>
    <cellStyle name="强调文字颜色 1 2 9 2 2" xfId="42626"/>
    <cellStyle name="强调文字颜色 1 2 9 2 2 2" xfId="42627"/>
    <cellStyle name="强调文字颜色 1 2 9 3" xfId="42628"/>
    <cellStyle name="强调文字颜色 1 2 9 3 2" xfId="42629"/>
    <cellStyle name="强调文字颜色 1 3" xfId="42630"/>
    <cellStyle name="强调文字颜色 1 3 2" xfId="42631"/>
    <cellStyle name="强调文字颜色 1 3 2 2" xfId="42632"/>
    <cellStyle name="强调文字颜色 1 3 2 2 2" xfId="42633"/>
    <cellStyle name="强调文字颜色 1 3 2 2 2 2" xfId="42634"/>
    <cellStyle name="强调文字颜色 1 3 2 2 2 3" xfId="42635"/>
    <cellStyle name="强调文字颜色 1 3 2 2 2 3 2" xfId="42636"/>
    <cellStyle name="强调文字颜色 1 3 2 2 2 3 2 2" xfId="42637"/>
    <cellStyle name="强调文字颜色 1 3 2 2 2 4" xfId="42638"/>
    <cellStyle name="强调文字颜色 1 3 2 2 2 4 2" xfId="42639"/>
    <cellStyle name="强调文字颜色 1 3 2 2 3" xfId="42640"/>
    <cellStyle name="强调文字颜色 1 3 2 2 3 2" xfId="42641"/>
    <cellStyle name="强调文字颜色 1 3 2 2 3 2 2" xfId="42642"/>
    <cellStyle name="强调文字颜色 1 3 2 2 3 2 2 2" xfId="42643"/>
    <cellStyle name="强调文字颜色 1 3 2 2 3 3" xfId="42644"/>
    <cellStyle name="强调文字颜色 1 3 2 2 3 3 2" xfId="42645"/>
    <cellStyle name="强调文字颜色 1 3 2 2 4" xfId="42646"/>
    <cellStyle name="强调文字颜色 1 3 2 2 5" xfId="42647"/>
    <cellStyle name="强调文字颜色 1 3 2 2 6" xfId="42648"/>
    <cellStyle name="强调文字颜色 1 3 2 3" xfId="42649"/>
    <cellStyle name="强调文字颜色 1 3 2 3 2" xfId="42650"/>
    <cellStyle name="强调文字颜色 1 3 2 3 3" xfId="42651"/>
    <cellStyle name="强调文字颜色 1 3 2 3 3 2" xfId="42652"/>
    <cellStyle name="强调文字颜色 1 3 2 3 3 2 2" xfId="42653"/>
    <cellStyle name="强调文字颜色 1 3 2 3 4" xfId="42654"/>
    <cellStyle name="强调文字颜色 1 3 2 3 4 2" xfId="42655"/>
    <cellStyle name="强调文字颜色 1 3 2 4" xfId="42656"/>
    <cellStyle name="强调文字颜色 1 3 2 4 2" xfId="42657"/>
    <cellStyle name="强调文字颜色 1 3 2 4 2 2" xfId="42658"/>
    <cellStyle name="强调文字颜色 1 3 2 4 2 2 2" xfId="42659"/>
    <cellStyle name="强调文字颜色 1 3 2 4 3" xfId="42660"/>
    <cellStyle name="强调文字颜色 1 3 2 4 3 2" xfId="42661"/>
    <cellStyle name="强调文字颜色 1 3 2 5" xfId="42662"/>
    <cellStyle name="强调文字颜色 1 3 2 6" xfId="42663"/>
    <cellStyle name="强调文字颜色 1 3 2 7" xfId="42664"/>
    <cellStyle name="强调文字颜色 1 3 3" xfId="42665"/>
    <cellStyle name="强调文字颜色 1 3 3 2" xfId="42666"/>
    <cellStyle name="强调文字颜色 1 3 3 2 2" xfId="42667"/>
    <cellStyle name="强调文字颜色 1 3 3 2 3" xfId="42668"/>
    <cellStyle name="强调文字颜色 1 3 3 2 3 2" xfId="42669"/>
    <cellStyle name="强调文字颜色 1 3 3 2 3 2 2" xfId="42670"/>
    <cellStyle name="强调文字颜色 1 3 3 2 4" xfId="42671"/>
    <cellStyle name="强调文字颜色 1 3 3 2 4 2" xfId="42672"/>
    <cellStyle name="强调文字颜色 1 3 3 3" xfId="42673"/>
    <cellStyle name="强调文字颜色 1 3 3 3 2" xfId="42674"/>
    <cellStyle name="强调文字颜色 1 3 3 3 2 2" xfId="42675"/>
    <cellStyle name="强调文字颜色 1 3 3 3 2 2 2" xfId="42676"/>
    <cellStyle name="强调文字颜色 1 3 3 3 3" xfId="42677"/>
    <cellStyle name="强调文字颜色 1 3 3 3 3 2" xfId="42678"/>
    <cellStyle name="强调文字颜色 1 3 3 4" xfId="42679"/>
    <cellStyle name="强调文字颜色 1 3 3 5" xfId="42680"/>
    <cellStyle name="强调文字颜色 1 3 3 6" xfId="42681"/>
    <cellStyle name="强调文字颜色 1 3 4" xfId="42682"/>
    <cellStyle name="强调文字颜色 1 3 4 2" xfId="42683"/>
    <cellStyle name="强调文字颜色 1 3 4 2 2" xfId="42684"/>
    <cellStyle name="强调文字颜色 1 3 4 2 3" xfId="42685"/>
    <cellStyle name="强调文字颜色 1 3 4 2 3 2" xfId="42686"/>
    <cellStyle name="强调文字颜色 1 3 4 2 3 2 2" xfId="42687"/>
    <cellStyle name="强调文字颜色 1 3 4 2 4" xfId="42688"/>
    <cellStyle name="强调文字颜色 1 3 4 2 4 2" xfId="42689"/>
    <cellStyle name="强调文字颜色 1 3 4 3" xfId="42690"/>
    <cellStyle name="强调文字颜色 1 3 4 4" xfId="42691"/>
    <cellStyle name="强调文字颜色 1 3 4 5" xfId="42692"/>
    <cellStyle name="强调文字颜色 1 3 4 6" xfId="42693"/>
    <cellStyle name="强调文字颜色 1 3 5" xfId="42694"/>
    <cellStyle name="强调文字颜色 1 3 5 2" xfId="42695"/>
    <cellStyle name="强调文字颜色 1 3 5 2 2" xfId="42696"/>
    <cellStyle name="强调文字颜色 1 3 5 2 2 2" xfId="42697"/>
    <cellStyle name="强调文字颜色 1 3 5 2 2 2 2" xfId="42698"/>
    <cellStyle name="强调文字颜色 1 3 5 2 3" xfId="42699"/>
    <cellStyle name="强调文字颜色 1 3 5 2 3 2" xfId="42700"/>
    <cellStyle name="强调文字颜色 1 3 5 3" xfId="42701"/>
    <cellStyle name="强调文字颜色 1 3 5 3 2" xfId="42702"/>
    <cellStyle name="强调文字颜色 1 3 5 3 2 2" xfId="42703"/>
    <cellStyle name="强调文字颜色 1 3 5 4" xfId="42704"/>
    <cellStyle name="强调文字颜色 1 3 5 4 2" xfId="42705"/>
    <cellStyle name="强调文字颜色 1 3 6" xfId="42706"/>
    <cellStyle name="强调文字颜色 1 3 6 2" xfId="42707"/>
    <cellStyle name="强调文字颜色 1 3 6 2 2" xfId="42708"/>
    <cellStyle name="强调文字颜色 1 3 6 2 2 2" xfId="42709"/>
    <cellStyle name="强调文字颜色 1 3 6 3" xfId="42710"/>
    <cellStyle name="强调文字颜色 1 3 6 3 2" xfId="42711"/>
    <cellStyle name="强调文字颜色 1 3 7" xfId="42712"/>
    <cellStyle name="强调文字颜色 1 3 8" xfId="42713"/>
    <cellStyle name="强调文字颜色 2 2" xfId="42714"/>
    <cellStyle name="强调文字颜色 2 2 10" xfId="42715"/>
    <cellStyle name="强调文字颜色 2 2 11" xfId="42716"/>
    <cellStyle name="强调文字颜色 2 2 2" xfId="42717"/>
    <cellStyle name="强调文字颜色 2 2 2 10" xfId="42718"/>
    <cellStyle name="强调文字颜色 2 2 2 11" xfId="42719"/>
    <cellStyle name="强调文字颜色 2 2 2 2" xfId="42720"/>
    <cellStyle name="强调文字颜色 2 2 2 2 2" xfId="42721"/>
    <cellStyle name="强调文字颜色 2 2 2 2 2 2" xfId="42722"/>
    <cellStyle name="强调文字颜色 2 2 2 2 2 2 2" xfId="42723"/>
    <cellStyle name="强调文字颜色 2 2 2 2 2 2 3" xfId="42724"/>
    <cellStyle name="强调文字颜色 2 2 2 2 2 2 3 2" xfId="42725"/>
    <cellStyle name="强调文字颜色 2 2 2 2 2 2 3 2 2" xfId="42726"/>
    <cellStyle name="强调文字颜色 2 2 2 2 2 2 4" xfId="42727"/>
    <cellStyle name="强调文字颜色 2 2 2 2 2 2 4 2" xfId="42728"/>
    <cellStyle name="强调文字颜色 2 2 2 2 2 3" xfId="42729"/>
    <cellStyle name="强调文字颜色 2 2 2 2 2 3 2" xfId="42730"/>
    <cellStyle name="强调文字颜色 2 2 2 2 2 3 2 2" xfId="42731"/>
    <cellStyle name="强调文字颜色 2 2 2 2 2 3 2 2 2" xfId="42732"/>
    <cellStyle name="强调文字颜色 2 2 2 2 2 3 3" xfId="42733"/>
    <cellStyle name="强调文字颜色 2 2 2 2 2 3 3 2" xfId="42734"/>
    <cellStyle name="强调文字颜色 2 2 2 2 2 4" xfId="42735"/>
    <cellStyle name="强调文字颜色 2 2 2 2 2 5" xfId="42736"/>
    <cellStyle name="强调文字颜色 2 2 2 2 2 6" xfId="42737"/>
    <cellStyle name="强调文字颜色 2 2 2 2 3" xfId="42738"/>
    <cellStyle name="强调文字颜色 2 2 2 2 3 2" xfId="42739"/>
    <cellStyle name="强调文字颜色 2 2 2 2 3 3" xfId="42740"/>
    <cellStyle name="强调文字颜色 2 2 2 2 3 3 2" xfId="42741"/>
    <cellStyle name="强调文字颜色 2 2 2 2 3 3 2 2" xfId="42742"/>
    <cellStyle name="强调文字颜色 2 2 2 2 3 4" xfId="42743"/>
    <cellStyle name="强调文字颜色 2 2 2 2 3 4 2" xfId="42744"/>
    <cellStyle name="强调文字颜色 2 2 2 2 4" xfId="42745"/>
    <cellStyle name="强调文字颜色 2 2 2 2 4 2" xfId="42746"/>
    <cellStyle name="强调文字颜色 2 2 2 2 4 2 2" xfId="42747"/>
    <cellStyle name="强调文字颜色 2 2 2 2 4 2 2 2" xfId="42748"/>
    <cellStyle name="强调文字颜色 2 2 2 2 4 3" xfId="42749"/>
    <cellStyle name="强调文字颜色 2 2 2 2 4 3 2" xfId="42750"/>
    <cellStyle name="强调文字颜色 2 2 2 2 5" xfId="42751"/>
    <cellStyle name="强调文字颜色 2 2 2 2 6" xfId="42752"/>
    <cellStyle name="强调文字颜色 2 2 2 2 7" xfId="42753"/>
    <cellStyle name="强调文字颜色 2 2 2 3" xfId="42754"/>
    <cellStyle name="强调文字颜色 2 2 2 3 2" xfId="42755"/>
    <cellStyle name="强调文字颜色 2 2 2 3 2 2" xfId="42756"/>
    <cellStyle name="强调文字颜色 2 2 2 3 2 3" xfId="42757"/>
    <cellStyle name="强调文字颜色 2 2 2 3 2 3 2" xfId="42758"/>
    <cellStyle name="强调文字颜色 2 2 2 3 2 3 2 2" xfId="42759"/>
    <cellStyle name="强调文字颜色 2 2 2 3 2 4" xfId="42760"/>
    <cellStyle name="强调文字颜色 2 2 2 3 2 4 2" xfId="42761"/>
    <cellStyle name="强调文字颜色 2 2 2 3 3" xfId="42762"/>
    <cellStyle name="强调文字颜色 2 2 2 3 3 2" xfId="42763"/>
    <cellStyle name="强调文字颜色 2 2 2 3 3 2 2" xfId="42764"/>
    <cellStyle name="强调文字颜色 2 2 2 3 3 2 2 2" xfId="42765"/>
    <cellStyle name="强调文字颜色 2 2 2 3 3 3" xfId="42766"/>
    <cellStyle name="强调文字颜色 2 2 2 3 3 3 2" xfId="42767"/>
    <cellStyle name="强调文字颜色 2 2 2 3 4" xfId="42768"/>
    <cellStyle name="强调文字颜色 2 2 2 3 5" xfId="42769"/>
    <cellStyle name="强调文字颜色 2 2 2 3 6" xfId="42770"/>
    <cellStyle name="强调文字颜色 2 2 2 4" xfId="42771"/>
    <cellStyle name="强调文字颜色 2 2 2 4 2" xfId="42772"/>
    <cellStyle name="强调文字颜色 2 2 2 4 2 2" xfId="42773"/>
    <cellStyle name="强调文字颜色 2 2 2 4 2 3" xfId="42774"/>
    <cellStyle name="强调文字颜色 2 2 2 4 2 3 2" xfId="42775"/>
    <cellStyle name="强调文字颜色 2 2 2 4 2 3 2 2" xfId="42776"/>
    <cellStyle name="强调文字颜色 2 2 2 4 2 4" xfId="42777"/>
    <cellStyle name="强调文字颜色 2 2 2 4 2 4 2" xfId="42778"/>
    <cellStyle name="强调文字颜色 2 2 2 4 3" xfId="42779"/>
    <cellStyle name="强调文字颜色 2 2 2 4 4" xfId="42780"/>
    <cellStyle name="强调文字颜色 2 2 2 4 5" xfId="42781"/>
    <cellStyle name="强调文字颜色 2 2 2 4 6" xfId="42782"/>
    <cellStyle name="强调文字颜色 2 2 2 5" xfId="42783"/>
    <cellStyle name="强调文字颜色 2 2 2 5 2" xfId="42784"/>
    <cellStyle name="强调文字颜色 2 2 2 5 2 2" xfId="42785"/>
    <cellStyle name="强调文字颜色 2 2 2 5 2 2 2" xfId="42786"/>
    <cellStyle name="强调文字颜色 2 2 2 5 2 2 2 2" xfId="42787"/>
    <cellStyle name="强调文字颜色 2 2 2 5 2 3" xfId="42788"/>
    <cellStyle name="强调文字颜色 2 2 2 5 2 3 2" xfId="42789"/>
    <cellStyle name="强调文字颜色 2 2 2 5 3" xfId="42790"/>
    <cellStyle name="强调文字颜色 2 2 2 5 3 2" xfId="42791"/>
    <cellStyle name="强调文字颜色 2 2 2 5 3 2 2" xfId="42792"/>
    <cellStyle name="强调文字颜色 2 2 2 5 4" xfId="42793"/>
    <cellStyle name="强调文字颜色 2 2 2 5 4 2" xfId="42794"/>
    <cellStyle name="强调文字颜色 2 2 2 6" xfId="42795"/>
    <cellStyle name="强调文字颜色 2 2 2 6 2" xfId="42796"/>
    <cellStyle name="强调文字颜色 2 2 2 6 2 2" xfId="42797"/>
    <cellStyle name="强调文字颜色 2 2 2 6 2 2 2" xfId="42798"/>
    <cellStyle name="强调文字颜色 2 2 2 6 2 2 2 2" xfId="42799"/>
    <cellStyle name="强调文字颜色 2 2 2 6 2 3" xfId="42800"/>
    <cellStyle name="强调文字颜色 2 2 2 6 2 3 2" xfId="42801"/>
    <cellStyle name="强调文字颜色 2 2 2 6 3" xfId="42802"/>
    <cellStyle name="强调文字颜色 2 2 2 6 3 2" xfId="42803"/>
    <cellStyle name="强调文字颜色 2 2 2 6 3 2 2" xfId="42804"/>
    <cellStyle name="强调文字颜色 2 2 2 6 4" xfId="42805"/>
    <cellStyle name="强调文字颜色 2 2 2 6 4 2" xfId="42806"/>
    <cellStyle name="强调文字颜色 2 2 2 7" xfId="42807"/>
    <cellStyle name="强调文字颜色 2 2 2 7 2" xfId="42808"/>
    <cellStyle name="强调文字颜色 2 2 2 7 2 2" xfId="42809"/>
    <cellStyle name="强调文字颜色 2 2 2 7 2 2 2" xfId="42810"/>
    <cellStyle name="强调文字颜色 2 2 2 7 2 2 2 2" xfId="42811"/>
    <cellStyle name="强调文字颜色 2 2 2 7 2 3" xfId="42812"/>
    <cellStyle name="强调文字颜色 2 2 2 7 2 3 2" xfId="42813"/>
    <cellStyle name="强调文字颜色 2 2 2 7 3" xfId="42814"/>
    <cellStyle name="强调文字颜色 2 2 2 7 3 2" xfId="42815"/>
    <cellStyle name="强调文字颜色 2 2 2 7 3 2 2" xfId="42816"/>
    <cellStyle name="强调文字颜色 2 2 2 7 4" xfId="42817"/>
    <cellStyle name="强调文字颜色 2 2 2 7 4 2" xfId="42818"/>
    <cellStyle name="强调文字颜色 2 2 2 8" xfId="42819"/>
    <cellStyle name="强调文字颜色 2 2 2 8 2" xfId="42820"/>
    <cellStyle name="强调文字颜色 2 2 2 8 2 2" xfId="42821"/>
    <cellStyle name="强调文字颜色 2 2 2 8 2 2 2" xfId="42822"/>
    <cellStyle name="强调文字颜色 2 2 2 8 3" xfId="42823"/>
    <cellStyle name="强调文字颜色 2 2 2 8 3 2" xfId="42824"/>
    <cellStyle name="强调文字颜色 2 2 2 9" xfId="42825"/>
    <cellStyle name="强调文字颜色 2 2 2 9 2" xfId="42826"/>
    <cellStyle name="强调文字颜色 2 2 2 9 2 2" xfId="42827"/>
    <cellStyle name="强调文字颜色 2 2 2 9 2 2 2" xfId="42828"/>
    <cellStyle name="强调文字颜色 2 2 2 9 3" xfId="42829"/>
    <cellStyle name="强调文字颜色 2 2 2 9 3 2" xfId="42830"/>
    <cellStyle name="强调文字颜色 2 2 3" xfId="42831"/>
    <cellStyle name="强调文字颜色 2 2 3 2" xfId="42832"/>
    <cellStyle name="强调文字颜色 2 2 3 2 2" xfId="42833"/>
    <cellStyle name="强调文字颜色 2 2 3 2 2 2" xfId="42834"/>
    <cellStyle name="强调文字颜色 2 2 3 2 2 2 2" xfId="42835"/>
    <cellStyle name="强调文字颜色 2 2 3 2 2 2 3" xfId="42836"/>
    <cellStyle name="强调文字颜色 2 2 3 2 2 2 3 2" xfId="42837"/>
    <cellStyle name="强调文字颜色 2 2 3 2 2 2 3 2 2" xfId="42838"/>
    <cellStyle name="强调文字颜色 2 2 3 2 2 2 4" xfId="42839"/>
    <cellStyle name="强调文字颜色 2 2 3 2 2 2 4 2" xfId="42840"/>
    <cellStyle name="强调文字颜色 2 2 3 2 2 3" xfId="42841"/>
    <cellStyle name="强调文字颜色 2 2 3 2 2 3 2" xfId="42842"/>
    <cellStyle name="强调文字颜色 2 2 3 2 2 3 2 2" xfId="42843"/>
    <cellStyle name="强调文字颜色 2 2 3 2 2 3 2 2 2" xfId="42844"/>
    <cellStyle name="强调文字颜色 2 2 3 2 2 3 3" xfId="42845"/>
    <cellStyle name="强调文字颜色 2 2 3 2 2 3 3 2" xfId="42846"/>
    <cellStyle name="强调文字颜色 2 2 3 2 2 4" xfId="42847"/>
    <cellStyle name="强调文字颜色 2 2 3 2 2 5" xfId="42848"/>
    <cellStyle name="强调文字颜色 2 2 3 2 2 6" xfId="42849"/>
    <cellStyle name="强调文字颜色 2 2 3 2 3" xfId="42850"/>
    <cellStyle name="强调文字颜色 2 2 3 2 3 2" xfId="42851"/>
    <cellStyle name="强调文字颜色 2 2 3 2 3 3" xfId="42852"/>
    <cellStyle name="强调文字颜色 2 2 3 2 3 3 2" xfId="42853"/>
    <cellStyle name="强调文字颜色 2 2 3 2 3 3 2 2" xfId="42854"/>
    <cellStyle name="强调文字颜色 2 2 3 2 3 4" xfId="42855"/>
    <cellStyle name="强调文字颜色 2 2 3 2 3 4 2" xfId="42856"/>
    <cellStyle name="强调文字颜色 2 2 3 2 4" xfId="42857"/>
    <cellStyle name="强调文字颜色 2 2 3 2 4 2" xfId="42858"/>
    <cellStyle name="强调文字颜色 2 2 3 2 4 2 2" xfId="42859"/>
    <cellStyle name="强调文字颜色 2 2 3 2 4 2 2 2" xfId="42860"/>
    <cellStyle name="强调文字颜色 2 2 3 2 4 3" xfId="42861"/>
    <cellStyle name="强调文字颜色 2 2 3 2 4 3 2" xfId="42862"/>
    <cellStyle name="强调文字颜色 2 2 3 2 5" xfId="42863"/>
    <cellStyle name="强调文字颜色 2 2 3 2 6" xfId="42864"/>
    <cellStyle name="强调文字颜色 2 2 3 2 7" xfId="42865"/>
    <cellStyle name="强调文字颜色 2 2 3 3" xfId="42866"/>
    <cellStyle name="强调文字颜色 2 2 3 3 2" xfId="42867"/>
    <cellStyle name="强调文字颜色 2 2 3 3 2 2" xfId="42868"/>
    <cellStyle name="强调文字颜色 2 2 3 3 2 3" xfId="42869"/>
    <cellStyle name="强调文字颜色 2 2 3 3 2 3 2" xfId="42870"/>
    <cellStyle name="强调文字颜色 2 2 3 3 2 3 2 2" xfId="42871"/>
    <cellStyle name="强调文字颜色 2 2 3 3 2 4" xfId="42872"/>
    <cellStyle name="强调文字颜色 2 2 3 3 2 4 2" xfId="42873"/>
    <cellStyle name="强调文字颜色 2 2 3 3 3" xfId="42874"/>
    <cellStyle name="强调文字颜色 2 2 3 3 3 2" xfId="42875"/>
    <cellStyle name="强调文字颜色 2 2 3 3 3 2 2" xfId="42876"/>
    <cellStyle name="强调文字颜色 2 2 3 3 3 2 2 2" xfId="42877"/>
    <cellStyle name="强调文字颜色 2 2 3 3 3 3" xfId="42878"/>
    <cellStyle name="强调文字颜色 2 2 3 3 3 3 2" xfId="42879"/>
    <cellStyle name="强调文字颜色 2 2 3 3 4" xfId="42880"/>
    <cellStyle name="强调文字颜色 2 2 3 3 5" xfId="42881"/>
    <cellStyle name="强调文字颜色 2 2 3 3 6" xfId="42882"/>
    <cellStyle name="强调文字颜色 2 2 3 4" xfId="42883"/>
    <cellStyle name="强调文字颜色 2 2 3 4 2" xfId="42884"/>
    <cellStyle name="强调文字颜色 2 2 3 4 2 2" xfId="42885"/>
    <cellStyle name="强调文字颜色 2 2 3 4 2 3" xfId="42886"/>
    <cellStyle name="强调文字颜色 2 2 3 4 2 3 2" xfId="42887"/>
    <cellStyle name="强调文字颜色 2 2 3 4 2 3 2 2" xfId="42888"/>
    <cellStyle name="强调文字颜色 2 2 3 4 2 4" xfId="42889"/>
    <cellStyle name="强调文字颜色 2 2 3 4 2 4 2" xfId="42890"/>
    <cellStyle name="强调文字颜色 2 2 3 4 3" xfId="42891"/>
    <cellStyle name="强调文字颜色 2 2 3 4 4" xfId="42892"/>
    <cellStyle name="强调文字颜色 2 2 3 4 5" xfId="42893"/>
    <cellStyle name="强调文字颜色 2 2 3 4 6" xfId="42894"/>
    <cellStyle name="强调文字颜色 2 2 3 5" xfId="42895"/>
    <cellStyle name="强调文字颜色 2 2 3 5 2" xfId="42896"/>
    <cellStyle name="强调文字颜色 2 2 3 5 2 2" xfId="42897"/>
    <cellStyle name="强调文字颜色 2 2 3 5 2 2 2" xfId="42898"/>
    <cellStyle name="强调文字颜色 2 2 3 5 2 2 2 2" xfId="42899"/>
    <cellStyle name="强调文字颜色 2 2 3 5 2 3" xfId="42900"/>
    <cellStyle name="强调文字颜色 2 2 3 5 2 3 2" xfId="42901"/>
    <cellStyle name="强调文字颜色 2 2 3 5 3" xfId="42902"/>
    <cellStyle name="强调文字颜色 2 2 3 5 3 2" xfId="42903"/>
    <cellStyle name="强调文字颜色 2 2 3 5 3 2 2" xfId="42904"/>
    <cellStyle name="强调文字颜色 2 2 3 5 4" xfId="42905"/>
    <cellStyle name="强调文字颜色 2 2 3 5 4 2" xfId="42906"/>
    <cellStyle name="强调文字颜色 2 2 3 6" xfId="42907"/>
    <cellStyle name="强调文字颜色 2 2 3 6 2" xfId="42908"/>
    <cellStyle name="强调文字颜色 2 2 3 6 2 2" xfId="42909"/>
    <cellStyle name="强调文字颜色 2 2 3 6 2 2 2" xfId="42910"/>
    <cellStyle name="强调文字颜色 2 2 3 6 3" xfId="42911"/>
    <cellStyle name="强调文字颜色 2 2 3 6 3 2" xfId="42912"/>
    <cellStyle name="强调文字颜色 2 2 3 7" xfId="42913"/>
    <cellStyle name="强调文字颜色 2 2 3 7 2" xfId="42914"/>
    <cellStyle name="强调文字颜色 2 2 3 7 2 2" xfId="42915"/>
    <cellStyle name="强调文字颜色 2 2 3 7 2 2 2" xfId="42916"/>
    <cellStyle name="强调文字颜色 2 2 3 7 3" xfId="42917"/>
    <cellStyle name="强调文字颜色 2 2 3 7 3 2" xfId="42918"/>
    <cellStyle name="强调文字颜色 2 2 3 8" xfId="42919"/>
    <cellStyle name="强调文字颜色 2 2 3 9" xfId="42920"/>
    <cellStyle name="强调文字颜色 2 2 4" xfId="42921"/>
    <cellStyle name="强调文字颜色 2 2 4 2" xfId="42922"/>
    <cellStyle name="强调文字颜色 2 2 4 2 2" xfId="42923"/>
    <cellStyle name="强调文字颜色 2 2 4 2 3" xfId="42924"/>
    <cellStyle name="强调文字颜色 2 2 4 2 3 2" xfId="42925"/>
    <cellStyle name="强调文字颜色 2 2 4 2 3 2 2" xfId="42926"/>
    <cellStyle name="强调文字颜色 2 2 4 2 4" xfId="42927"/>
    <cellStyle name="强调文字颜色 2 2 4 2 4 2" xfId="42928"/>
    <cellStyle name="强调文字颜色 2 2 4 3" xfId="42929"/>
    <cellStyle name="强调文字颜色 2 2 4 3 2" xfId="42930"/>
    <cellStyle name="强调文字颜色 2 2 4 3 2 2" xfId="42931"/>
    <cellStyle name="强调文字颜色 2 2 4 3 2 2 2" xfId="42932"/>
    <cellStyle name="强调文字颜色 2 2 4 3 3" xfId="42933"/>
    <cellStyle name="强调文字颜色 2 2 4 3 3 2" xfId="42934"/>
    <cellStyle name="强调文字颜色 2 2 4 4" xfId="42935"/>
    <cellStyle name="强调文字颜色 2 2 4 5" xfId="42936"/>
    <cellStyle name="强调文字颜色 2 2 4 6" xfId="42937"/>
    <cellStyle name="强调文字颜色 2 2 5" xfId="42938"/>
    <cellStyle name="强调文字颜色 2 2 5 2" xfId="42939"/>
    <cellStyle name="强调文字颜色 2 2 5 2 2" xfId="42940"/>
    <cellStyle name="强调文字颜色 2 2 5 2 3" xfId="42941"/>
    <cellStyle name="强调文字颜色 2 2 5 2 3 2" xfId="42942"/>
    <cellStyle name="强调文字颜色 2 2 5 2 3 2 2" xfId="42943"/>
    <cellStyle name="强调文字颜色 2 2 5 2 4" xfId="42944"/>
    <cellStyle name="强调文字颜色 2 2 5 2 4 2" xfId="42945"/>
    <cellStyle name="强调文字颜色 2 2 5 3" xfId="42946"/>
    <cellStyle name="强调文字颜色 2 2 5 4" xfId="42947"/>
    <cellStyle name="强调文字颜色 2 2 5 5" xfId="42948"/>
    <cellStyle name="强调文字颜色 2 2 5 6" xfId="42949"/>
    <cellStyle name="强调文字颜色 2 2 6" xfId="42950"/>
    <cellStyle name="强调文字颜色 2 2 6 2" xfId="42951"/>
    <cellStyle name="强调文字颜色 2 2 6 2 2" xfId="42952"/>
    <cellStyle name="强调文字颜色 2 2 6 2 2 2" xfId="42953"/>
    <cellStyle name="强调文字颜色 2 2 6 2 2 2 2" xfId="42954"/>
    <cellStyle name="强调文字颜色 2 2 6 2 3" xfId="42955"/>
    <cellStyle name="强调文字颜色 2 2 6 2 3 2" xfId="42956"/>
    <cellStyle name="强调文字颜色 2 2 6 3" xfId="42957"/>
    <cellStyle name="强调文字颜色 2 2 6 3 2" xfId="42958"/>
    <cellStyle name="强调文字颜色 2 2 6 3 2 2" xfId="42959"/>
    <cellStyle name="强调文字颜色 2 2 6 4" xfId="42960"/>
    <cellStyle name="强调文字颜色 2 2 6 4 2" xfId="42961"/>
    <cellStyle name="强调文字颜色 2 2 7" xfId="42962"/>
    <cellStyle name="强调文字颜色 2 2 7 2" xfId="42963"/>
    <cellStyle name="强调文字颜色 2 2 7 2 2" xfId="42964"/>
    <cellStyle name="强调文字颜色 2 2 7 2 2 2" xfId="42965"/>
    <cellStyle name="强调文字颜色 2 2 7 2 2 2 2" xfId="42966"/>
    <cellStyle name="强调文字颜色 2 2 7 2 3" xfId="42967"/>
    <cellStyle name="强调文字颜色 2 2 7 2 3 2" xfId="42968"/>
    <cellStyle name="强调文字颜色 2 2 7 3" xfId="42969"/>
    <cellStyle name="强调文字颜色 2 2 7 3 2" xfId="42970"/>
    <cellStyle name="强调文字颜色 2 2 7 3 2 2" xfId="42971"/>
    <cellStyle name="强调文字颜色 2 2 7 4" xfId="42972"/>
    <cellStyle name="强调文字颜色 2 2 7 4 2" xfId="42973"/>
    <cellStyle name="强调文字颜色 2 2 8" xfId="42974"/>
    <cellStyle name="强调文字颜色 2 2 8 2" xfId="42975"/>
    <cellStyle name="强调文字颜色 2 2 8 2 2" xfId="42976"/>
    <cellStyle name="强调文字颜色 2 2 8 2 2 2" xfId="42977"/>
    <cellStyle name="强调文字颜色 2 2 8 2 2 2 2" xfId="42978"/>
    <cellStyle name="强调文字颜色 2 2 8 2 3" xfId="42979"/>
    <cellStyle name="强调文字颜色 2 2 8 2 3 2" xfId="42980"/>
    <cellStyle name="强调文字颜色 2 2 8 3" xfId="42981"/>
    <cellStyle name="强调文字颜色 2 2 8 3 2" xfId="42982"/>
    <cellStyle name="强调文字颜色 2 2 8 3 2 2" xfId="42983"/>
    <cellStyle name="强调文字颜色 2 2 8 4" xfId="42984"/>
    <cellStyle name="强调文字颜色 2 2 8 4 2" xfId="42985"/>
    <cellStyle name="强调文字颜色 2 2 9" xfId="42986"/>
    <cellStyle name="强调文字颜色 2 2 9 2" xfId="42987"/>
    <cellStyle name="强调文字颜色 2 2 9 2 2" xfId="42988"/>
    <cellStyle name="强调文字颜色 2 2 9 2 2 2" xfId="42989"/>
    <cellStyle name="强调文字颜色 2 2 9 3" xfId="42990"/>
    <cellStyle name="强调文字颜色 2 2 9 3 2" xfId="42991"/>
    <cellStyle name="强调文字颜色 2 3" xfId="42992"/>
    <cellStyle name="强调文字颜色 2 3 2" xfId="42993"/>
    <cellStyle name="强调文字颜色 2 3 2 2" xfId="42994"/>
    <cellStyle name="强调文字颜色 2 3 2 2 2" xfId="42995"/>
    <cellStyle name="强调文字颜色 2 3 2 2 2 2" xfId="42996"/>
    <cellStyle name="强调文字颜色 2 3 2 2 2 3" xfId="42997"/>
    <cellStyle name="强调文字颜色 2 3 2 2 2 3 2" xfId="42998"/>
    <cellStyle name="强调文字颜色 2 3 2 2 2 3 2 2" xfId="42999"/>
    <cellStyle name="强调文字颜色 2 3 2 2 2 4" xfId="43000"/>
    <cellStyle name="强调文字颜色 2 3 2 2 2 4 2" xfId="43001"/>
    <cellStyle name="强调文字颜色 2 3 2 2 3" xfId="43002"/>
    <cellStyle name="强调文字颜色 2 3 2 2 3 2" xfId="43003"/>
    <cellStyle name="强调文字颜色 2 3 2 2 3 2 2" xfId="43004"/>
    <cellStyle name="强调文字颜色 2 3 2 2 3 2 2 2" xfId="43005"/>
    <cellStyle name="强调文字颜色 2 3 2 2 3 3" xfId="43006"/>
    <cellStyle name="强调文字颜色 2 3 2 2 3 3 2" xfId="43007"/>
    <cellStyle name="强调文字颜色 2 3 2 2 4" xfId="43008"/>
    <cellStyle name="强调文字颜色 2 3 2 2 5" xfId="43009"/>
    <cellStyle name="强调文字颜色 2 3 2 2 6" xfId="43010"/>
    <cellStyle name="强调文字颜色 2 3 2 3" xfId="43011"/>
    <cellStyle name="强调文字颜色 2 3 2 3 2" xfId="43012"/>
    <cellStyle name="强调文字颜色 2 3 2 3 3" xfId="43013"/>
    <cellStyle name="强调文字颜色 2 3 2 3 3 2" xfId="43014"/>
    <cellStyle name="强调文字颜色 2 3 2 3 3 2 2" xfId="43015"/>
    <cellStyle name="强调文字颜色 2 3 2 3 4" xfId="43016"/>
    <cellStyle name="强调文字颜色 2 3 2 3 4 2" xfId="43017"/>
    <cellStyle name="强调文字颜色 2 3 2 4" xfId="43018"/>
    <cellStyle name="强调文字颜色 2 3 2 4 2" xfId="43019"/>
    <cellStyle name="强调文字颜色 2 3 2 4 2 2" xfId="43020"/>
    <cellStyle name="强调文字颜色 2 3 2 4 2 2 2" xfId="43021"/>
    <cellStyle name="强调文字颜色 2 3 2 4 3" xfId="43022"/>
    <cellStyle name="强调文字颜色 2 3 2 4 3 2" xfId="43023"/>
    <cellStyle name="强调文字颜色 2 3 2 5" xfId="43024"/>
    <cellStyle name="强调文字颜色 2 3 2 6" xfId="43025"/>
    <cellStyle name="强调文字颜色 2 3 2 7" xfId="43026"/>
    <cellStyle name="强调文字颜色 2 3 3" xfId="43027"/>
    <cellStyle name="强调文字颜色 2 3 3 2" xfId="43028"/>
    <cellStyle name="强调文字颜色 2 3 3 2 2" xfId="43029"/>
    <cellStyle name="强调文字颜色 2 3 3 2 3" xfId="43030"/>
    <cellStyle name="强调文字颜色 2 3 3 2 3 2" xfId="43031"/>
    <cellStyle name="强调文字颜色 2 3 3 2 3 2 2" xfId="43032"/>
    <cellStyle name="强调文字颜色 2 3 3 2 4" xfId="43033"/>
    <cellStyle name="强调文字颜色 2 3 3 2 4 2" xfId="43034"/>
    <cellStyle name="强调文字颜色 2 3 3 3" xfId="43035"/>
    <cellStyle name="强调文字颜色 2 3 3 3 2" xfId="43036"/>
    <cellStyle name="强调文字颜色 2 3 3 3 2 2" xfId="43037"/>
    <cellStyle name="强调文字颜色 2 3 3 3 2 2 2" xfId="43038"/>
    <cellStyle name="强调文字颜色 2 3 3 3 3" xfId="43039"/>
    <cellStyle name="强调文字颜色 2 3 3 3 3 2" xfId="43040"/>
    <cellStyle name="强调文字颜色 2 3 3 4" xfId="43041"/>
    <cellStyle name="强调文字颜色 2 3 3 5" xfId="43042"/>
    <cellStyle name="强调文字颜色 2 3 3 6" xfId="43043"/>
    <cellStyle name="强调文字颜色 2 3 4" xfId="43044"/>
    <cellStyle name="强调文字颜色 2 3 4 2" xfId="43045"/>
    <cellStyle name="强调文字颜色 2 3 4 2 2" xfId="43046"/>
    <cellStyle name="强调文字颜色 2 3 4 2 3" xfId="43047"/>
    <cellStyle name="强调文字颜色 2 3 4 2 3 2" xfId="43048"/>
    <cellStyle name="强调文字颜色 2 3 4 2 3 2 2" xfId="43049"/>
    <cellStyle name="强调文字颜色 2 3 4 2 4" xfId="43050"/>
    <cellStyle name="强调文字颜色 2 3 4 2 4 2" xfId="43051"/>
    <cellStyle name="强调文字颜色 2 3 4 3" xfId="43052"/>
    <cellStyle name="强调文字颜色 2 3 4 4" xfId="43053"/>
    <cellStyle name="强调文字颜色 2 3 4 5" xfId="43054"/>
    <cellStyle name="强调文字颜色 2 3 4 6" xfId="43055"/>
    <cellStyle name="强调文字颜色 2 3 5" xfId="43056"/>
    <cellStyle name="强调文字颜色 2 3 5 2" xfId="43057"/>
    <cellStyle name="强调文字颜色 2 3 5 2 2" xfId="43058"/>
    <cellStyle name="强调文字颜色 2 3 5 2 2 2" xfId="43059"/>
    <cellStyle name="强调文字颜色 2 3 5 2 2 2 2" xfId="43060"/>
    <cellStyle name="强调文字颜色 2 3 5 2 3" xfId="43061"/>
    <cellStyle name="强调文字颜色 2 3 5 2 3 2" xfId="43062"/>
    <cellStyle name="强调文字颜色 2 3 5 3" xfId="43063"/>
    <cellStyle name="强调文字颜色 2 3 5 3 2" xfId="43064"/>
    <cellStyle name="强调文字颜色 2 3 5 3 2 2" xfId="43065"/>
    <cellStyle name="强调文字颜色 2 3 5 4" xfId="43066"/>
    <cellStyle name="强调文字颜色 2 3 5 4 2" xfId="43067"/>
    <cellStyle name="强调文字颜色 2 3 6" xfId="43068"/>
    <cellStyle name="强调文字颜色 2 3 6 2" xfId="43069"/>
    <cellStyle name="强调文字颜色 2 3 6 2 2" xfId="43070"/>
    <cellStyle name="强调文字颜色 2 3 6 2 2 2" xfId="43071"/>
    <cellStyle name="强调文字颜色 2 3 6 3" xfId="43072"/>
    <cellStyle name="强调文字颜色 2 3 6 3 2" xfId="43073"/>
    <cellStyle name="强调文字颜色 2 3 7" xfId="43074"/>
    <cellStyle name="强调文字颜色 2 3 8" xfId="43075"/>
    <cellStyle name="强调文字颜色 3 2" xfId="43076"/>
    <cellStyle name="强调文字颜色 3 2 10" xfId="43077"/>
    <cellStyle name="强调文字颜色 3 2 11" xfId="43078"/>
    <cellStyle name="强调文字颜色 3 2 2" xfId="43079"/>
    <cellStyle name="强调文字颜色 3 2 2 10" xfId="43080"/>
    <cellStyle name="强调文字颜色 3 2 2 11" xfId="43081"/>
    <cellStyle name="强调文字颜色 3 2 2 2" xfId="43082"/>
    <cellStyle name="强调文字颜色 3 2 2 2 2" xfId="43083"/>
    <cellStyle name="强调文字颜色 3 2 2 2 2 2" xfId="43084"/>
    <cellStyle name="强调文字颜色 3 2 2 2 2 2 2" xfId="43085"/>
    <cellStyle name="强调文字颜色 3 2 2 2 2 2 3" xfId="43086"/>
    <cellStyle name="强调文字颜色 3 2 2 2 2 2 3 2" xfId="43087"/>
    <cellStyle name="强调文字颜色 3 2 2 2 2 2 3 2 2" xfId="43088"/>
    <cellStyle name="强调文字颜色 3 2 2 2 2 2 4" xfId="43089"/>
    <cellStyle name="强调文字颜色 3 2 2 2 2 2 4 2" xfId="43090"/>
    <cellStyle name="强调文字颜色 3 2 2 2 2 3" xfId="43091"/>
    <cellStyle name="强调文字颜色 3 2 2 2 2 3 2" xfId="43092"/>
    <cellStyle name="强调文字颜色 3 2 2 2 2 3 2 2" xfId="43093"/>
    <cellStyle name="强调文字颜色 3 2 2 2 2 3 2 2 2" xfId="43094"/>
    <cellStyle name="强调文字颜色 3 2 2 2 2 3 3" xfId="43095"/>
    <cellStyle name="强调文字颜色 3 2 2 2 2 3 3 2" xfId="43096"/>
    <cellStyle name="强调文字颜色 3 2 2 2 2 4" xfId="43097"/>
    <cellStyle name="强调文字颜色 3 2 2 2 2 5" xfId="43098"/>
    <cellStyle name="强调文字颜色 3 2 2 2 2 6" xfId="43099"/>
    <cellStyle name="强调文字颜色 3 2 2 2 3" xfId="43100"/>
    <cellStyle name="强调文字颜色 3 2 2 2 3 2" xfId="43101"/>
    <cellStyle name="强调文字颜色 3 2 2 2 3 3" xfId="43102"/>
    <cellStyle name="强调文字颜色 3 2 2 2 3 3 2" xfId="43103"/>
    <cellStyle name="强调文字颜色 3 2 2 2 3 3 2 2" xfId="43104"/>
    <cellStyle name="强调文字颜色 3 2 2 2 3 4" xfId="43105"/>
    <cellStyle name="强调文字颜色 3 2 2 2 3 4 2" xfId="43106"/>
    <cellStyle name="强调文字颜色 3 2 2 2 4" xfId="43107"/>
    <cellStyle name="强调文字颜色 3 2 2 2 4 2" xfId="43108"/>
    <cellStyle name="强调文字颜色 3 2 2 2 4 2 2" xfId="43109"/>
    <cellStyle name="强调文字颜色 3 2 2 2 4 2 2 2" xfId="43110"/>
    <cellStyle name="强调文字颜色 3 2 2 2 4 3" xfId="43111"/>
    <cellStyle name="强调文字颜色 3 2 2 2 4 3 2" xfId="43112"/>
    <cellStyle name="强调文字颜色 3 2 2 2 5" xfId="43113"/>
    <cellStyle name="强调文字颜色 3 2 2 2 6" xfId="43114"/>
    <cellStyle name="强调文字颜色 3 2 2 2 7" xfId="43115"/>
    <cellStyle name="强调文字颜色 3 2 2 3" xfId="43116"/>
    <cellStyle name="强调文字颜色 3 2 2 3 2" xfId="43117"/>
    <cellStyle name="强调文字颜色 3 2 2 3 2 2" xfId="43118"/>
    <cellStyle name="强调文字颜色 3 2 2 3 2 3" xfId="43119"/>
    <cellStyle name="强调文字颜色 3 2 2 3 2 3 2" xfId="43120"/>
    <cellStyle name="强调文字颜色 3 2 2 3 2 3 2 2" xfId="43121"/>
    <cellStyle name="强调文字颜色 3 2 2 3 2 4" xfId="43122"/>
    <cellStyle name="强调文字颜色 3 2 2 3 2 4 2" xfId="43123"/>
    <cellStyle name="强调文字颜色 3 2 2 3 3" xfId="43124"/>
    <cellStyle name="强调文字颜色 3 2 2 3 3 2" xfId="43125"/>
    <cellStyle name="强调文字颜色 3 2 2 3 3 2 2" xfId="43126"/>
    <cellStyle name="强调文字颜色 3 2 2 3 3 2 2 2" xfId="43127"/>
    <cellStyle name="强调文字颜色 3 2 2 3 3 3" xfId="43128"/>
    <cellStyle name="强调文字颜色 3 2 2 3 3 3 2" xfId="43129"/>
    <cellStyle name="强调文字颜色 3 2 2 3 4" xfId="43130"/>
    <cellStyle name="强调文字颜色 3 2 2 3 5" xfId="43131"/>
    <cellStyle name="强调文字颜色 3 2 2 3 6" xfId="43132"/>
    <cellStyle name="强调文字颜色 3 2 2 4" xfId="43133"/>
    <cellStyle name="强调文字颜色 3 2 2 4 2" xfId="43134"/>
    <cellStyle name="强调文字颜色 3 2 2 4 2 2" xfId="43135"/>
    <cellStyle name="强调文字颜色 3 2 2 4 2 3" xfId="43136"/>
    <cellStyle name="强调文字颜色 3 2 2 4 2 3 2" xfId="43137"/>
    <cellStyle name="强调文字颜色 3 2 2 4 2 3 2 2" xfId="43138"/>
    <cellStyle name="强调文字颜色 3 2 2 4 2 4" xfId="43139"/>
    <cellStyle name="强调文字颜色 3 2 2 4 2 4 2" xfId="43140"/>
    <cellStyle name="强调文字颜色 3 2 2 4 3" xfId="43141"/>
    <cellStyle name="强调文字颜色 3 2 2 4 4" xfId="43142"/>
    <cellStyle name="强调文字颜色 3 2 2 4 5" xfId="43143"/>
    <cellStyle name="强调文字颜色 3 2 2 4 6" xfId="43144"/>
    <cellStyle name="强调文字颜色 3 2 2 5" xfId="43145"/>
    <cellStyle name="强调文字颜色 3 2 2 5 2" xfId="43146"/>
    <cellStyle name="强调文字颜色 3 2 2 5 2 2" xfId="43147"/>
    <cellStyle name="强调文字颜色 3 2 2 5 2 2 2" xfId="43148"/>
    <cellStyle name="强调文字颜色 3 2 2 5 2 2 2 2" xfId="43149"/>
    <cellStyle name="强调文字颜色 3 2 2 5 2 3" xfId="43150"/>
    <cellStyle name="强调文字颜色 3 2 2 5 2 3 2" xfId="43151"/>
    <cellStyle name="强调文字颜色 3 2 2 5 3" xfId="43152"/>
    <cellStyle name="强调文字颜色 3 2 2 5 3 2" xfId="43153"/>
    <cellStyle name="强调文字颜色 3 2 2 5 3 2 2" xfId="43154"/>
    <cellStyle name="强调文字颜色 3 2 2 5 4" xfId="43155"/>
    <cellStyle name="强调文字颜色 3 2 2 5 4 2" xfId="43156"/>
    <cellStyle name="强调文字颜色 3 2 2 6" xfId="43157"/>
    <cellStyle name="强调文字颜色 3 2 2 6 2" xfId="43158"/>
    <cellStyle name="强调文字颜色 3 2 2 6 2 2" xfId="43159"/>
    <cellStyle name="强调文字颜色 3 2 2 6 2 2 2" xfId="43160"/>
    <cellStyle name="强调文字颜色 3 2 2 6 2 2 2 2" xfId="43161"/>
    <cellStyle name="强调文字颜色 3 2 2 6 2 3" xfId="43162"/>
    <cellStyle name="强调文字颜色 3 2 2 6 2 3 2" xfId="43163"/>
    <cellStyle name="强调文字颜色 3 2 2 6 3" xfId="43164"/>
    <cellStyle name="强调文字颜色 3 2 2 6 3 2" xfId="43165"/>
    <cellStyle name="强调文字颜色 3 2 2 6 3 2 2" xfId="43166"/>
    <cellStyle name="强调文字颜色 3 2 2 6 4" xfId="43167"/>
    <cellStyle name="强调文字颜色 3 2 2 6 4 2" xfId="43168"/>
    <cellStyle name="强调文字颜色 3 2 2 7" xfId="43169"/>
    <cellStyle name="强调文字颜色 3 2 2 7 2" xfId="43170"/>
    <cellStyle name="强调文字颜色 3 2 2 7 2 2" xfId="43171"/>
    <cellStyle name="强调文字颜色 3 2 2 7 2 2 2" xfId="43172"/>
    <cellStyle name="强调文字颜色 3 2 2 7 2 2 2 2" xfId="43173"/>
    <cellStyle name="强调文字颜色 3 2 2 7 2 3" xfId="43174"/>
    <cellStyle name="强调文字颜色 3 2 2 7 2 3 2" xfId="43175"/>
    <cellStyle name="强调文字颜色 3 2 2 7 3" xfId="43176"/>
    <cellStyle name="强调文字颜色 3 2 2 7 3 2" xfId="43177"/>
    <cellStyle name="强调文字颜色 3 2 2 7 3 2 2" xfId="43178"/>
    <cellStyle name="强调文字颜色 3 2 2 7 4" xfId="43179"/>
    <cellStyle name="强调文字颜色 3 2 2 7 4 2" xfId="43180"/>
    <cellStyle name="强调文字颜色 3 2 2 8" xfId="43181"/>
    <cellStyle name="强调文字颜色 3 2 2 8 2" xfId="43182"/>
    <cellStyle name="强调文字颜色 3 2 2 8 2 2" xfId="43183"/>
    <cellStyle name="强调文字颜色 3 2 2 8 2 2 2" xfId="43184"/>
    <cellStyle name="强调文字颜色 3 2 2 8 3" xfId="43185"/>
    <cellStyle name="强调文字颜色 3 2 2 8 3 2" xfId="43186"/>
    <cellStyle name="强调文字颜色 3 2 2 9" xfId="43187"/>
    <cellStyle name="强调文字颜色 3 2 2 9 2" xfId="43188"/>
    <cellStyle name="强调文字颜色 3 2 2 9 2 2" xfId="43189"/>
    <cellStyle name="强调文字颜色 3 2 2 9 2 2 2" xfId="43190"/>
    <cellStyle name="强调文字颜色 3 2 2 9 3" xfId="43191"/>
    <cellStyle name="强调文字颜色 3 2 2 9 3 2" xfId="43192"/>
    <cellStyle name="强调文字颜色 3 2 3" xfId="43193"/>
    <cellStyle name="强调文字颜色 3 2 3 2" xfId="43194"/>
    <cellStyle name="强调文字颜色 3 2 3 2 2" xfId="43195"/>
    <cellStyle name="强调文字颜色 3 2 3 2 2 2" xfId="43196"/>
    <cellStyle name="强调文字颜色 3 2 3 2 2 2 2" xfId="43197"/>
    <cellStyle name="强调文字颜色 3 2 3 2 2 2 3" xfId="43198"/>
    <cellStyle name="强调文字颜色 3 2 3 2 2 2 3 2" xfId="43199"/>
    <cellStyle name="强调文字颜色 3 2 3 2 2 2 3 2 2" xfId="43200"/>
    <cellStyle name="强调文字颜色 3 2 3 2 2 2 4" xfId="43201"/>
    <cellStyle name="强调文字颜色 3 2 3 2 2 2 4 2" xfId="43202"/>
    <cellStyle name="强调文字颜色 3 2 3 2 2 3" xfId="43203"/>
    <cellStyle name="强调文字颜色 3 2 3 2 2 3 2" xfId="43204"/>
    <cellStyle name="强调文字颜色 3 2 3 2 2 3 2 2" xfId="43205"/>
    <cellStyle name="强调文字颜色 3 2 3 2 2 3 2 2 2" xfId="43206"/>
    <cellStyle name="强调文字颜色 3 2 3 2 2 3 3" xfId="43207"/>
    <cellStyle name="强调文字颜色 3 2 3 2 2 3 3 2" xfId="43208"/>
    <cellStyle name="强调文字颜色 3 2 3 2 2 4" xfId="43209"/>
    <cellStyle name="强调文字颜色 3 2 3 2 2 5" xfId="43210"/>
    <cellStyle name="强调文字颜色 3 2 3 2 2 6" xfId="43211"/>
    <cellStyle name="强调文字颜色 3 2 3 2 3" xfId="43212"/>
    <cellStyle name="强调文字颜色 3 2 3 2 3 2" xfId="43213"/>
    <cellStyle name="强调文字颜色 3 2 3 2 3 3" xfId="43214"/>
    <cellStyle name="强调文字颜色 3 2 3 2 3 3 2" xfId="43215"/>
    <cellStyle name="强调文字颜色 3 2 3 2 3 3 2 2" xfId="43216"/>
    <cellStyle name="强调文字颜色 3 2 3 2 3 4" xfId="43217"/>
    <cellStyle name="强调文字颜色 3 2 3 2 3 4 2" xfId="43218"/>
    <cellStyle name="强调文字颜色 3 2 3 2 4" xfId="43219"/>
    <cellStyle name="强调文字颜色 3 2 3 2 4 2" xfId="43220"/>
    <cellStyle name="强调文字颜色 3 2 3 2 4 2 2" xfId="43221"/>
    <cellStyle name="强调文字颜色 3 2 3 2 4 2 2 2" xfId="43222"/>
    <cellStyle name="强调文字颜色 3 2 3 2 4 3" xfId="43223"/>
    <cellStyle name="强调文字颜色 3 2 3 2 4 3 2" xfId="43224"/>
    <cellStyle name="强调文字颜色 3 2 3 2 5" xfId="43225"/>
    <cellStyle name="强调文字颜色 3 2 3 2 6" xfId="43226"/>
    <cellStyle name="强调文字颜色 3 2 3 2 7" xfId="43227"/>
    <cellStyle name="强调文字颜色 3 2 3 3" xfId="43228"/>
    <cellStyle name="强调文字颜色 3 2 3 3 2" xfId="43229"/>
    <cellStyle name="强调文字颜色 3 2 3 3 2 2" xfId="43230"/>
    <cellStyle name="强调文字颜色 3 2 3 3 2 3" xfId="43231"/>
    <cellStyle name="强调文字颜色 3 2 3 3 2 3 2" xfId="43232"/>
    <cellStyle name="强调文字颜色 3 2 3 3 2 3 2 2" xfId="43233"/>
    <cellStyle name="强调文字颜色 3 2 3 3 2 4" xfId="43234"/>
    <cellStyle name="强调文字颜色 3 2 3 3 2 4 2" xfId="43235"/>
    <cellStyle name="强调文字颜色 3 2 3 3 3" xfId="43236"/>
    <cellStyle name="强调文字颜色 3 2 3 3 3 2" xfId="43237"/>
    <cellStyle name="强调文字颜色 3 2 3 3 3 2 2" xfId="43238"/>
    <cellStyle name="强调文字颜色 3 2 3 3 3 2 2 2" xfId="43239"/>
    <cellStyle name="强调文字颜色 3 2 3 3 3 3" xfId="43240"/>
    <cellStyle name="强调文字颜色 3 2 3 3 3 3 2" xfId="43241"/>
    <cellStyle name="强调文字颜色 3 2 3 3 4" xfId="43242"/>
    <cellStyle name="强调文字颜色 3 2 3 3 5" xfId="43243"/>
    <cellStyle name="强调文字颜色 3 2 3 3 6" xfId="43244"/>
    <cellStyle name="强调文字颜色 3 2 3 4" xfId="43245"/>
    <cellStyle name="强调文字颜色 3 2 3 4 2" xfId="43246"/>
    <cellStyle name="强调文字颜色 3 2 3 4 2 2" xfId="43247"/>
    <cellStyle name="强调文字颜色 3 2 3 4 2 3" xfId="43248"/>
    <cellStyle name="强调文字颜色 3 2 3 4 2 3 2" xfId="43249"/>
    <cellStyle name="强调文字颜色 3 2 3 4 2 3 2 2" xfId="43250"/>
    <cellStyle name="强调文字颜色 3 2 3 4 2 4" xfId="43251"/>
    <cellStyle name="强调文字颜色 3 2 3 4 2 4 2" xfId="43252"/>
    <cellStyle name="强调文字颜色 3 2 3 4 3" xfId="43253"/>
    <cellStyle name="强调文字颜色 3 2 3 4 4" xfId="43254"/>
    <cellStyle name="强调文字颜色 3 2 3 4 5" xfId="43255"/>
    <cellStyle name="强调文字颜色 3 2 3 4 6" xfId="43256"/>
    <cellStyle name="强调文字颜色 3 2 3 5" xfId="43257"/>
    <cellStyle name="强调文字颜色 3 2 3 5 2" xfId="43258"/>
    <cellStyle name="强调文字颜色 3 2 3 5 2 2" xfId="43259"/>
    <cellStyle name="强调文字颜色 3 2 3 5 2 2 2" xfId="43260"/>
    <cellStyle name="强调文字颜色 3 2 3 5 2 2 2 2" xfId="43261"/>
    <cellStyle name="强调文字颜色 3 2 3 5 2 3" xfId="43262"/>
    <cellStyle name="强调文字颜色 3 2 3 5 2 3 2" xfId="43263"/>
    <cellStyle name="强调文字颜色 3 2 3 5 3" xfId="43264"/>
    <cellStyle name="强调文字颜色 3 2 3 5 3 2" xfId="43265"/>
    <cellStyle name="强调文字颜色 3 2 3 5 3 2 2" xfId="43266"/>
    <cellStyle name="强调文字颜色 3 2 3 5 4" xfId="43267"/>
    <cellStyle name="强调文字颜色 3 2 3 5 4 2" xfId="43268"/>
    <cellStyle name="强调文字颜色 3 2 3 6" xfId="43269"/>
    <cellStyle name="强调文字颜色 3 2 3 6 2" xfId="43270"/>
    <cellStyle name="强调文字颜色 3 2 3 6 2 2" xfId="43271"/>
    <cellStyle name="强调文字颜色 3 2 3 6 2 2 2" xfId="43272"/>
    <cellStyle name="强调文字颜色 3 2 3 6 3" xfId="43273"/>
    <cellStyle name="强调文字颜色 3 2 3 6 3 2" xfId="43274"/>
    <cellStyle name="强调文字颜色 3 2 3 7" xfId="43275"/>
    <cellStyle name="强调文字颜色 3 2 3 7 2" xfId="43276"/>
    <cellStyle name="强调文字颜色 3 2 3 7 2 2" xfId="43277"/>
    <cellStyle name="强调文字颜色 3 2 3 7 2 2 2" xfId="43278"/>
    <cellStyle name="强调文字颜色 3 2 3 7 3" xfId="43279"/>
    <cellStyle name="强调文字颜色 3 2 3 7 3 2" xfId="43280"/>
    <cellStyle name="强调文字颜色 3 2 3 8" xfId="43281"/>
    <cellStyle name="强调文字颜色 3 2 3 9" xfId="43282"/>
    <cellStyle name="强调文字颜色 3 2 4" xfId="43283"/>
    <cellStyle name="强调文字颜色 3 2 4 2" xfId="43284"/>
    <cellStyle name="强调文字颜色 3 2 4 2 2" xfId="43285"/>
    <cellStyle name="强调文字颜色 3 2 4 2 3" xfId="43286"/>
    <cellStyle name="强调文字颜色 3 2 4 2 3 2" xfId="43287"/>
    <cellStyle name="强调文字颜色 3 2 4 2 3 2 2" xfId="43288"/>
    <cellStyle name="强调文字颜色 3 2 4 2 4" xfId="43289"/>
    <cellStyle name="强调文字颜色 3 2 4 2 4 2" xfId="43290"/>
    <cellStyle name="强调文字颜色 3 2 4 3" xfId="43291"/>
    <cellStyle name="强调文字颜色 3 2 4 3 2" xfId="43292"/>
    <cellStyle name="强调文字颜色 3 2 4 3 2 2" xfId="43293"/>
    <cellStyle name="强调文字颜色 3 2 4 3 2 2 2" xfId="43294"/>
    <cellStyle name="强调文字颜色 3 2 4 3 3" xfId="43295"/>
    <cellStyle name="强调文字颜色 3 2 4 3 3 2" xfId="43296"/>
    <cellStyle name="强调文字颜色 3 2 4 4" xfId="43297"/>
    <cellStyle name="强调文字颜色 3 2 4 5" xfId="43298"/>
    <cellStyle name="强调文字颜色 3 2 4 6" xfId="43299"/>
    <cellStyle name="强调文字颜色 3 2 5" xfId="43300"/>
    <cellStyle name="强调文字颜色 3 2 5 2" xfId="43301"/>
    <cellStyle name="强调文字颜色 3 2 5 2 2" xfId="43302"/>
    <cellStyle name="强调文字颜色 3 2 5 2 3" xfId="43303"/>
    <cellStyle name="强调文字颜色 3 2 5 2 3 2" xfId="43304"/>
    <cellStyle name="强调文字颜色 3 2 5 2 3 2 2" xfId="43305"/>
    <cellStyle name="强调文字颜色 3 2 5 2 4" xfId="43306"/>
    <cellStyle name="强调文字颜色 3 2 5 2 4 2" xfId="43307"/>
    <cellStyle name="强调文字颜色 3 2 5 3" xfId="43308"/>
    <cellStyle name="强调文字颜色 3 2 5 4" xfId="43309"/>
    <cellStyle name="强调文字颜色 3 2 5 5" xfId="43310"/>
    <cellStyle name="强调文字颜色 3 2 5 6" xfId="43311"/>
    <cellStyle name="强调文字颜色 3 2 6" xfId="43312"/>
    <cellStyle name="强调文字颜色 3 2 6 2" xfId="43313"/>
    <cellStyle name="强调文字颜色 3 2 6 2 2" xfId="43314"/>
    <cellStyle name="强调文字颜色 3 2 6 2 2 2" xfId="43315"/>
    <cellStyle name="强调文字颜色 3 2 6 2 2 2 2" xfId="43316"/>
    <cellStyle name="强调文字颜色 3 2 6 2 3" xfId="43317"/>
    <cellStyle name="强调文字颜色 3 2 6 2 3 2" xfId="43318"/>
    <cellStyle name="强调文字颜色 3 2 6 3" xfId="43319"/>
    <cellStyle name="强调文字颜色 3 2 6 3 2" xfId="43320"/>
    <cellStyle name="强调文字颜色 3 2 6 3 2 2" xfId="43321"/>
    <cellStyle name="强调文字颜色 3 2 6 4" xfId="43322"/>
    <cellStyle name="强调文字颜色 3 2 6 4 2" xfId="43323"/>
    <cellStyle name="强调文字颜色 3 2 7" xfId="43324"/>
    <cellStyle name="强调文字颜色 3 2 7 2" xfId="43325"/>
    <cellStyle name="强调文字颜色 3 2 7 2 2" xfId="43326"/>
    <cellStyle name="强调文字颜色 3 2 7 2 2 2" xfId="43327"/>
    <cellStyle name="强调文字颜色 3 2 7 2 2 2 2" xfId="43328"/>
    <cellStyle name="强调文字颜色 3 2 7 2 3" xfId="43329"/>
    <cellStyle name="强调文字颜色 3 2 7 2 3 2" xfId="43330"/>
    <cellStyle name="强调文字颜色 3 2 7 3" xfId="43331"/>
    <cellStyle name="强调文字颜色 3 2 7 3 2" xfId="43332"/>
    <cellStyle name="强调文字颜色 3 2 7 3 2 2" xfId="43333"/>
    <cellStyle name="强调文字颜色 3 2 7 4" xfId="43334"/>
    <cellStyle name="强调文字颜色 3 2 7 4 2" xfId="43335"/>
    <cellStyle name="强调文字颜色 3 2 8" xfId="43336"/>
    <cellStyle name="强调文字颜色 3 2 8 2" xfId="43337"/>
    <cellStyle name="强调文字颜色 3 2 8 2 2" xfId="43338"/>
    <cellStyle name="强调文字颜色 3 2 8 2 2 2" xfId="43339"/>
    <cellStyle name="强调文字颜色 3 2 8 2 2 2 2" xfId="43340"/>
    <cellStyle name="强调文字颜色 3 2 8 2 3" xfId="43341"/>
    <cellStyle name="强调文字颜色 3 2 8 2 3 2" xfId="43342"/>
    <cellStyle name="强调文字颜色 3 2 8 3" xfId="43343"/>
    <cellStyle name="强调文字颜色 3 2 8 3 2" xfId="43344"/>
    <cellStyle name="强调文字颜色 3 2 8 3 2 2" xfId="43345"/>
    <cellStyle name="强调文字颜色 3 2 8 4" xfId="43346"/>
    <cellStyle name="强调文字颜色 3 2 8 4 2" xfId="43347"/>
    <cellStyle name="强调文字颜色 3 2 9" xfId="43348"/>
    <cellStyle name="强调文字颜色 3 2 9 2" xfId="43349"/>
    <cellStyle name="强调文字颜色 3 2 9 2 2" xfId="43350"/>
    <cellStyle name="强调文字颜色 3 2 9 2 2 2" xfId="43351"/>
    <cellStyle name="强调文字颜色 3 2 9 3" xfId="43352"/>
    <cellStyle name="强调文字颜色 3 2 9 3 2" xfId="43353"/>
    <cellStyle name="强调文字颜色 3 3" xfId="43354"/>
    <cellStyle name="强调文字颜色 3 3 2" xfId="43355"/>
    <cellStyle name="强调文字颜色 3 3 2 2" xfId="43356"/>
    <cellStyle name="强调文字颜色 3 3 2 2 2" xfId="43357"/>
    <cellStyle name="强调文字颜色 3 3 2 2 2 2" xfId="43358"/>
    <cellStyle name="强调文字颜色 3 3 2 2 2 3" xfId="43359"/>
    <cellStyle name="强调文字颜色 3 3 2 2 2 3 2" xfId="43360"/>
    <cellStyle name="强调文字颜色 3 3 2 2 2 3 2 2" xfId="43361"/>
    <cellStyle name="强调文字颜色 3 3 2 2 2 4" xfId="43362"/>
    <cellStyle name="强调文字颜色 3 3 2 2 2 4 2" xfId="43363"/>
    <cellStyle name="强调文字颜色 3 3 2 2 3" xfId="43364"/>
    <cellStyle name="强调文字颜色 3 3 2 2 3 2" xfId="43365"/>
    <cellStyle name="强调文字颜色 3 3 2 2 3 2 2" xfId="43366"/>
    <cellStyle name="强调文字颜色 3 3 2 2 3 2 2 2" xfId="43367"/>
    <cellStyle name="强调文字颜色 3 3 2 2 3 3" xfId="43368"/>
    <cellStyle name="强调文字颜色 3 3 2 2 3 3 2" xfId="43369"/>
    <cellStyle name="强调文字颜色 3 3 2 2 4" xfId="43370"/>
    <cellStyle name="强调文字颜色 3 3 2 2 5" xfId="43371"/>
    <cellStyle name="强调文字颜色 3 3 2 2 6" xfId="43372"/>
    <cellStyle name="强调文字颜色 3 3 2 3" xfId="43373"/>
    <cellStyle name="强调文字颜色 3 3 2 3 2" xfId="43374"/>
    <cellStyle name="强调文字颜色 3 3 2 3 3" xfId="43375"/>
    <cellStyle name="强调文字颜色 3 3 2 3 3 2" xfId="43376"/>
    <cellStyle name="强调文字颜色 3 3 2 3 3 2 2" xfId="43377"/>
    <cellStyle name="强调文字颜色 3 3 2 3 4" xfId="43378"/>
    <cellStyle name="强调文字颜色 3 3 2 3 4 2" xfId="43379"/>
    <cellStyle name="强调文字颜色 3 3 2 4" xfId="43380"/>
    <cellStyle name="强调文字颜色 3 3 2 4 2" xfId="43381"/>
    <cellStyle name="强调文字颜色 3 3 2 4 2 2" xfId="43382"/>
    <cellStyle name="强调文字颜色 3 3 2 4 2 2 2" xfId="43383"/>
    <cellStyle name="强调文字颜色 3 3 2 4 3" xfId="43384"/>
    <cellStyle name="强调文字颜色 3 3 2 4 3 2" xfId="43385"/>
    <cellStyle name="强调文字颜色 3 3 2 5" xfId="43386"/>
    <cellStyle name="强调文字颜色 3 3 2 6" xfId="43387"/>
    <cellStyle name="强调文字颜色 3 3 2 7" xfId="43388"/>
    <cellStyle name="强调文字颜色 3 3 3" xfId="43389"/>
    <cellStyle name="强调文字颜色 3 3 3 2" xfId="43390"/>
    <cellStyle name="强调文字颜色 3 3 3 2 2" xfId="43391"/>
    <cellStyle name="强调文字颜色 3 3 3 2 3" xfId="43392"/>
    <cellStyle name="强调文字颜色 3 3 3 2 3 2" xfId="43393"/>
    <cellStyle name="强调文字颜色 3 3 3 2 3 2 2" xfId="43394"/>
    <cellStyle name="强调文字颜色 3 3 3 2 4" xfId="43395"/>
    <cellStyle name="强调文字颜色 3 3 3 2 4 2" xfId="43396"/>
    <cellStyle name="强调文字颜色 3 3 3 3" xfId="43397"/>
    <cellStyle name="强调文字颜色 3 3 3 3 2" xfId="43398"/>
    <cellStyle name="强调文字颜色 3 3 3 3 2 2" xfId="43399"/>
    <cellStyle name="强调文字颜色 3 3 3 3 2 2 2" xfId="43400"/>
    <cellStyle name="强调文字颜色 3 3 3 3 3" xfId="43401"/>
    <cellStyle name="强调文字颜色 3 3 3 3 3 2" xfId="43402"/>
    <cellStyle name="强调文字颜色 3 3 3 4" xfId="43403"/>
    <cellStyle name="强调文字颜色 3 3 3 5" xfId="43404"/>
    <cellStyle name="强调文字颜色 3 3 3 6" xfId="43405"/>
    <cellStyle name="强调文字颜色 3 3 4" xfId="43406"/>
    <cellStyle name="强调文字颜色 3 3 4 2" xfId="43407"/>
    <cellStyle name="强调文字颜色 3 3 4 2 2" xfId="43408"/>
    <cellStyle name="强调文字颜色 3 3 4 2 3" xfId="43409"/>
    <cellStyle name="强调文字颜色 3 3 4 2 3 2" xfId="43410"/>
    <cellStyle name="强调文字颜色 3 3 4 2 3 2 2" xfId="43411"/>
    <cellStyle name="强调文字颜色 3 3 4 2 4" xfId="43412"/>
    <cellStyle name="强调文字颜色 3 3 4 2 4 2" xfId="43413"/>
    <cellStyle name="强调文字颜色 3 3 4 3" xfId="43414"/>
    <cellStyle name="强调文字颜色 3 3 4 4" xfId="43415"/>
    <cellStyle name="强调文字颜色 3 3 4 5" xfId="43416"/>
    <cellStyle name="强调文字颜色 3 3 4 6" xfId="43417"/>
    <cellStyle name="强调文字颜色 3 3 5" xfId="43418"/>
    <cellStyle name="强调文字颜色 3 3 5 2" xfId="43419"/>
    <cellStyle name="强调文字颜色 3 3 5 2 2" xfId="43420"/>
    <cellStyle name="强调文字颜色 3 3 5 2 2 2" xfId="43421"/>
    <cellStyle name="强调文字颜色 3 3 5 2 2 2 2" xfId="43422"/>
    <cellStyle name="强调文字颜色 3 3 5 2 3" xfId="43423"/>
    <cellStyle name="强调文字颜色 3 3 5 2 3 2" xfId="43424"/>
    <cellStyle name="强调文字颜色 3 3 5 3" xfId="43425"/>
    <cellStyle name="强调文字颜色 3 3 5 3 2" xfId="43426"/>
    <cellStyle name="强调文字颜色 3 3 5 3 2 2" xfId="43427"/>
    <cellStyle name="强调文字颜色 3 3 5 4" xfId="43428"/>
    <cellStyle name="强调文字颜色 3 3 5 4 2" xfId="43429"/>
    <cellStyle name="强调文字颜色 3 3 6" xfId="43430"/>
    <cellStyle name="强调文字颜色 3 3 6 2" xfId="43431"/>
    <cellStyle name="强调文字颜色 3 3 6 2 2" xfId="43432"/>
    <cellStyle name="强调文字颜色 3 3 6 2 2 2" xfId="43433"/>
    <cellStyle name="强调文字颜色 3 3 6 3" xfId="43434"/>
    <cellStyle name="强调文字颜色 3 3 6 3 2" xfId="43435"/>
    <cellStyle name="强调文字颜色 3 3 7" xfId="43436"/>
    <cellStyle name="强调文字颜色 3 3 8" xfId="43437"/>
    <cellStyle name="强调文字颜色 4 2" xfId="43438"/>
    <cellStyle name="强调文字颜色 4 2 10" xfId="43439"/>
    <cellStyle name="强调文字颜色 4 2 11" xfId="43440"/>
    <cellStyle name="强调文字颜色 4 2 2" xfId="43441"/>
    <cellStyle name="强调文字颜色 4 2 2 10" xfId="43442"/>
    <cellStyle name="强调文字颜色 4 2 2 11" xfId="43443"/>
    <cellStyle name="强调文字颜色 4 2 2 2" xfId="43444"/>
    <cellStyle name="强调文字颜色 4 2 2 2 2" xfId="43445"/>
    <cellStyle name="强调文字颜色 4 2 2 2 2 2" xfId="43446"/>
    <cellStyle name="强调文字颜色 4 2 2 2 2 2 2" xfId="43447"/>
    <cellStyle name="强调文字颜色 4 2 2 2 2 2 3" xfId="43448"/>
    <cellStyle name="强调文字颜色 4 2 2 2 2 2 3 2" xfId="43449"/>
    <cellStyle name="强调文字颜色 4 2 2 2 2 2 3 2 2" xfId="43450"/>
    <cellStyle name="强调文字颜色 4 2 2 2 2 2 4" xfId="43451"/>
    <cellStyle name="强调文字颜色 4 2 2 2 2 2 4 2" xfId="43452"/>
    <cellStyle name="强调文字颜色 4 2 2 2 2 3" xfId="43453"/>
    <cellStyle name="强调文字颜色 4 2 2 2 2 3 2" xfId="43454"/>
    <cellStyle name="强调文字颜色 4 2 2 2 2 3 2 2" xfId="43455"/>
    <cellStyle name="强调文字颜色 4 2 2 2 2 3 2 2 2" xfId="43456"/>
    <cellStyle name="强调文字颜色 4 2 2 2 2 3 3" xfId="43457"/>
    <cellStyle name="强调文字颜色 4 2 2 2 2 3 3 2" xfId="43458"/>
    <cellStyle name="强调文字颜色 4 2 2 2 2 4" xfId="43459"/>
    <cellStyle name="强调文字颜色 4 2 2 2 2 5" xfId="43460"/>
    <cellStyle name="强调文字颜色 4 2 2 2 2 6" xfId="43461"/>
    <cellStyle name="强调文字颜色 4 2 2 2 3" xfId="43462"/>
    <cellStyle name="强调文字颜色 4 2 2 2 3 2" xfId="43463"/>
    <cellStyle name="强调文字颜色 4 2 2 2 3 3" xfId="43464"/>
    <cellStyle name="强调文字颜色 4 2 2 2 3 3 2" xfId="43465"/>
    <cellStyle name="强调文字颜色 4 2 2 2 3 3 2 2" xfId="43466"/>
    <cellStyle name="强调文字颜色 4 2 2 2 3 4" xfId="43467"/>
    <cellStyle name="强调文字颜色 4 2 2 2 3 4 2" xfId="43468"/>
    <cellStyle name="强调文字颜色 4 2 2 2 4" xfId="43469"/>
    <cellStyle name="强调文字颜色 4 2 2 2 4 2" xfId="43470"/>
    <cellStyle name="强调文字颜色 4 2 2 2 4 2 2" xfId="43471"/>
    <cellStyle name="强调文字颜色 4 2 2 2 4 2 2 2" xfId="43472"/>
    <cellStyle name="强调文字颜色 4 2 2 2 4 3" xfId="43473"/>
    <cellStyle name="强调文字颜色 4 2 2 2 4 3 2" xfId="43474"/>
    <cellStyle name="强调文字颜色 4 2 2 2 5" xfId="43475"/>
    <cellStyle name="强调文字颜色 4 2 2 2 6" xfId="43476"/>
    <cellStyle name="强调文字颜色 4 2 2 2 7" xfId="43477"/>
    <cellStyle name="强调文字颜色 4 2 2 3" xfId="43478"/>
    <cellStyle name="强调文字颜色 4 2 2 3 2" xfId="43479"/>
    <cellStyle name="强调文字颜色 4 2 2 3 2 2" xfId="43480"/>
    <cellStyle name="强调文字颜色 4 2 2 3 2 3" xfId="43481"/>
    <cellStyle name="强调文字颜色 4 2 2 3 2 3 2" xfId="43482"/>
    <cellStyle name="强调文字颜色 4 2 2 3 2 3 2 2" xfId="43483"/>
    <cellStyle name="强调文字颜色 4 2 2 3 2 4" xfId="43484"/>
    <cellStyle name="强调文字颜色 4 2 2 3 2 4 2" xfId="43485"/>
    <cellStyle name="强调文字颜色 4 2 2 3 3" xfId="43486"/>
    <cellStyle name="强调文字颜色 4 2 2 3 3 2" xfId="43487"/>
    <cellStyle name="强调文字颜色 4 2 2 3 3 2 2" xfId="43488"/>
    <cellStyle name="强调文字颜色 4 2 2 3 3 2 2 2" xfId="43489"/>
    <cellStyle name="强调文字颜色 4 2 2 3 3 3" xfId="43490"/>
    <cellStyle name="强调文字颜色 4 2 2 3 3 3 2" xfId="43491"/>
    <cellStyle name="强调文字颜色 4 2 2 3 4" xfId="43492"/>
    <cellStyle name="强调文字颜色 4 2 2 3 5" xfId="43493"/>
    <cellStyle name="强调文字颜色 4 2 2 3 6" xfId="43494"/>
    <cellStyle name="强调文字颜色 4 2 2 4" xfId="43495"/>
    <cellStyle name="强调文字颜色 4 2 2 4 2" xfId="43496"/>
    <cellStyle name="强调文字颜色 4 2 2 4 2 2" xfId="43497"/>
    <cellStyle name="强调文字颜色 4 2 2 4 2 3" xfId="43498"/>
    <cellStyle name="强调文字颜色 4 2 2 4 2 3 2" xfId="43499"/>
    <cellStyle name="强调文字颜色 4 2 2 4 2 3 2 2" xfId="43500"/>
    <cellStyle name="强调文字颜色 4 2 2 4 2 4" xfId="43501"/>
    <cellStyle name="强调文字颜色 4 2 2 4 2 4 2" xfId="43502"/>
    <cellStyle name="强调文字颜色 4 2 2 4 3" xfId="43503"/>
    <cellStyle name="强调文字颜色 4 2 2 4 4" xfId="43504"/>
    <cellStyle name="强调文字颜色 4 2 2 4 5" xfId="43505"/>
    <cellStyle name="强调文字颜色 4 2 2 4 6" xfId="43506"/>
    <cellStyle name="强调文字颜色 4 2 2 5" xfId="43507"/>
    <cellStyle name="强调文字颜色 4 2 2 5 2" xfId="43508"/>
    <cellStyle name="强调文字颜色 4 2 2 5 2 2" xfId="43509"/>
    <cellStyle name="强调文字颜色 4 2 2 5 2 2 2" xfId="43510"/>
    <cellStyle name="强调文字颜色 4 2 2 5 2 2 2 2" xfId="43511"/>
    <cellStyle name="强调文字颜色 4 2 2 5 2 3" xfId="43512"/>
    <cellStyle name="强调文字颜色 4 2 2 5 2 3 2" xfId="43513"/>
    <cellStyle name="强调文字颜色 4 2 2 5 3" xfId="43514"/>
    <cellStyle name="强调文字颜色 4 2 2 5 3 2" xfId="43515"/>
    <cellStyle name="强调文字颜色 4 2 2 5 3 2 2" xfId="43516"/>
    <cellStyle name="强调文字颜色 4 2 2 5 4" xfId="43517"/>
    <cellStyle name="强调文字颜色 4 2 2 5 4 2" xfId="43518"/>
    <cellStyle name="强调文字颜色 4 2 2 6" xfId="43519"/>
    <cellStyle name="强调文字颜色 4 2 2 6 2" xfId="43520"/>
    <cellStyle name="强调文字颜色 4 2 2 6 2 2" xfId="43521"/>
    <cellStyle name="强调文字颜色 4 2 2 6 2 2 2" xfId="43522"/>
    <cellStyle name="强调文字颜色 4 2 2 6 2 2 2 2" xfId="43523"/>
    <cellStyle name="强调文字颜色 4 2 2 6 2 3" xfId="43524"/>
    <cellStyle name="强调文字颜色 4 2 2 6 2 3 2" xfId="43525"/>
    <cellStyle name="强调文字颜色 4 2 2 6 3" xfId="43526"/>
    <cellStyle name="强调文字颜色 4 2 2 6 3 2" xfId="43527"/>
    <cellStyle name="强调文字颜色 4 2 2 6 3 2 2" xfId="43528"/>
    <cellStyle name="强调文字颜色 4 2 2 6 4" xfId="43529"/>
    <cellStyle name="强调文字颜色 4 2 2 6 4 2" xfId="43530"/>
    <cellStyle name="强调文字颜色 4 2 2 7" xfId="43531"/>
    <cellStyle name="强调文字颜色 4 2 2 7 2" xfId="43532"/>
    <cellStyle name="强调文字颜色 4 2 2 7 2 2" xfId="43533"/>
    <cellStyle name="强调文字颜色 4 2 2 7 2 2 2" xfId="43534"/>
    <cellStyle name="强调文字颜色 4 2 2 7 2 2 2 2" xfId="43535"/>
    <cellStyle name="强调文字颜色 4 2 2 7 2 3" xfId="43536"/>
    <cellStyle name="强调文字颜色 4 2 2 7 2 3 2" xfId="43537"/>
    <cellStyle name="强调文字颜色 4 2 2 7 3" xfId="43538"/>
    <cellStyle name="强调文字颜色 4 2 2 7 3 2" xfId="43539"/>
    <cellStyle name="强调文字颜色 4 2 2 7 3 2 2" xfId="43540"/>
    <cellStyle name="强调文字颜色 4 2 2 7 4" xfId="43541"/>
    <cellStyle name="强调文字颜色 4 2 2 7 4 2" xfId="43542"/>
    <cellStyle name="强调文字颜色 4 2 2 8" xfId="43543"/>
    <cellStyle name="强调文字颜色 4 2 2 8 2" xfId="43544"/>
    <cellStyle name="强调文字颜色 4 2 2 8 2 2" xfId="43545"/>
    <cellStyle name="强调文字颜色 4 2 2 8 2 2 2" xfId="43546"/>
    <cellStyle name="强调文字颜色 4 2 2 8 3" xfId="43547"/>
    <cellStyle name="强调文字颜色 4 2 2 8 3 2" xfId="43548"/>
    <cellStyle name="强调文字颜色 4 2 2 9" xfId="43549"/>
    <cellStyle name="强调文字颜色 4 2 2 9 2" xfId="43550"/>
    <cellStyle name="强调文字颜色 4 2 2 9 2 2" xfId="43551"/>
    <cellStyle name="强调文字颜色 4 2 2 9 2 2 2" xfId="43552"/>
    <cellStyle name="强调文字颜色 4 2 2 9 3" xfId="43553"/>
    <cellStyle name="强调文字颜色 4 2 2 9 3 2" xfId="43554"/>
    <cellStyle name="强调文字颜色 4 2 3" xfId="43555"/>
    <cellStyle name="强调文字颜色 4 2 3 2" xfId="43556"/>
    <cellStyle name="强调文字颜色 4 2 3 2 2" xfId="43557"/>
    <cellStyle name="强调文字颜色 4 2 3 2 2 2" xfId="43558"/>
    <cellStyle name="强调文字颜色 4 2 3 2 2 2 2" xfId="43559"/>
    <cellStyle name="强调文字颜色 4 2 3 2 2 2 3" xfId="43560"/>
    <cellStyle name="强调文字颜色 4 2 3 2 2 2 3 2" xfId="43561"/>
    <cellStyle name="强调文字颜色 4 2 3 2 2 2 3 2 2" xfId="43562"/>
    <cellStyle name="强调文字颜色 4 2 3 2 2 2 4" xfId="43563"/>
    <cellStyle name="强调文字颜色 4 2 3 2 2 2 4 2" xfId="43564"/>
    <cellStyle name="强调文字颜色 4 2 3 2 2 3" xfId="43565"/>
    <cellStyle name="强调文字颜色 4 2 3 2 2 3 2" xfId="43566"/>
    <cellStyle name="强调文字颜色 4 2 3 2 2 3 2 2" xfId="43567"/>
    <cellStyle name="强调文字颜色 4 2 3 2 2 3 2 2 2" xfId="43568"/>
    <cellStyle name="强调文字颜色 4 2 3 2 2 3 3" xfId="43569"/>
    <cellStyle name="强调文字颜色 4 2 3 2 2 3 3 2" xfId="43570"/>
    <cellStyle name="强调文字颜色 4 2 3 2 2 4" xfId="43571"/>
    <cellStyle name="强调文字颜色 4 2 3 2 2 5" xfId="43572"/>
    <cellStyle name="强调文字颜色 4 2 3 2 2 6" xfId="43573"/>
    <cellStyle name="强调文字颜色 4 2 3 2 3" xfId="43574"/>
    <cellStyle name="强调文字颜色 4 2 3 2 3 2" xfId="43575"/>
    <cellStyle name="强调文字颜色 4 2 3 2 3 3" xfId="43576"/>
    <cellStyle name="强调文字颜色 4 2 3 2 3 3 2" xfId="43577"/>
    <cellStyle name="强调文字颜色 4 2 3 2 3 3 2 2" xfId="43578"/>
    <cellStyle name="强调文字颜色 4 2 3 2 3 4" xfId="43579"/>
    <cellStyle name="强调文字颜色 4 2 3 2 3 4 2" xfId="43580"/>
    <cellStyle name="强调文字颜色 4 2 3 2 4" xfId="43581"/>
    <cellStyle name="强调文字颜色 4 2 3 2 4 2" xfId="43582"/>
    <cellStyle name="强调文字颜色 4 2 3 2 4 2 2" xfId="43583"/>
    <cellStyle name="强调文字颜色 4 2 3 2 4 2 2 2" xfId="43584"/>
    <cellStyle name="强调文字颜色 4 2 3 2 4 3" xfId="43585"/>
    <cellStyle name="强调文字颜色 4 2 3 2 4 3 2" xfId="43586"/>
    <cellStyle name="强调文字颜色 4 2 3 2 5" xfId="43587"/>
    <cellStyle name="强调文字颜色 4 2 3 2 6" xfId="43588"/>
    <cellStyle name="强调文字颜色 4 2 3 2 7" xfId="43589"/>
    <cellStyle name="强调文字颜色 4 2 3 3" xfId="43590"/>
    <cellStyle name="强调文字颜色 4 2 3 3 2" xfId="43591"/>
    <cellStyle name="强调文字颜色 4 2 3 3 2 2" xfId="43592"/>
    <cellStyle name="强调文字颜色 4 2 3 3 2 3" xfId="43593"/>
    <cellStyle name="强调文字颜色 4 2 3 3 2 3 2" xfId="43594"/>
    <cellStyle name="强调文字颜色 4 2 3 3 2 3 2 2" xfId="43595"/>
    <cellStyle name="强调文字颜色 4 2 3 3 2 4" xfId="43596"/>
    <cellStyle name="强调文字颜色 4 2 3 3 2 4 2" xfId="43597"/>
    <cellStyle name="强调文字颜色 4 2 3 3 3" xfId="43598"/>
    <cellStyle name="强调文字颜色 4 2 3 3 3 2" xfId="43599"/>
    <cellStyle name="强调文字颜色 4 2 3 3 3 2 2" xfId="43600"/>
    <cellStyle name="强调文字颜色 4 2 3 3 3 2 2 2" xfId="43601"/>
    <cellStyle name="强调文字颜色 4 2 3 3 3 3" xfId="43602"/>
    <cellStyle name="强调文字颜色 4 2 3 3 3 3 2" xfId="43603"/>
    <cellStyle name="强调文字颜色 4 2 3 3 4" xfId="43604"/>
    <cellStyle name="强调文字颜色 4 2 3 3 5" xfId="43605"/>
    <cellStyle name="强调文字颜色 4 2 3 3 6" xfId="43606"/>
    <cellStyle name="强调文字颜色 4 2 3 4" xfId="43607"/>
    <cellStyle name="强调文字颜色 4 2 3 4 2" xfId="43608"/>
    <cellStyle name="强调文字颜色 4 2 3 4 2 2" xfId="43609"/>
    <cellStyle name="强调文字颜色 4 2 3 4 2 3" xfId="43610"/>
    <cellStyle name="强调文字颜色 4 2 3 4 2 3 2" xfId="43611"/>
    <cellStyle name="强调文字颜色 4 2 3 4 2 3 2 2" xfId="43612"/>
    <cellStyle name="强调文字颜色 4 2 3 4 2 4" xfId="43613"/>
    <cellStyle name="强调文字颜色 4 2 3 4 2 4 2" xfId="43614"/>
    <cellStyle name="强调文字颜色 4 2 3 4 3" xfId="43615"/>
    <cellStyle name="强调文字颜色 4 2 3 4 4" xfId="43616"/>
    <cellStyle name="强调文字颜色 4 2 3 4 5" xfId="43617"/>
    <cellStyle name="强调文字颜色 4 2 3 4 6" xfId="43618"/>
    <cellStyle name="强调文字颜色 4 2 3 5" xfId="43619"/>
    <cellStyle name="强调文字颜色 4 2 3 5 2" xfId="43620"/>
    <cellStyle name="强调文字颜色 4 2 3 5 2 2" xfId="43621"/>
    <cellStyle name="强调文字颜色 4 2 3 5 2 2 2" xfId="43622"/>
    <cellStyle name="强调文字颜色 4 2 3 5 2 2 2 2" xfId="43623"/>
    <cellStyle name="强调文字颜色 4 2 3 5 2 3" xfId="43624"/>
    <cellStyle name="强调文字颜色 4 2 3 5 2 3 2" xfId="43625"/>
    <cellStyle name="强调文字颜色 4 2 3 5 3" xfId="43626"/>
    <cellStyle name="强调文字颜色 4 2 3 5 3 2" xfId="43627"/>
    <cellStyle name="强调文字颜色 4 2 3 5 3 2 2" xfId="43628"/>
    <cellStyle name="强调文字颜色 4 2 3 5 4" xfId="43629"/>
    <cellStyle name="强调文字颜色 4 2 3 5 4 2" xfId="43630"/>
    <cellStyle name="强调文字颜色 4 2 3 6" xfId="43631"/>
    <cellStyle name="强调文字颜色 4 2 3 6 2" xfId="43632"/>
    <cellStyle name="强调文字颜色 4 2 3 6 2 2" xfId="43633"/>
    <cellStyle name="强调文字颜色 4 2 3 6 2 2 2" xfId="43634"/>
    <cellStyle name="强调文字颜色 4 2 3 6 3" xfId="43635"/>
    <cellStyle name="强调文字颜色 4 2 3 6 3 2" xfId="43636"/>
    <cellStyle name="强调文字颜色 4 2 3 7" xfId="43637"/>
    <cellStyle name="强调文字颜色 4 2 3 7 2" xfId="43638"/>
    <cellStyle name="强调文字颜色 4 2 3 7 2 2" xfId="43639"/>
    <cellStyle name="强调文字颜色 4 2 3 7 2 2 2" xfId="43640"/>
    <cellStyle name="强调文字颜色 4 2 3 7 3" xfId="43641"/>
    <cellStyle name="强调文字颜色 4 2 3 7 3 2" xfId="43642"/>
    <cellStyle name="强调文字颜色 4 2 3 8" xfId="43643"/>
    <cellStyle name="强调文字颜色 4 2 3 9" xfId="43644"/>
    <cellStyle name="强调文字颜色 4 2 4" xfId="43645"/>
    <cellStyle name="强调文字颜色 4 2 4 2" xfId="43646"/>
    <cellStyle name="强调文字颜色 4 2 4 2 2" xfId="43647"/>
    <cellStyle name="强调文字颜色 4 2 4 2 3" xfId="43648"/>
    <cellStyle name="强调文字颜色 4 2 4 2 3 2" xfId="43649"/>
    <cellStyle name="强调文字颜色 4 2 4 2 3 2 2" xfId="43650"/>
    <cellStyle name="强调文字颜色 4 2 4 2 4" xfId="43651"/>
    <cellStyle name="强调文字颜色 4 2 4 2 4 2" xfId="43652"/>
    <cellStyle name="强调文字颜色 4 2 4 3" xfId="43653"/>
    <cellStyle name="强调文字颜色 4 2 4 3 2" xfId="43654"/>
    <cellStyle name="强调文字颜色 4 2 4 3 2 2" xfId="43655"/>
    <cellStyle name="强调文字颜色 4 2 4 3 2 2 2" xfId="43656"/>
    <cellStyle name="强调文字颜色 4 2 4 3 3" xfId="43657"/>
    <cellStyle name="强调文字颜色 4 2 4 3 3 2" xfId="43658"/>
    <cellStyle name="强调文字颜色 4 2 4 4" xfId="43659"/>
    <cellStyle name="强调文字颜色 4 2 4 5" xfId="43660"/>
    <cellStyle name="强调文字颜色 4 2 4 6" xfId="43661"/>
    <cellStyle name="强调文字颜色 4 2 5" xfId="43662"/>
    <cellStyle name="强调文字颜色 4 2 5 2" xfId="43663"/>
    <cellStyle name="强调文字颜色 4 2 5 2 2" xfId="43664"/>
    <cellStyle name="强调文字颜色 4 2 5 2 3" xfId="43665"/>
    <cellStyle name="强调文字颜色 4 2 5 2 3 2" xfId="43666"/>
    <cellStyle name="强调文字颜色 4 2 5 2 3 2 2" xfId="43667"/>
    <cellStyle name="强调文字颜色 4 2 5 2 4" xfId="43668"/>
    <cellStyle name="强调文字颜色 4 2 5 2 4 2" xfId="43669"/>
    <cellStyle name="强调文字颜色 4 2 5 3" xfId="43670"/>
    <cellStyle name="强调文字颜色 4 2 5 4" xfId="43671"/>
    <cellStyle name="强调文字颜色 4 2 5 5" xfId="43672"/>
    <cellStyle name="强调文字颜色 4 2 5 6" xfId="43673"/>
    <cellStyle name="强调文字颜色 4 2 6" xfId="43674"/>
    <cellStyle name="强调文字颜色 4 2 6 2" xfId="43675"/>
    <cellStyle name="强调文字颜色 4 2 6 2 2" xfId="43676"/>
    <cellStyle name="强调文字颜色 4 2 6 2 2 2" xfId="43677"/>
    <cellStyle name="强调文字颜色 4 2 6 2 2 2 2" xfId="43678"/>
    <cellStyle name="强调文字颜色 4 2 6 2 3" xfId="43679"/>
    <cellStyle name="强调文字颜色 4 2 6 2 3 2" xfId="43680"/>
    <cellStyle name="强调文字颜色 4 2 6 3" xfId="43681"/>
    <cellStyle name="强调文字颜色 4 2 6 3 2" xfId="43682"/>
    <cellStyle name="强调文字颜色 4 2 6 3 2 2" xfId="43683"/>
    <cellStyle name="强调文字颜色 4 2 6 4" xfId="43684"/>
    <cellStyle name="强调文字颜色 4 2 6 4 2" xfId="43685"/>
    <cellStyle name="强调文字颜色 4 2 7" xfId="43686"/>
    <cellStyle name="强调文字颜色 4 2 7 2" xfId="43687"/>
    <cellStyle name="强调文字颜色 4 2 7 2 2" xfId="43688"/>
    <cellStyle name="强调文字颜色 4 2 7 2 2 2" xfId="43689"/>
    <cellStyle name="强调文字颜色 4 2 7 2 2 2 2" xfId="43690"/>
    <cellStyle name="强调文字颜色 4 2 7 2 3" xfId="43691"/>
    <cellStyle name="强调文字颜色 4 2 7 2 3 2" xfId="43692"/>
    <cellStyle name="强调文字颜色 4 2 7 3" xfId="43693"/>
    <cellStyle name="强调文字颜色 4 2 7 3 2" xfId="43694"/>
    <cellStyle name="强调文字颜色 4 2 7 3 2 2" xfId="43695"/>
    <cellStyle name="强调文字颜色 4 2 7 4" xfId="43696"/>
    <cellStyle name="强调文字颜色 4 2 7 4 2" xfId="43697"/>
    <cellStyle name="强调文字颜色 4 2 8" xfId="43698"/>
    <cellStyle name="强调文字颜色 4 2 8 2" xfId="43699"/>
    <cellStyle name="强调文字颜色 4 2 8 2 2" xfId="43700"/>
    <cellStyle name="强调文字颜色 4 2 8 2 2 2" xfId="43701"/>
    <cellStyle name="强调文字颜色 4 2 8 2 2 2 2" xfId="43702"/>
    <cellStyle name="强调文字颜色 4 2 8 2 3" xfId="43703"/>
    <cellStyle name="强调文字颜色 4 2 8 2 3 2" xfId="43704"/>
    <cellStyle name="强调文字颜色 4 2 8 3" xfId="43705"/>
    <cellStyle name="强调文字颜色 4 2 8 3 2" xfId="43706"/>
    <cellStyle name="强调文字颜色 4 2 8 3 2 2" xfId="43707"/>
    <cellStyle name="强调文字颜色 4 2 8 4" xfId="43708"/>
    <cellStyle name="强调文字颜色 4 2 8 4 2" xfId="43709"/>
    <cellStyle name="强调文字颜色 4 2 9" xfId="43710"/>
    <cellStyle name="强调文字颜色 4 2 9 2" xfId="43711"/>
    <cellStyle name="强调文字颜色 4 2 9 2 2" xfId="43712"/>
    <cellStyle name="强调文字颜色 4 2 9 2 2 2" xfId="43713"/>
    <cellStyle name="强调文字颜色 4 2 9 3" xfId="43714"/>
    <cellStyle name="强调文字颜色 4 2 9 3 2" xfId="43715"/>
    <cellStyle name="强调文字颜色 4 3" xfId="43716"/>
    <cellStyle name="强调文字颜色 4 3 2" xfId="43717"/>
    <cellStyle name="强调文字颜色 4 3 2 2" xfId="43718"/>
    <cellStyle name="强调文字颜色 4 3 2 2 2" xfId="43719"/>
    <cellStyle name="强调文字颜色 4 3 2 2 2 2" xfId="43720"/>
    <cellStyle name="强调文字颜色 4 3 2 2 2 3" xfId="43721"/>
    <cellStyle name="强调文字颜色 4 3 2 2 2 3 2" xfId="43722"/>
    <cellStyle name="强调文字颜色 4 3 2 2 2 3 2 2" xfId="43723"/>
    <cellStyle name="强调文字颜色 4 3 2 2 2 4" xfId="43724"/>
    <cellStyle name="强调文字颜色 4 3 2 2 2 4 2" xfId="43725"/>
    <cellStyle name="强调文字颜色 4 3 2 2 3" xfId="43726"/>
    <cellStyle name="强调文字颜色 4 3 2 2 3 2" xfId="43727"/>
    <cellStyle name="强调文字颜色 4 3 2 2 3 2 2" xfId="43728"/>
    <cellStyle name="强调文字颜色 4 3 2 2 3 2 2 2" xfId="43729"/>
    <cellStyle name="强调文字颜色 4 3 2 2 3 3" xfId="43730"/>
    <cellStyle name="强调文字颜色 4 3 2 2 3 3 2" xfId="43731"/>
    <cellStyle name="强调文字颜色 4 3 2 2 4" xfId="43732"/>
    <cellStyle name="强调文字颜色 4 3 2 2 5" xfId="43733"/>
    <cellStyle name="强调文字颜色 4 3 2 2 6" xfId="43734"/>
    <cellStyle name="强调文字颜色 4 3 2 3" xfId="43735"/>
    <cellStyle name="强调文字颜色 4 3 2 3 2" xfId="43736"/>
    <cellStyle name="强调文字颜色 4 3 2 3 3" xfId="43737"/>
    <cellStyle name="强调文字颜色 4 3 2 3 3 2" xfId="43738"/>
    <cellStyle name="强调文字颜色 4 3 2 3 3 2 2" xfId="43739"/>
    <cellStyle name="强调文字颜色 4 3 2 3 4" xfId="43740"/>
    <cellStyle name="强调文字颜色 4 3 2 3 4 2" xfId="43741"/>
    <cellStyle name="强调文字颜色 4 3 2 4" xfId="43742"/>
    <cellStyle name="强调文字颜色 4 3 2 4 2" xfId="43743"/>
    <cellStyle name="强调文字颜色 4 3 2 4 2 2" xfId="43744"/>
    <cellStyle name="强调文字颜色 4 3 2 4 2 2 2" xfId="43745"/>
    <cellStyle name="强调文字颜色 4 3 2 4 3" xfId="43746"/>
    <cellStyle name="强调文字颜色 4 3 2 4 3 2" xfId="43747"/>
    <cellStyle name="强调文字颜色 4 3 2 5" xfId="43748"/>
    <cellStyle name="强调文字颜色 4 3 2 6" xfId="43749"/>
    <cellStyle name="强调文字颜色 4 3 2 7" xfId="43750"/>
    <cellStyle name="强调文字颜色 4 3 3" xfId="43751"/>
    <cellStyle name="强调文字颜色 4 3 3 2" xfId="43752"/>
    <cellStyle name="强调文字颜色 4 3 3 2 2" xfId="43753"/>
    <cellStyle name="强调文字颜色 4 3 3 2 3" xfId="43754"/>
    <cellStyle name="强调文字颜色 4 3 3 2 3 2" xfId="43755"/>
    <cellStyle name="强调文字颜色 4 3 3 2 3 2 2" xfId="43756"/>
    <cellStyle name="强调文字颜色 4 3 3 2 4" xfId="43757"/>
    <cellStyle name="强调文字颜色 4 3 3 2 4 2" xfId="43758"/>
    <cellStyle name="强调文字颜色 4 3 3 3" xfId="43759"/>
    <cellStyle name="强调文字颜色 4 3 3 3 2" xfId="43760"/>
    <cellStyle name="强调文字颜色 4 3 3 3 2 2" xfId="43761"/>
    <cellStyle name="强调文字颜色 4 3 3 3 2 2 2" xfId="43762"/>
    <cellStyle name="强调文字颜色 4 3 3 3 3" xfId="43763"/>
    <cellStyle name="强调文字颜色 4 3 3 3 3 2" xfId="43764"/>
    <cellStyle name="强调文字颜色 4 3 3 4" xfId="43765"/>
    <cellStyle name="强调文字颜色 4 3 3 5" xfId="43766"/>
    <cellStyle name="强调文字颜色 4 3 3 6" xfId="43767"/>
    <cellStyle name="强调文字颜色 4 3 4" xfId="43768"/>
    <cellStyle name="强调文字颜色 4 3 4 2" xfId="43769"/>
    <cellStyle name="强调文字颜色 4 3 4 2 2" xfId="43770"/>
    <cellStyle name="强调文字颜色 4 3 4 2 3" xfId="43771"/>
    <cellStyle name="强调文字颜色 4 3 4 2 3 2" xfId="43772"/>
    <cellStyle name="强调文字颜色 4 3 4 2 3 2 2" xfId="43773"/>
    <cellStyle name="强调文字颜色 4 3 4 2 4" xfId="43774"/>
    <cellStyle name="强调文字颜色 4 3 4 2 4 2" xfId="43775"/>
    <cellStyle name="强调文字颜色 4 3 4 3" xfId="43776"/>
    <cellStyle name="强调文字颜色 4 3 4 4" xfId="43777"/>
    <cellStyle name="强调文字颜色 4 3 4 5" xfId="43778"/>
    <cellStyle name="强调文字颜色 4 3 4 6" xfId="43779"/>
    <cellStyle name="强调文字颜色 4 3 5" xfId="43780"/>
    <cellStyle name="强调文字颜色 4 3 5 2" xfId="43781"/>
    <cellStyle name="强调文字颜色 4 3 5 2 2" xfId="43782"/>
    <cellStyle name="强调文字颜色 4 3 5 2 2 2" xfId="43783"/>
    <cellStyle name="强调文字颜色 4 3 5 2 2 2 2" xfId="43784"/>
    <cellStyle name="强调文字颜色 4 3 5 2 3" xfId="43785"/>
    <cellStyle name="强调文字颜色 4 3 5 2 3 2" xfId="43786"/>
    <cellStyle name="强调文字颜色 4 3 5 3" xfId="43787"/>
    <cellStyle name="强调文字颜色 4 3 5 3 2" xfId="43788"/>
    <cellStyle name="强调文字颜色 4 3 5 3 2 2" xfId="43789"/>
    <cellStyle name="强调文字颜色 4 3 5 4" xfId="43790"/>
    <cellStyle name="强调文字颜色 4 3 5 4 2" xfId="43791"/>
    <cellStyle name="强调文字颜色 4 3 6" xfId="43792"/>
    <cellStyle name="强调文字颜色 4 3 6 2" xfId="43793"/>
    <cellStyle name="强调文字颜色 4 3 6 2 2" xfId="43794"/>
    <cellStyle name="强调文字颜色 4 3 6 2 2 2" xfId="43795"/>
    <cellStyle name="强调文字颜色 4 3 6 3" xfId="43796"/>
    <cellStyle name="强调文字颜色 4 3 6 3 2" xfId="43797"/>
    <cellStyle name="强调文字颜色 4 3 7" xfId="43798"/>
    <cellStyle name="强调文字颜色 4 3 8" xfId="43799"/>
    <cellStyle name="强调文字颜色 5 2" xfId="43800"/>
    <cellStyle name="强调文字颜色 5 2 10" xfId="43801"/>
    <cellStyle name="强调文字颜色 5 2 11" xfId="43802"/>
    <cellStyle name="强调文字颜色 5 2 2" xfId="43803"/>
    <cellStyle name="强调文字颜色 5 2 2 10" xfId="43804"/>
    <cellStyle name="强调文字颜色 5 2 2 11" xfId="43805"/>
    <cellStyle name="强调文字颜色 5 2 2 2" xfId="43806"/>
    <cellStyle name="强调文字颜色 5 2 2 2 2" xfId="43807"/>
    <cellStyle name="强调文字颜色 5 2 2 2 2 2" xfId="43808"/>
    <cellStyle name="强调文字颜色 5 2 2 2 2 2 2" xfId="43809"/>
    <cellStyle name="强调文字颜色 5 2 2 2 2 2 3" xfId="43810"/>
    <cellStyle name="强调文字颜色 5 2 2 2 2 2 3 2" xfId="43811"/>
    <cellStyle name="强调文字颜色 5 2 2 2 2 2 3 2 2" xfId="43812"/>
    <cellStyle name="强调文字颜色 5 2 2 2 2 2 4" xfId="43813"/>
    <cellStyle name="强调文字颜色 5 2 2 2 2 2 4 2" xfId="43814"/>
    <cellStyle name="强调文字颜色 5 2 2 2 2 3" xfId="43815"/>
    <cellStyle name="强调文字颜色 5 2 2 2 2 3 2" xfId="43816"/>
    <cellStyle name="强调文字颜色 5 2 2 2 2 3 2 2" xfId="43817"/>
    <cellStyle name="强调文字颜色 5 2 2 2 2 3 2 2 2" xfId="43818"/>
    <cellStyle name="强调文字颜色 5 2 2 2 2 3 3" xfId="43819"/>
    <cellStyle name="强调文字颜色 5 2 2 2 2 3 3 2" xfId="43820"/>
    <cellStyle name="强调文字颜色 5 2 2 2 2 4" xfId="43821"/>
    <cellStyle name="强调文字颜色 5 2 2 2 2 5" xfId="43822"/>
    <cellStyle name="强调文字颜色 5 2 2 2 2 6" xfId="43823"/>
    <cellStyle name="强调文字颜色 5 2 2 2 3" xfId="43824"/>
    <cellStyle name="强调文字颜色 5 2 2 2 3 2" xfId="43825"/>
    <cellStyle name="强调文字颜色 5 2 2 2 3 3" xfId="43826"/>
    <cellStyle name="强调文字颜色 5 2 2 2 3 3 2" xfId="43827"/>
    <cellStyle name="强调文字颜色 5 2 2 2 3 3 2 2" xfId="43828"/>
    <cellStyle name="强调文字颜色 5 2 2 2 3 4" xfId="43829"/>
    <cellStyle name="强调文字颜色 5 2 2 2 3 4 2" xfId="43830"/>
    <cellStyle name="强调文字颜色 5 2 2 2 4" xfId="43831"/>
    <cellStyle name="强调文字颜色 5 2 2 2 4 2" xfId="43832"/>
    <cellStyle name="强调文字颜色 5 2 2 2 4 2 2" xfId="43833"/>
    <cellStyle name="强调文字颜色 5 2 2 2 4 2 2 2" xfId="43834"/>
    <cellStyle name="强调文字颜色 5 2 2 2 4 3" xfId="43835"/>
    <cellStyle name="强调文字颜色 5 2 2 2 4 3 2" xfId="43836"/>
    <cellStyle name="强调文字颜色 5 2 2 2 5" xfId="43837"/>
    <cellStyle name="强调文字颜色 5 2 2 2 6" xfId="43838"/>
    <cellStyle name="强调文字颜色 5 2 2 2 7" xfId="43839"/>
    <cellStyle name="强调文字颜色 5 2 2 3" xfId="43840"/>
    <cellStyle name="强调文字颜色 5 2 2 3 2" xfId="43841"/>
    <cellStyle name="强调文字颜色 5 2 2 3 2 2" xfId="43842"/>
    <cellStyle name="强调文字颜色 5 2 2 3 2 3" xfId="43843"/>
    <cellStyle name="强调文字颜色 5 2 2 3 2 3 2" xfId="43844"/>
    <cellStyle name="强调文字颜色 5 2 2 3 2 3 2 2" xfId="43845"/>
    <cellStyle name="强调文字颜色 5 2 2 3 2 4" xfId="43846"/>
    <cellStyle name="强调文字颜色 5 2 2 3 2 4 2" xfId="43847"/>
    <cellStyle name="强调文字颜色 5 2 2 3 3" xfId="43848"/>
    <cellStyle name="强调文字颜色 5 2 2 3 3 2" xfId="43849"/>
    <cellStyle name="强调文字颜色 5 2 2 3 3 2 2" xfId="43850"/>
    <cellStyle name="强调文字颜色 5 2 2 3 3 2 2 2" xfId="43851"/>
    <cellStyle name="强调文字颜色 5 2 2 3 3 3" xfId="43852"/>
    <cellStyle name="强调文字颜色 5 2 2 3 3 3 2" xfId="43853"/>
    <cellStyle name="强调文字颜色 5 2 2 3 4" xfId="43854"/>
    <cellStyle name="强调文字颜色 5 2 2 3 5" xfId="43855"/>
    <cellStyle name="强调文字颜色 5 2 2 3 6" xfId="43856"/>
    <cellStyle name="强调文字颜色 5 2 2 4" xfId="43857"/>
    <cellStyle name="强调文字颜色 5 2 2 4 2" xfId="43858"/>
    <cellStyle name="强调文字颜色 5 2 2 4 2 2" xfId="43859"/>
    <cellStyle name="强调文字颜色 5 2 2 4 2 3" xfId="43860"/>
    <cellStyle name="强调文字颜色 5 2 2 4 2 3 2" xfId="43861"/>
    <cellStyle name="强调文字颜色 5 2 2 4 2 3 2 2" xfId="43862"/>
    <cellStyle name="强调文字颜色 5 2 2 4 2 4" xfId="43863"/>
    <cellStyle name="强调文字颜色 5 2 2 4 2 4 2" xfId="43864"/>
    <cellStyle name="强调文字颜色 5 2 2 4 3" xfId="43865"/>
    <cellStyle name="强调文字颜色 5 2 2 4 4" xfId="43866"/>
    <cellStyle name="强调文字颜色 5 2 2 4 5" xfId="43867"/>
    <cellStyle name="强调文字颜色 5 2 2 4 6" xfId="43868"/>
    <cellStyle name="强调文字颜色 5 2 2 5" xfId="43869"/>
    <cellStyle name="强调文字颜色 5 2 2 5 2" xfId="43870"/>
    <cellStyle name="强调文字颜色 5 2 2 5 2 2" xfId="43871"/>
    <cellStyle name="强调文字颜色 5 2 2 5 2 2 2" xfId="43872"/>
    <cellStyle name="强调文字颜色 5 2 2 5 2 2 2 2" xfId="43873"/>
    <cellStyle name="强调文字颜色 5 2 2 5 2 3" xfId="43874"/>
    <cellStyle name="强调文字颜色 5 2 2 5 2 3 2" xfId="43875"/>
    <cellStyle name="强调文字颜色 5 2 2 5 3" xfId="43876"/>
    <cellStyle name="强调文字颜色 5 2 2 5 3 2" xfId="43877"/>
    <cellStyle name="强调文字颜色 5 2 2 5 3 2 2" xfId="43878"/>
    <cellStyle name="强调文字颜色 5 2 2 5 4" xfId="43879"/>
    <cellStyle name="强调文字颜色 5 2 2 5 4 2" xfId="43880"/>
    <cellStyle name="强调文字颜色 5 2 2 6" xfId="43881"/>
    <cellStyle name="强调文字颜色 5 2 2 6 2" xfId="43882"/>
    <cellStyle name="强调文字颜色 5 2 2 6 2 2" xfId="43883"/>
    <cellStyle name="强调文字颜色 5 2 2 6 2 2 2" xfId="43884"/>
    <cellStyle name="强调文字颜色 5 2 2 6 2 2 2 2" xfId="43885"/>
    <cellStyle name="强调文字颜色 5 2 2 6 2 3" xfId="43886"/>
    <cellStyle name="强调文字颜色 5 2 2 6 2 3 2" xfId="43887"/>
    <cellStyle name="强调文字颜色 5 2 2 6 3" xfId="43888"/>
    <cellStyle name="强调文字颜色 5 2 2 6 3 2" xfId="43889"/>
    <cellStyle name="强调文字颜色 5 2 2 6 3 2 2" xfId="43890"/>
    <cellStyle name="强调文字颜色 5 2 2 6 4" xfId="43891"/>
    <cellStyle name="强调文字颜色 5 2 2 6 4 2" xfId="43892"/>
    <cellStyle name="强调文字颜色 5 2 2 7" xfId="43893"/>
    <cellStyle name="强调文字颜色 5 2 2 7 2" xfId="43894"/>
    <cellStyle name="强调文字颜色 5 2 2 7 2 2" xfId="43895"/>
    <cellStyle name="强调文字颜色 5 2 2 7 2 2 2" xfId="43896"/>
    <cellStyle name="强调文字颜色 5 2 2 7 2 2 2 2" xfId="43897"/>
    <cellStyle name="强调文字颜色 5 2 2 7 2 3" xfId="43898"/>
    <cellStyle name="强调文字颜色 5 2 2 7 2 3 2" xfId="43899"/>
    <cellStyle name="强调文字颜色 5 2 2 7 3" xfId="43900"/>
    <cellStyle name="强调文字颜色 5 2 2 7 3 2" xfId="43901"/>
    <cellStyle name="强调文字颜色 5 2 2 7 3 2 2" xfId="43902"/>
    <cellStyle name="强调文字颜色 5 2 2 7 4" xfId="43903"/>
    <cellStyle name="强调文字颜色 5 2 2 7 4 2" xfId="43904"/>
    <cellStyle name="强调文字颜色 5 2 2 8" xfId="43905"/>
    <cellStyle name="强调文字颜色 5 2 2 8 2" xfId="43906"/>
    <cellStyle name="强调文字颜色 5 2 2 8 2 2" xfId="43907"/>
    <cellStyle name="强调文字颜色 5 2 2 8 2 2 2" xfId="43908"/>
    <cellStyle name="强调文字颜色 5 2 2 8 3" xfId="43909"/>
    <cellStyle name="强调文字颜色 5 2 2 8 3 2" xfId="43910"/>
    <cellStyle name="强调文字颜色 5 2 2 9" xfId="43911"/>
    <cellStyle name="强调文字颜色 5 2 2 9 2" xfId="43912"/>
    <cellStyle name="强调文字颜色 5 2 2 9 2 2" xfId="43913"/>
    <cellStyle name="强调文字颜色 5 2 2 9 2 2 2" xfId="43914"/>
    <cellStyle name="强调文字颜色 5 2 2 9 3" xfId="43915"/>
    <cellStyle name="强调文字颜色 5 2 2 9 3 2" xfId="43916"/>
    <cellStyle name="强调文字颜色 5 2 3" xfId="43917"/>
    <cellStyle name="强调文字颜色 5 2 3 2" xfId="43918"/>
    <cellStyle name="强调文字颜色 5 2 3 2 2" xfId="43919"/>
    <cellStyle name="强调文字颜色 5 2 3 2 2 2" xfId="43920"/>
    <cellStyle name="强调文字颜色 5 2 3 2 2 2 2" xfId="43921"/>
    <cellStyle name="强调文字颜色 5 2 3 2 2 2 3" xfId="43922"/>
    <cellStyle name="强调文字颜色 5 2 3 2 2 2 3 2" xfId="43923"/>
    <cellStyle name="强调文字颜色 5 2 3 2 2 2 3 2 2" xfId="43924"/>
    <cellStyle name="强调文字颜色 5 2 3 2 2 2 4" xfId="43925"/>
    <cellStyle name="强调文字颜色 5 2 3 2 2 2 4 2" xfId="43926"/>
    <cellStyle name="强调文字颜色 5 2 3 2 2 3" xfId="43927"/>
    <cellStyle name="强调文字颜色 5 2 3 2 2 3 2" xfId="43928"/>
    <cellStyle name="强调文字颜色 5 2 3 2 2 3 2 2" xfId="43929"/>
    <cellStyle name="强调文字颜色 5 2 3 2 2 3 2 2 2" xfId="43930"/>
    <cellStyle name="强调文字颜色 5 2 3 2 2 3 3" xfId="43931"/>
    <cellStyle name="强调文字颜色 5 2 3 2 2 3 3 2" xfId="43932"/>
    <cellStyle name="强调文字颜色 5 2 3 2 2 4" xfId="43933"/>
    <cellStyle name="强调文字颜色 5 2 3 2 2 5" xfId="43934"/>
    <cellStyle name="强调文字颜色 5 2 3 2 2 6" xfId="43935"/>
    <cellStyle name="强调文字颜色 5 2 3 2 3" xfId="43936"/>
    <cellStyle name="强调文字颜色 5 2 3 2 3 2" xfId="43937"/>
    <cellStyle name="强调文字颜色 5 2 3 2 3 3" xfId="43938"/>
    <cellStyle name="强调文字颜色 5 2 3 2 3 3 2" xfId="43939"/>
    <cellStyle name="强调文字颜色 5 2 3 2 3 3 2 2" xfId="43940"/>
    <cellStyle name="强调文字颜色 5 2 3 2 3 4" xfId="43941"/>
    <cellStyle name="强调文字颜色 5 2 3 2 3 4 2" xfId="43942"/>
    <cellStyle name="强调文字颜色 5 2 3 2 4" xfId="43943"/>
    <cellStyle name="强调文字颜色 5 2 3 2 4 2" xfId="43944"/>
    <cellStyle name="强调文字颜色 5 2 3 2 4 2 2" xfId="43945"/>
    <cellStyle name="强调文字颜色 5 2 3 2 4 2 2 2" xfId="43946"/>
    <cellStyle name="强调文字颜色 5 2 3 2 4 3" xfId="43947"/>
    <cellStyle name="强调文字颜色 5 2 3 2 4 3 2" xfId="43948"/>
    <cellStyle name="强调文字颜色 5 2 3 2 5" xfId="43949"/>
    <cellStyle name="强调文字颜色 5 2 3 2 6" xfId="43950"/>
    <cellStyle name="强调文字颜色 5 2 3 2 7" xfId="43951"/>
    <cellStyle name="强调文字颜色 5 2 3 3" xfId="43952"/>
    <cellStyle name="强调文字颜色 5 2 3 3 2" xfId="43953"/>
    <cellStyle name="强调文字颜色 5 2 3 3 2 2" xfId="43954"/>
    <cellStyle name="强调文字颜色 5 2 3 3 2 3" xfId="43955"/>
    <cellStyle name="强调文字颜色 5 2 3 3 2 3 2" xfId="43956"/>
    <cellStyle name="强调文字颜色 5 2 3 3 2 3 2 2" xfId="43957"/>
    <cellStyle name="强调文字颜色 5 2 3 3 2 4" xfId="43958"/>
    <cellStyle name="强调文字颜色 5 2 3 3 2 4 2" xfId="43959"/>
    <cellStyle name="强调文字颜色 5 2 3 3 3" xfId="43960"/>
    <cellStyle name="强调文字颜色 5 2 3 3 3 2" xfId="43961"/>
    <cellStyle name="强调文字颜色 5 2 3 3 3 2 2" xfId="43962"/>
    <cellStyle name="强调文字颜色 5 2 3 3 3 2 2 2" xfId="43963"/>
    <cellStyle name="强调文字颜色 5 2 3 3 3 3" xfId="43964"/>
    <cellStyle name="强调文字颜色 5 2 3 3 3 3 2" xfId="43965"/>
    <cellStyle name="强调文字颜色 5 2 3 3 4" xfId="43966"/>
    <cellStyle name="强调文字颜色 5 2 3 3 5" xfId="43967"/>
    <cellStyle name="强调文字颜色 5 2 3 3 6" xfId="43968"/>
    <cellStyle name="强调文字颜色 5 2 3 4" xfId="43969"/>
    <cellStyle name="强调文字颜色 5 2 3 4 2" xfId="43970"/>
    <cellStyle name="强调文字颜色 5 2 3 4 2 2" xfId="43971"/>
    <cellStyle name="强调文字颜色 5 2 3 4 2 3" xfId="43972"/>
    <cellStyle name="强调文字颜色 5 2 3 4 2 3 2" xfId="43973"/>
    <cellStyle name="强调文字颜色 5 2 3 4 2 3 2 2" xfId="43974"/>
    <cellStyle name="强调文字颜色 5 2 3 4 2 4" xfId="43975"/>
    <cellStyle name="强调文字颜色 5 2 3 4 2 4 2" xfId="43976"/>
    <cellStyle name="强调文字颜色 5 2 3 4 3" xfId="43977"/>
    <cellStyle name="强调文字颜色 5 2 3 4 4" xfId="43978"/>
    <cellStyle name="强调文字颜色 5 2 3 4 5" xfId="43979"/>
    <cellStyle name="强调文字颜色 5 2 3 4 6" xfId="43980"/>
    <cellStyle name="强调文字颜色 5 2 3 5" xfId="43981"/>
    <cellStyle name="强调文字颜色 5 2 3 5 2" xfId="43982"/>
    <cellStyle name="强调文字颜色 5 2 3 5 2 2" xfId="43983"/>
    <cellStyle name="强调文字颜色 5 2 3 5 2 2 2" xfId="43984"/>
    <cellStyle name="强调文字颜色 5 2 3 5 2 2 2 2" xfId="43985"/>
    <cellStyle name="强调文字颜色 5 2 3 5 2 3" xfId="43986"/>
    <cellStyle name="强调文字颜色 5 2 3 5 2 3 2" xfId="43987"/>
    <cellStyle name="强调文字颜色 5 2 3 5 3" xfId="43988"/>
    <cellStyle name="强调文字颜色 5 2 3 5 3 2" xfId="43989"/>
    <cellStyle name="强调文字颜色 5 2 3 5 3 2 2" xfId="43990"/>
    <cellStyle name="强调文字颜色 5 2 3 5 4" xfId="43991"/>
    <cellStyle name="强调文字颜色 5 2 3 5 4 2" xfId="43992"/>
    <cellStyle name="强调文字颜色 5 2 3 6" xfId="43993"/>
    <cellStyle name="强调文字颜色 5 2 3 6 2" xfId="43994"/>
    <cellStyle name="强调文字颜色 5 2 3 6 2 2" xfId="43995"/>
    <cellStyle name="强调文字颜色 5 2 3 6 2 2 2" xfId="43996"/>
    <cellStyle name="强调文字颜色 5 2 3 6 3" xfId="43997"/>
    <cellStyle name="强调文字颜色 5 2 3 6 3 2" xfId="43998"/>
    <cellStyle name="强调文字颜色 5 2 3 7" xfId="43999"/>
    <cellStyle name="强调文字颜色 5 2 3 7 2" xfId="44000"/>
    <cellStyle name="强调文字颜色 5 2 3 7 2 2" xfId="44001"/>
    <cellStyle name="强调文字颜色 5 2 3 7 2 2 2" xfId="44002"/>
    <cellStyle name="强调文字颜色 5 2 3 7 3" xfId="44003"/>
    <cellStyle name="强调文字颜色 5 2 3 7 3 2" xfId="44004"/>
    <cellStyle name="强调文字颜色 5 2 3 8" xfId="44005"/>
    <cellStyle name="强调文字颜色 5 2 3 9" xfId="44006"/>
    <cellStyle name="强调文字颜色 5 2 4" xfId="44007"/>
    <cellStyle name="强调文字颜色 5 2 4 2" xfId="44008"/>
    <cellStyle name="强调文字颜色 5 2 4 2 2" xfId="44009"/>
    <cellStyle name="强调文字颜色 5 2 4 2 3" xfId="44010"/>
    <cellStyle name="强调文字颜色 5 2 4 2 3 2" xfId="44011"/>
    <cellStyle name="强调文字颜色 5 2 4 2 3 2 2" xfId="44012"/>
    <cellStyle name="强调文字颜色 5 2 4 2 4" xfId="44013"/>
    <cellStyle name="强调文字颜色 5 2 4 2 4 2" xfId="44014"/>
    <cellStyle name="强调文字颜色 5 2 4 3" xfId="44015"/>
    <cellStyle name="强调文字颜色 5 2 4 3 2" xfId="44016"/>
    <cellStyle name="强调文字颜色 5 2 4 3 2 2" xfId="44017"/>
    <cellStyle name="强调文字颜色 5 2 4 3 2 2 2" xfId="44018"/>
    <cellStyle name="强调文字颜色 5 2 4 3 3" xfId="44019"/>
    <cellStyle name="强调文字颜色 5 2 4 3 3 2" xfId="44020"/>
    <cellStyle name="强调文字颜色 5 2 4 4" xfId="44021"/>
    <cellStyle name="强调文字颜色 5 2 4 5" xfId="44022"/>
    <cellStyle name="强调文字颜色 5 2 4 6" xfId="44023"/>
    <cellStyle name="强调文字颜色 5 2 5" xfId="44024"/>
    <cellStyle name="强调文字颜色 5 2 5 2" xfId="44025"/>
    <cellStyle name="强调文字颜色 5 2 5 2 2" xfId="44026"/>
    <cellStyle name="强调文字颜色 5 2 5 2 3" xfId="44027"/>
    <cellStyle name="强调文字颜色 5 2 5 2 3 2" xfId="44028"/>
    <cellStyle name="强调文字颜色 5 2 5 2 3 2 2" xfId="44029"/>
    <cellStyle name="强调文字颜色 5 2 5 2 4" xfId="44030"/>
    <cellStyle name="强调文字颜色 5 2 5 2 4 2" xfId="44031"/>
    <cellStyle name="强调文字颜色 5 2 5 3" xfId="44032"/>
    <cellStyle name="强调文字颜色 5 2 5 4" xfId="44033"/>
    <cellStyle name="强调文字颜色 5 2 5 5" xfId="44034"/>
    <cellStyle name="强调文字颜色 5 2 5 6" xfId="44035"/>
    <cellStyle name="强调文字颜色 5 2 6" xfId="44036"/>
    <cellStyle name="强调文字颜色 5 2 6 2" xfId="44037"/>
    <cellStyle name="强调文字颜色 5 2 6 2 2" xfId="44038"/>
    <cellStyle name="强调文字颜色 5 2 6 2 2 2" xfId="44039"/>
    <cellStyle name="强调文字颜色 5 2 6 2 2 2 2" xfId="44040"/>
    <cellStyle name="强调文字颜色 5 2 6 2 3" xfId="44041"/>
    <cellStyle name="强调文字颜色 5 2 6 2 3 2" xfId="44042"/>
    <cellStyle name="强调文字颜色 5 2 6 3" xfId="44043"/>
    <cellStyle name="强调文字颜色 5 2 6 3 2" xfId="44044"/>
    <cellStyle name="强调文字颜色 5 2 6 3 2 2" xfId="44045"/>
    <cellStyle name="强调文字颜色 5 2 6 4" xfId="44046"/>
    <cellStyle name="强调文字颜色 5 2 6 4 2" xfId="44047"/>
    <cellStyle name="强调文字颜色 5 2 7" xfId="44048"/>
    <cellStyle name="强调文字颜色 5 2 7 2" xfId="44049"/>
    <cellStyle name="强调文字颜色 5 2 7 2 2" xfId="44050"/>
    <cellStyle name="强调文字颜色 5 2 7 2 2 2" xfId="44051"/>
    <cellStyle name="强调文字颜色 5 2 7 2 2 2 2" xfId="44052"/>
    <cellStyle name="强调文字颜色 5 2 7 2 3" xfId="44053"/>
    <cellStyle name="强调文字颜色 5 2 7 2 3 2" xfId="44054"/>
    <cellStyle name="强调文字颜色 5 2 7 3" xfId="44055"/>
    <cellStyle name="强调文字颜色 5 2 7 3 2" xfId="44056"/>
    <cellStyle name="强调文字颜色 5 2 7 3 2 2" xfId="44057"/>
    <cellStyle name="强调文字颜色 5 2 7 4" xfId="44058"/>
    <cellStyle name="强调文字颜色 5 2 7 4 2" xfId="44059"/>
    <cellStyle name="强调文字颜色 5 2 8" xfId="44060"/>
    <cellStyle name="强调文字颜色 5 2 8 2" xfId="44061"/>
    <cellStyle name="强调文字颜色 5 2 8 2 2" xfId="44062"/>
    <cellStyle name="强调文字颜色 5 2 8 2 2 2" xfId="44063"/>
    <cellStyle name="强调文字颜色 5 2 8 2 2 2 2" xfId="44064"/>
    <cellStyle name="强调文字颜色 5 2 8 2 3" xfId="44065"/>
    <cellStyle name="强调文字颜色 5 2 8 2 3 2" xfId="44066"/>
    <cellStyle name="强调文字颜色 5 2 8 3" xfId="44067"/>
    <cellStyle name="强调文字颜色 5 2 8 3 2" xfId="44068"/>
    <cellStyle name="强调文字颜色 5 2 8 3 2 2" xfId="44069"/>
    <cellStyle name="强调文字颜色 5 2 8 4" xfId="44070"/>
    <cellStyle name="强调文字颜色 5 2 8 4 2" xfId="44071"/>
    <cellStyle name="强调文字颜色 5 2 9" xfId="44072"/>
    <cellStyle name="强调文字颜色 5 2 9 2" xfId="44073"/>
    <cellStyle name="强调文字颜色 5 2 9 2 2" xfId="44074"/>
    <cellStyle name="强调文字颜色 5 2 9 2 2 2" xfId="44075"/>
    <cellStyle name="强调文字颜色 5 2 9 3" xfId="44076"/>
    <cellStyle name="强调文字颜色 5 2 9 3 2" xfId="44077"/>
    <cellStyle name="强调文字颜色 5 3" xfId="44078"/>
    <cellStyle name="强调文字颜色 5 3 2" xfId="44079"/>
    <cellStyle name="强调文字颜色 5 3 2 2" xfId="44080"/>
    <cellStyle name="强调文字颜色 5 3 2 2 2" xfId="44081"/>
    <cellStyle name="强调文字颜色 5 3 2 2 2 2" xfId="44082"/>
    <cellStyle name="强调文字颜色 5 3 2 2 2 3" xfId="44083"/>
    <cellStyle name="强调文字颜色 5 3 2 2 2 3 2" xfId="44084"/>
    <cellStyle name="强调文字颜色 5 3 2 2 2 3 2 2" xfId="44085"/>
    <cellStyle name="强调文字颜色 5 3 2 2 2 4" xfId="44086"/>
    <cellStyle name="强调文字颜色 5 3 2 2 2 4 2" xfId="44087"/>
    <cellStyle name="强调文字颜色 5 3 2 2 3" xfId="44088"/>
    <cellStyle name="强调文字颜色 5 3 2 2 3 2" xfId="44089"/>
    <cellStyle name="强调文字颜色 5 3 2 2 3 2 2" xfId="44090"/>
    <cellStyle name="强调文字颜色 5 3 2 2 3 2 2 2" xfId="44091"/>
    <cellStyle name="强调文字颜色 5 3 2 2 3 3" xfId="44092"/>
    <cellStyle name="强调文字颜色 5 3 2 2 3 3 2" xfId="44093"/>
    <cellStyle name="强调文字颜色 5 3 2 2 4" xfId="44094"/>
    <cellStyle name="强调文字颜色 5 3 2 2 5" xfId="44095"/>
    <cellStyle name="强调文字颜色 5 3 2 2 6" xfId="44096"/>
    <cellStyle name="强调文字颜色 5 3 2 3" xfId="44097"/>
    <cellStyle name="强调文字颜色 5 3 2 3 2" xfId="44098"/>
    <cellStyle name="强调文字颜色 5 3 2 3 3" xfId="44099"/>
    <cellStyle name="强调文字颜色 5 3 2 3 3 2" xfId="44100"/>
    <cellStyle name="强调文字颜色 5 3 2 3 3 2 2" xfId="44101"/>
    <cellStyle name="强调文字颜色 5 3 2 3 4" xfId="44102"/>
    <cellStyle name="强调文字颜色 5 3 2 3 4 2" xfId="44103"/>
    <cellStyle name="强调文字颜色 5 3 2 4" xfId="44104"/>
    <cellStyle name="强调文字颜色 5 3 2 4 2" xfId="44105"/>
    <cellStyle name="强调文字颜色 5 3 2 4 2 2" xfId="44106"/>
    <cellStyle name="强调文字颜色 5 3 2 4 2 2 2" xfId="44107"/>
    <cellStyle name="强调文字颜色 5 3 2 4 3" xfId="44108"/>
    <cellStyle name="强调文字颜色 5 3 2 4 3 2" xfId="44109"/>
    <cellStyle name="强调文字颜色 5 3 2 5" xfId="44110"/>
    <cellStyle name="强调文字颜色 5 3 2 6" xfId="44111"/>
    <cellStyle name="强调文字颜色 5 3 2 7" xfId="44112"/>
    <cellStyle name="强调文字颜色 5 3 3" xfId="44113"/>
    <cellStyle name="强调文字颜色 5 3 3 2" xfId="44114"/>
    <cellStyle name="强调文字颜色 5 3 3 2 2" xfId="44115"/>
    <cellStyle name="强调文字颜色 5 3 3 2 3" xfId="44116"/>
    <cellStyle name="强调文字颜色 5 3 3 2 3 2" xfId="44117"/>
    <cellStyle name="强调文字颜色 5 3 3 2 3 2 2" xfId="44118"/>
    <cellStyle name="强调文字颜色 5 3 3 2 4" xfId="44119"/>
    <cellStyle name="强调文字颜色 5 3 3 2 4 2" xfId="44120"/>
    <cellStyle name="强调文字颜色 5 3 3 3" xfId="44121"/>
    <cellStyle name="强调文字颜色 5 3 3 3 2" xfId="44122"/>
    <cellStyle name="强调文字颜色 5 3 3 3 2 2" xfId="44123"/>
    <cellStyle name="强调文字颜色 5 3 3 3 2 2 2" xfId="44124"/>
    <cellStyle name="强调文字颜色 5 3 3 3 3" xfId="44125"/>
    <cellStyle name="强调文字颜色 5 3 3 3 3 2" xfId="44126"/>
    <cellStyle name="强调文字颜色 5 3 3 4" xfId="44127"/>
    <cellStyle name="强调文字颜色 5 3 3 5" xfId="44128"/>
    <cellStyle name="强调文字颜色 5 3 3 6" xfId="44129"/>
    <cellStyle name="强调文字颜色 5 3 4" xfId="44130"/>
    <cellStyle name="强调文字颜色 5 3 4 2" xfId="44131"/>
    <cellStyle name="强调文字颜色 5 3 4 2 2" xfId="44132"/>
    <cellStyle name="强调文字颜色 5 3 4 2 3" xfId="44133"/>
    <cellStyle name="强调文字颜色 5 3 4 2 3 2" xfId="44134"/>
    <cellStyle name="强调文字颜色 5 3 4 2 3 2 2" xfId="44135"/>
    <cellStyle name="强调文字颜色 5 3 4 2 4" xfId="44136"/>
    <cellStyle name="强调文字颜色 5 3 4 2 4 2" xfId="44137"/>
    <cellStyle name="强调文字颜色 5 3 4 3" xfId="44138"/>
    <cellStyle name="强调文字颜色 5 3 4 4" xfId="44139"/>
    <cellStyle name="强调文字颜色 5 3 4 5" xfId="44140"/>
    <cellStyle name="强调文字颜色 5 3 4 6" xfId="44141"/>
    <cellStyle name="强调文字颜色 5 3 5" xfId="44142"/>
    <cellStyle name="强调文字颜色 5 3 5 2" xfId="44143"/>
    <cellStyle name="强调文字颜色 5 3 5 2 2" xfId="44144"/>
    <cellStyle name="强调文字颜色 5 3 5 2 2 2" xfId="44145"/>
    <cellStyle name="强调文字颜色 5 3 5 2 2 2 2" xfId="44146"/>
    <cellStyle name="强调文字颜色 5 3 5 2 3" xfId="44147"/>
    <cellStyle name="强调文字颜色 5 3 5 2 3 2" xfId="44148"/>
    <cellStyle name="强调文字颜色 5 3 5 3" xfId="44149"/>
    <cellStyle name="强调文字颜色 5 3 5 3 2" xfId="44150"/>
    <cellStyle name="强调文字颜色 5 3 5 3 2 2" xfId="44151"/>
    <cellStyle name="强调文字颜色 5 3 5 4" xfId="44152"/>
    <cellStyle name="强调文字颜色 5 3 5 4 2" xfId="44153"/>
    <cellStyle name="强调文字颜色 5 3 6" xfId="44154"/>
    <cellStyle name="强调文字颜色 5 3 6 2" xfId="44155"/>
    <cellStyle name="强调文字颜色 5 3 6 2 2" xfId="44156"/>
    <cellStyle name="强调文字颜色 5 3 6 2 2 2" xfId="44157"/>
    <cellStyle name="强调文字颜色 5 3 6 3" xfId="44158"/>
    <cellStyle name="强调文字颜色 5 3 6 3 2" xfId="44159"/>
    <cellStyle name="强调文字颜色 5 3 7" xfId="44160"/>
    <cellStyle name="强调文字颜色 5 3 8" xfId="44161"/>
    <cellStyle name="强调文字颜色 6 2" xfId="44162"/>
    <cellStyle name="强调文字颜色 6 2 10" xfId="44163"/>
    <cellStyle name="强调文字颜色 6 2 11" xfId="44164"/>
    <cellStyle name="强调文字颜色 6 2 2" xfId="44165"/>
    <cellStyle name="强调文字颜色 6 2 2 10" xfId="44166"/>
    <cellStyle name="强调文字颜色 6 2 2 11" xfId="44167"/>
    <cellStyle name="强调文字颜色 6 2 2 2" xfId="44168"/>
    <cellStyle name="强调文字颜色 6 2 2 2 2" xfId="44169"/>
    <cellStyle name="强调文字颜色 6 2 2 2 2 2" xfId="44170"/>
    <cellStyle name="强调文字颜色 6 2 2 2 2 2 2" xfId="44171"/>
    <cellStyle name="强调文字颜色 6 2 2 2 2 2 3" xfId="44172"/>
    <cellStyle name="强调文字颜色 6 2 2 2 2 2 3 2" xfId="44173"/>
    <cellStyle name="强调文字颜色 6 2 2 2 2 2 3 2 2" xfId="44174"/>
    <cellStyle name="强调文字颜色 6 2 2 2 2 2 4" xfId="44175"/>
    <cellStyle name="强调文字颜色 6 2 2 2 2 2 4 2" xfId="44176"/>
    <cellStyle name="强调文字颜色 6 2 2 2 2 3" xfId="44177"/>
    <cellStyle name="强调文字颜色 6 2 2 2 2 3 2" xfId="44178"/>
    <cellStyle name="强调文字颜色 6 2 2 2 2 3 2 2" xfId="44179"/>
    <cellStyle name="强调文字颜色 6 2 2 2 2 3 2 2 2" xfId="44180"/>
    <cellStyle name="强调文字颜色 6 2 2 2 2 3 3" xfId="44181"/>
    <cellStyle name="强调文字颜色 6 2 2 2 2 3 3 2" xfId="44182"/>
    <cellStyle name="强调文字颜色 6 2 2 2 2 4" xfId="44183"/>
    <cellStyle name="强调文字颜色 6 2 2 2 2 5" xfId="44184"/>
    <cellStyle name="强调文字颜色 6 2 2 2 2 6" xfId="44185"/>
    <cellStyle name="强调文字颜色 6 2 2 2 3" xfId="44186"/>
    <cellStyle name="强调文字颜色 6 2 2 2 3 2" xfId="44187"/>
    <cellStyle name="强调文字颜色 6 2 2 2 3 3" xfId="44188"/>
    <cellStyle name="强调文字颜色 6 2 2 2 3 3 2" xfId="44189"/>
    <cellStyle name="强调文字颜色 6 2 2 2 3 3 2 2" xfId="44190"/>
    <cellStyle name="强调文字颜色 6 2 2 2 3 4" xfId="44191"/>
    <cellStyle name="强调文字颜色 6 2 2 2 3 4 2" xfId="44192"/>
    <cellStyle name="强调文字颜色 6 2 2 2 4" xfId="44193"/>
    <cellStyle name="强调文字颜色 6 2 2 2 4 2" xfId="44194"/>
    <cellStyle name="强调文字颜色 6 2 2 2 4 2 2" xfId="44195"/>
    <cellStyle name="强调文字颜色 6 2 2 2 4 2 2 2" xfId="44196"/>
    <cellStyle name="强调文字颜色 6 2 2 2 4 3" xfId="44197"/>
    <cellStyle name="强调文字颜色 6 2 2 2 4 3 2" xfId="44198"/>
    <cellStyle name="强调文字颜色 6 2 2 2 5" xfId="44199"/>
    <cellStyle name="强调文字颜色 6 2 2 2 6" xfId="44200"/>
    <cellStyle name="强调文字颜色 6 2 2 2 7" xfId="44201"/>
    <cellStyle name="强调文字颜色 6 2 2 3" xfId="44202"/>
    <cellStyle name="强调文字颜色 6 2 2 3 2" xfId="44203"/>
    <cellStyle name="强调文字颜色 6 2 2 3 2 2" xfId="44204"/>
    <cellStyle name="强调文字颜色 6 2 2 3 2 3" xfId="44205"/>
    <cellStyle name="强调文字颜色 6 2 2 3 2 3 2" xfId="44206"/>
    <cellStyle name="强调文字颜色 6 2 2 3 2 3 2 2" xfId="44207"/>
    <cellStyle name="强调文字颜色 6 2 2 3 2 4" xfId="44208"/>
    <cellStyle name="强调文字颜色 6 2 2 3 2 4 2" xfId="44209"/>
    <cellStyle name="强调文字颜色 6 2 2 3 3" xfId="44210"/>
    <cellStyle name="强调文字颜色 6 2 2 3 3 2" xfId="44211"/>
    <cellStyle name="强调文字颜色 6 2 2 3 3 2 2" xfId="44212"/>
    <cellStyle name="强调文字颜色 6 2 2 3 3 2 2 2" xfId="44213"/>
    <cellStyle name="强调文字颜色 6 2 2 3 3 3" xfId="44214"/>
    <cellStyle name="强调文字颜色 6 2 2 3 3 3 2" xfId="44215"/>
    <cellStyle name="强调文字颜色 6 2 2 3 4" xfId="44216"/>
    <cellStyle name="强调文字颜色 6 2 2 3 5" xfId="44217"/>
    <cellStyle name="强调文字颜色 6 2 2 3 6" xfId="44218"/>
    <cellStyle name="强调文字颜色 6 2 2 4" xfId="44219"/>
    <cellStyle name="强调文字颜色 6 2 2 4 2" xfId="44220"/>
    <cellStyle name="强调文字颜色 6 2 2 4 2 2" xfId="44221"/>
    <cellStyle name="强调文字颜色 6 2 2 4 2 3" xfId="44222"/>
    <cellStyle name="强调文字颜色 6 2 2 4 2 3 2" xfId="44223"/>
    <cellStyle name="强调文字颜色 6 2 2 4 2 3 2 2" xfId="44224"/>
    <cellStyle name="强调文字颜色 6 2 2 4 2 4" xfId="44225"/>
    <cellStyle name="强调文字颜色 6 2 2 4 2 4 2" xfId="44226"/>
    <cellStyle name="强调文字颜色 6 2 2 4 3" xfId="44227"/>
    <cellStyle name="强调文字颜色 6 2 2 4 4" xfId="44228"/>
    <cellStyle name="强调文字颜色 6 2 2 4 5" xfId="44229"/>
    <cellStyle name="强调文字颜色 6 2 2 4 6" xfId="44230"/>
    <cellStyle name="强调文字颜色 6 2 2 5" xfId="44231"/>
    <cellStyle name="强调文字颜色 6 2 2 5 2" xfId="44232"/>
    <cellStyle name="强调文字颜色 6 2 2 5 2 2" xfId="44233"/>
    <cellStyle name="强调文字颜色 6 2 2 5 2 2 2" xfId="44234"/>
    <cellStyle name="强调文字颜色 6 2 2 5 2 2 2 2" xfId="44235"/>
    <cellStyle name="强调文字颜色 6 2 2 5 2 3" xfId="44236"/>
    <cellStyle name="强调文字颜色 6 2 2 5 2 3 2" xfId="44237"/>
    <cellStyle name="强调文字颜色 6 2 2 5 3" xfId="44238"/>
    <cellStyle name="强调文字颜色 6 2 2 5 3 2" xfId="44239"/>
    <cellStyle name="强调文字颜色 6 2 2 5 3 2 2" xfId="44240"/>
    <cellStyle name="强调文字颜色 6 2 2 5 4" xfId="44241"/>
    <cellStyle name="强调文字颜色 6 2 2 5 4 2" xfId="44242"/>
    <cellStyle name="强调文字颜色 6 2 2 6" xfId="44243"/>
    <cellStyle name="强调文字颜色 6 2 2 6 2" xfId="44244"/>
    <cellStyle name="强调文字颜色 6 2 2 6 2 2" xfId="44245"/>
    <cellStyle name="强调文字颜色 6 2 2 6 2 2 2" xfId="44246"/>
    <cellStyle name="强调文字颜色 6 2 2 6 2 2 2 2" xfId="44247"/>
    <cellStyle name="强调文字颜色 6 2 2 6 2 3" xfId="44248"/>
    <cellStyle name="强调文字颜色 6 2 2 6 2 3 2" xfId="44249"/>
    <cellStyle name="强调文字颜色 6 2 2 6 3" xfId="44250"/>
    <cellStyle name="强调文字颜色 6 2 2 6 3 2" xfId="44251"/>
    <cellStyle name="强调文字颜色 6 2 2 6 3 2 2" xfId="44252"/>
    <cellStyle name="强调文字颜色 6 2 2 6 4" xfId="44253"/>
    <cellStyle name="强调文字颜色 6 2 2 6 4 2" xfId="44254"/>
    <cellStyle name="强调文字颜色 6 2 2 7" xfId="44255"/>
    <cellStyle name="强调文字颜色 6 2 2 7 2" xfId="44256"/>
    <cellStyle name="强调文字颜色 6 2 2 7 2 2" xfId="44257"/>
    <cellStyle name="强调文字颜色 6 2 2 7 2 2 2" xfId="44258"/>
    <cellStyle name="强调文字颜色 6 2 2 7 2 2 2 2" xfId="44259"/>
    <cellStyle name="强调文字颜色 6 2 2 7 2 3" xfId="44260"/>
    <cellStyle name="强调文字颜色 6 2 2 7 2 3 2" xfId="44261"/>
    <cellStyle name="强调文字颜色 6 2 2 7 3" xfId="44262"/>
    <cellStyle name="强调文字颜色 6 2 2 7 3 2" xfId="44263"/>
    <cellStyle name="强调文字颜色 6 2 2 7 3 2 2" xfId="44264"/>
    <cellStyle name="强调文字颜色 6 2 2 7 4" xfId="44265"/>
    <cellStyle name="强调文字颜色 6 2 2 7 4 2" xfId="44266"/>
    <cellStyle name="强调文字颜色 6 2 2 8" xfId="44267"/>
    <cellStyle name="强调文字颜色 6 2 2 8 2" xfId="44268"/>
    <cellStyle name="强调文字颜色 6 2 2 8 2 2" xfId="44269"/>
    <cellStyle name="强调文字颜色 6 2 2 8 2 2 2" xfId="44270"/>
    <cellStyle name="强调文字颜色 6 2 2 8 3" xfId="44271"/>
    <cellStyle name="强调文字颜色 6 2 2 8 3 2" xfId="44272"/>
    <cellStyle name="强调文字颜色 6 2 2 9" xfId="44273"/>
    <cellStyle name="强调文字颜色 6 2 2 9 2" xfId="44274"/>
    <cellStyle name="强调文字颜色 6 2 2 9 2 2" xfId="44275"/>
    <cellStyle name="强调文字颜色 6 2 2 9 2 2 2" xfId="44276"/>
    <cellStyle name="强调文字颜色 6 2 2 9 3" xfId="44277"/>
    <cellStyle name="强调文字颜色 6 2 2 9 3 2" xfId="44278"/>
    <cellStyle name="强调文字颜色 6 2 3" xfId="44279"/>
    <cellStyle name="强调文字颜色 6 2 3 2" xfId="44280"/>
    <cellStyle name="强调文字颜色 6 2 3 2 2" xfId="44281"/>
    <cellStyle name="强调文字颜色 6 2 3 2 2 2" xfId="44282"/>
    <cellStyle name="强调文字颜色 6 2 3 2 2 2 2" xfId="44283"/>
    <cellStyle name="强调文字颜色 6 2 3 2 2 2 3" xfId="44284"/>
    <cellStyle name="强调文字颜色 6 2 3 2 2 2 3 2" xfId="44285"/>
    <cellStyle name="强调文字颜色 6 2 3 2 2 2 3 2 2" xfId="44286"/>
    <cellStyle name="强调文字颜色 6 2 3 2 2 2 4" xfId="44287"/>
    <cellStyle name="强调文字颜色 6 2 3 2 2 2 4 2" xfId="44288"/>
    <cellStyle name="强调文字颜色 6 2 3 2 2 3" xfId="44289"/>
    <cellStyle name="强调文字颜色 6 2 3 2 2 3 2" xfId="44290"/>
    <cellStyle name="强调文字颜色 6 2 3 2 2 3 2 2" xfId="44291"/>
    <cellStyle name="强调文字颜色 6 2 3 2 2 3 2 2 2" xfId="44292"/>
    <cellStyle name="强调文字颜色 6 2 3 2 2 3 3" xfId="44293"/>
    <cellStyle name="强调文字颜色 6 2 3 2 2 3 3 2" xfId="44294"/>
    <cellStyle name="强调文字颜色 6 2 3 2 2 4" xfId="44295"/>
    <cellStyle name="强调文字颜色 6 2 3 2 2 5" xfId="44296"/>
    <cellStyle name="强调文字颜色 6 2 3 2 2 6" xfId="44297"/>
    <cellStyle name="强调文字颜色 6 2 3 2 3" xfId="44298"/>
    <cellStyle name="强调文字颜色 6 2 3 2 3 2" xfId="44299"/>
    <cellStyle name="强调文字颜色 6 2 3 2 3 3" xfId="44300"/>
    <cellStyle name="强调文字颜色 6 2 3 2 3 3 2" xfId="44301"/>
    <cellStyle name="强调文字颜色 6 2 3 2 3 3 2 2" xfId="44302"/>
    <cellStyle name="强调文字颜色 6 2 3 2 3 4" xfId="44303"/>
    <cellStyle name="强调文字颜色 6 2 3 2 3 4 2" xfId="44304"/>
    <cellStyle name="强调文字颜色 6 2 3 2 4" xfId="44305"/>
    <cellStyle name="强调文字颜色 6 2 3 2 4 2" xfId="44306"/>
    <cellStyle name="强调文字颜色 6 2 3 2 4 2 2" xfId="44307"/>
    <cellStyle name="强调文字颜色 6 2 3 2 4 2 2 2" xfId="44308"/>
    <cellStyle name="强调文字颜色 6 2 3 2 4 3" xfId="44309"/>
    <cellStyle name="强调文字颜色 6 2 3 2 4 3 2" xfId="44310"/>
    <cellStyle name="强调文字颜色 6 2 3 2 5" xfId="44311"/>
    <cellStyle name="强调文字颜色 6 2 3 2 6" xfId="44312"/>
    <cellStyle name="强调文字颜色 6 2 3 2 7" xfId="44313"/>
    <cellStyle name="强调文字颜色 6 2 3 3" xfId="44314"/>
    <cellStyle name="强调文字颜色 6 2 3 3 2" xfId="44315"/>
    <cellStyle name="强调文字颜色 6 2 3 3 2 2" xfId="44316"/>
    <cellStyle name="强调文字颜色 6 2 3 3 2 3" xfId="44317"/>
    <cellStyle name="强调文字颜色 6 2 3 3 2 3 2" xfId="44318"/>
    <cellStyle name="强调文字颜色 6 2 3 3 2 3 2 2" xfId="44319"/>
    <cellStyle name="强调文字颜色 6 2 3 3 2 4" xfId="44320"/>
    <cellStyle name="强调文字颜色 6 2 3 3 2 4 2" xfId="44321"/>
    <cellStyle name="强调文字颜色 6 2 3 3 3" xfId="44322"/>
    <cellStyle name="强调文字颜色 6 2 3 3 3 2" xfId="44323"/>
    <cellStyle name="强调文字颜色 6 2 3 3 3 2 2" xfId="44324"/>
    <cellStyle name="强调文字颜色 6 2 3 3 3 2 2 2" xfId="44325"/>
    <cellStyle name="强调文字颜色 6 2 3 3 3 3" xfId="44326"/>
    <cellStyle name="强调文字颜色 6 2 3 3 3 3 2" xfId="44327"/>
    <cellStyle name="强调文字颜色 6 2 3 3 4" xfId="44328"/>
    <cellStyle name="强调文字颜色 6 2 3 3 5" xfId="44329"/>
    <cellStyle name="强调文字颜色 6 2 3 3 6" xfId="44330"/>
    <cellStyle name="强调文字颜色 6 2 3 4" xfId="44331"/>
    <cellStyle name="强调文字颜色 6 2 3 4 2" xfId="44332"/>
    <cellStyle name="强调文字颜色 6 2 3 4 2 2" xfId="44333"/>
    <cellStyle name="强调文字颜色 6 2 3 4 2 3" xfId="44334"/>
    <cellStyle name="强调文字颜色 6 2 3 4 2 3 2" xfId="44335"/>
    <cellStyle name="强调文字颜色 6 2 3 4 2 3 2 2" xfId="44336"/>
    <cellStyle name="强调文字颜色 6 2 3 4 2 4" xfId="44337"/>
    <cellStyle name="强调文字颜色 6 2 3 4 2 4 2" xfId="44338"/>
    <cellStyle name="强调文字颜色 6 2 3 4 3" xfId="44339"/>
    <cellStyle name="强调文字颜色 6 2 3 4 4" xfId="44340"/>
    <cellStyle name="强调文字颜色 6 2 3 4 5" xfId="44341"/>
    <cellStyle name="强调文字颜色 6 2 3 4 6" xfId="44342"/>
    <cellStyle name="强调文字颜色 6 2 3 5" xfId="44343"/>
    <cellStyle name="强调文字颜色 6 2 3 5 2" xfId="44344"/>
    <cellStyle name="强调文字颜色 6 2 3 5 2 2" xfId="44345"/>
    <cellStyle name="强调文字颜色 6 2 3 5 2 2 2" xfId="44346"/>
    <cellStyle name="强调文字颜色 6 2 3 5 2 2 2 2" xfId="44347"/>
    <cellStyle name="强调文字颜色 6 2 3 5 2 3" xfId="44348"/>
    <cellStyle name="强调文字颜色 6 2 3 5 2 3 2" xfId="44349"/>
    <cellStyle name="强调文字颜色 6 2 3 5 3" xfId="44350"/>
    <cellStyle name="强调文字颜色 6 2 3 5 3 2" xfId="44351"/>
    <cellStyle name="强调文字颜色 6 2 3 5 3 2 2" xfId="44352"/>
    <cellStyle name="强调文字颜色 6 2 3 5 4" xfId="44353"/>
    <cellStyle name="强调文字颜色 6 2 3 5 4 2" xfId="44354"/>
    <cellStyle name="强调文字颜色 6 2 3 6" xfId="44355"/>
    <cellStyle name="强调文字颜色 6 2 3 6 2" xfId="44356"/>
    <cellStyle name="强调文字颜色 6 2 3 6 2 2" xfId="44357"/>
    <cellStyle name="强调文字颜色 6 2 3 6 2 2 2" xfId="44358"/>
    <cellStyle name="强调文字颜色 6 2 3 6 3" xfId="44359"/>
    <cellStyle name="强调文字颜色 6 2 3 6 3 2" xfId="44360"/>
    <cellStyle name="强调文字颜色 6 2 3 7" xfId="44361"/>
    <cellStyle name="强调文字颜色 6 2 3 7 2" xfId="44362"/>
    <cellStyle name="强调文字颜色 6 2 3 7 2 2" xfId="44363"/>
    <cellStyle name="强调文字颜色 6 2 3 7 2 2 2" xfId="44364"/>
    <cellStyle name="强调文字颜色 6 2 3 7 3" xfId="44365"/>
    <cellStyle name="强调文字颜色 6 2 3 7 3 2" xfId="44366"/>
    <cellStyle name="强调文字颜色 6 2 3 8" xfId="44367"/>
    <cellStyle name="强调文字颜色 6 2 3 9" xfId="44368"/>
    <cellStyle name="强调文字颜色 6 2 4" xfId="44369"/>
    <cellStyle name="强调文字颜色 6 2 4 2" xfId="44370"/>
    <cellStyle name="强调文字颜色 6 2 4 2 2" xfId="44371"/>
    <cellStyle name="强调文字颜色 6 2 4 2 3" xfId="44372"/>
    <cellStyle name="强调文字颜色 6 2 4 2 3 2" xfId="44373"/>
    <cellStyle name="强调文字颜色 6 2 4 2 3 2 2" xfId="44374"/>
    <cellStyle name="强调文字颜色 6 2 4 2 4" xfId="44375"/>
    <cellStyle name="强调文字颜色 6 2 4 2 4 2" xfId="44376"/>
    <cellStyle name="强调文字颜色 6 2 4 3" xfId="44377"/>
    <cellStyle name="强调文字颜色 6 2 4 3 2" xfId="44378"/>
    <cellStyle name="强调文字颜色 6 2 4 3 2 2" xfId="44379"/>
    <cellStyle name="强调文字颜色 6 2 4 3 2 2 2" xfId="44380"/>
    <cellStyle name="强调文字颜色 6 2 4 3 3" xfId="44381"/>
    <cellStyle name="强调文字颜色 6 2 4 3 3 2" xfId="44382"/>
    <cellStyle name="强调文字颜色 6 2 4 4" xfId="44383"/>
    <cellStyle name="强调文字颜色 6 2 4 5" xfId="44384"/>
    <cellStyle name="强调文字颜色 6 2 4 6" xfId="44385"/>
    <cellStyle name="强调文字颜色 6 2 5" xfId="44386"/>
    <cellStyle name="强调文字颜色 6 2 5 2" xfId="44387"/>
    <cellStyle name="强调文字颜色 6 2 5 2 2" xfId="44388"/>
    <cellStyle name="强调文字颜色 6 2 5 2 3" xfId="44389"/>
    <cellStyle name="强调文字颜色 6 2 5 2 3 2" xfId="44390"/>
    <cellStyle name="强调文字颜色 6 2 5 2 3 2 2" xfId="44391"/>
    <cellStyle name="强调文字颜色 6 2 5 2 4" xfId="44392"/>
    <cellStyle name="强调文字颜色 6 2 5 2 4 2" xfId="44393"/>
    <cellStyle name="强调文字颜色 6 2 5 3" xfId="44394"/>
    <cellStyle name="强调文字颜色 6 2 5 4" xfId="44395"/>
    <cellStyle name="强调文字颜色 6 2 5 5" xfId="44396"/>
    <cellStyle name="强调文字颜色 6 2 5 6" xfId="44397"/>
    <cellStyle name="强调文字颜色 6 2 6" xfId="44398"/>
    <cellStyle name="强调文字颜色 6 2 6 2" xfId="44399"/>
    <cellStyle name="强调文字颜色 6 2 6 2 2" xfId="44400"/>
    <cellStyle name="强调文字颜色 6 2 6 2 2 2" xfId="44401"/>
    <cellStyle name="强调文字颜色 6 2 6 2 2 2 2" xfId="44402"/>
    <cellStyle name="强调文字颜色 6 2 6 2 3" xfId="44403"/>
    <cellStyle name="强调文字颜色 6 2 6 2 3 2" xfId="44404"/>
    <cellStyle name="强调文字颜色 6 2 6 3" xfId="44405"/>
    <cellStyle name="强调文字颜色 6 2 6 3 2" xfId="44406"/>
    <cellStyle name="强调文字颜色 6 2 6 3 2 2" xfId="44407"/>
    <cellStyle name="强调文字颜色 6 2 6 4" xfId="44408"/>
    <cellStyle name="强调文字颜色 6 2 6 4 2" xfId="44409"/>
    <cellStyle name="强调文字颜色 6 2 7" xfId="44410"/>
    <cellStyle name="强调文字颜色 6 2 7 2" xfId="44411"/>
    <cellStyle name="强调文字颜色 6 2 7 2 2" xfId="44412"/>
    <cellStyle name="强调文字颜色 6 2 7 2 2 2" xfId="44413"/>
    <cellStyle name="强调文字颜色 6 2 7 2 2 2 2" xfId="44414"/>
    <cellStyle name="强调文字颜色 6 2 7 2 3" xfId="44415"/>
    <cellStyle name="强调文字颜色 6 2 7 2 3 2" xfId="44416"/>
    <cellStyle name="强调文字颜色 6 2 7 3" xfId="44417"/>
    <cellStyle name="强调文字颜色 6 2 7 3 2" xfId="44418"/>
    <cellStyle name="强调文字颜色 6 2 7 3 2 2" xfId="44419"/>
    <cellStyle name="强调文字颜色 6 2 7 4" xfId="44420"/>
    <cellStyle name="强调文字颜色 6 2 7 4 2" xfId="44421"/>
    <cellStyle name="强调文字颜色 6 2 8" xfId="44422"/>
    <cellStyle name="强调文字颜色 6 2 8 2" xfId="44423"/>
    <cellStyle name="强调文字颜色 6 2 8 2 2" xfId="44424"/>
    <cellStyle name="强调文字颜色 6 2 8 2 2 2" xfId="44425"/>
    <cellStyle name="强调文字颜色 6 2 8 2 2 2 2" xfId="44426"/>
    <cellStyle name="强调文字颜色 6 2 8 2 3" xfId="44427"/>
    <cellStyle name="强调文字颜色 6 2 8 2 3 2" xfId="44428"/>
    <cellStyle name="强调文字颜色 6 2 8 3" xfId="44429"/>
    <cellStyle name="强调文字颜色 6 2 8 3 2" xfId="44430"/>
    <cellStyle name="强调文字颜色 6 2 8 3 2 2" xfId="44431"/>
    <cellStyle name="强调文字颜色 6 2 8 4" xfId="44432"/>
    <cellStyle name="强调文字颜色 6 2 8 4 2" xfId="44433"/>
    <cellStyle name="强调文字颜色 6 2 9" xfId="44434"/>
    <cellStyle name="强调文字颜色 6 2 9 2" xfId="44435"/>
    <cellStyle name="强调文字颜色 6 2 9 2 2" xfId="44436"/>
    <cellStyle name="强调文字颜色 6 2 9 2 2 2" xfId="44437"/>
    <cellStyle name="强调文字颜色 6 2 9 3" xfId="44438"/>
    <cellStyle name="强调文字颜色 6 2 9 3 2" xfId="44439"/>
    <cellStyle name="强调文字颜色 6 3" xfId="44440"/>
    <cellStyle name="强调文字颜色 6 3 2" xfId="44441"/>
    <cellStyle name="强调文字颜色 6 3 2 2" xfId="44442"/>
    <cellStyle name="强调文字颜色 6 3 2 2 2" xfId="44443"/>
    <cellStyle name="强调文字颜色 6 3 2 2 2 2" xfId="44444"/>
    <cellStyle name="强调文字颜色 6 3 2 2 2 3" xfId="44445"/>
    <cellStyle name="强调文字颜色 6 3 2 2 2 3 2" xfId="44446"/>
    <cellStyle name="强调文字颜色 6 3 2 2 2 3 2 2" xfId="44447"/>
    <cellStyle name="强调文字颜色 6 3 2 2 2 4" xfId="44448"/>
    <cellStyle name="强调文字颜色 6 3 2 2 2 4 2" xfId="44449"/>
    <cellStyle name="强调文字颜色 6 3 2 2 3" xfId="44450"/>
    <cellStyle name="强调文字颜色 6 3 2 2 3 2" xfId="44451"/>
    <cellStyle name="强调文字颜色 6 3 2 2 3 2 2" xfId="44452"/>
    <cellStyle name="强调文字颜色 6 3 2 2 3 2 2 2" xfId="44453"/>
    <cellStyle name="强调文字颜色 6 3 2 2 3 3" xfId="44454"/>
    <cellStyle name="强调文字颜色 6 3 2 2 3 3 2" xfId="44455"/>
    <cellStyle name="强调文字颜色 6 3 2 2 4" xfId="44456"/>
    <cellStyle name="强调文字颜色 6 3 2 2 5" xfId="44457"/>
    <cellStyle name="强调文字颜色 6 3 2 2 6" xfId="44458"/>
    <cellStyle name="强调文字颜色 6 3 2 3" xfId="44459"/>
    <cellStyle name="强调文字颜色 6 3 2 3 2" xfId="44460"/>
    <cellStyle name="强调文字颜色 6 3 2 3 3" xfId="44461"/>
    <cellStyle name="强调文字颜色 6 3 2 3 3 2" xfId="44462"/>
    <cellStyle name="强调文字颜色 6 3 2 3 3 2 2" xfId="44463"/>
    <cellStyle name="强调文字颜色 6 3 2 3 4" xfId="44464"/>
    <cellStyle name="强调文字颜色 6 3 2 3 4 2" xfId="44465"/>
    <cellStyle name="强调文字颜色 6 3 2 4" xfId="44466"/>
    <cellStyle name="强调文字颜色 6 3 2 4 2" xfId="44467"/>
    <cellStyle name="强调文字颜色 6 3 2 4 2 2" xfId="44468"/>
    <cellStyle name="强调文字颜色 6 3 2 4 2 2 2" xfId="44469"/>
    <cellStyle name="强调文字颜色 6 3 2 4 3" xfId="44470"/>
    <cellStyle name="强调文字颜色 6 3 2 4 3 2" xfId="44471"/>
    <cellStyle name="强调文字颜色 6 3 2 5" xfId="44472"/>
    <cellStyle name="强调文字颜色 6 3 2 6" xfId="44473"/>
    <cellStyle name="强调文字颜色 6 3 2 7" xfId="44474"/>
    <cellStyle name="强调文字颜色 6 3 3" xfId="44475"/>
    <cellStyle name="强调文字颜色 6 3 3 2" xfId="44476"/>
    <cellStyle name="强调文字颜色 6 3 3 2 2" xfId="44477"/>
    <cellStyle name="强调文字颜色 6 3 3 2 3" xfId="44478"/>
    <cellStyle name="强调文字颜色 6 3 3 2 3 2" xfId="44479"/>
    <cellStyle name="强调文字颜色 6 3 3 2 3 2 2" xfId="44480"/>
    <cellStyle name="强调文字颜色 6 3 3 2 4" xfId="44481"/>
    <cellStyle name="强调文字颜色 6 3 3 2 4 2" xfId="44482"/>
    <cellStyle name="强调文字颜色 6 3 3 3" xfId="44483"/>
    <cellStyle name="强调文字颜色 6 3 3 3 2" xfId="44484"/>
    <cellStyle name="强调文字颜色 6 3 3 3 2 2" xfId="44485"/>
    <cellStyle name="强调文字颜色 6 3 3 3 2 2 2" xfId="44486"/>
    <cellStyle name="强调文字颜色 6 3 3 3 3" xfId="44487"/>
    <cellStyle name="强调文字颜色 6 3 3 3 3 2" xfId="44488"/>
    <cellStyle name="强调文字颜色 6 3 3 4" xfId="44489"/>
    <cellStyle name="强调文字颜色 6 3 3 5" xfId="44490"/>
    <cellStyle name="强调文字颜色 6 3 3 6" xfId="44491"/>
    <cellStyle name="强调文字颜色 6 3 4" xfId="44492"/>
    <cellStyle name="强调文字颜色 6 3 4 2" xfId="44493"/>
    <cellStyle name="强调文字颜色 6 3 4 2 2" xfId="44494"/>
    <cellStyle name="强调文字颜色 6 3 4 2 3" xfId="44495"/>
    <cellStyle name="强调文字颜色 6 3 4 2 3 2" xfId="44496"/>
    <cellStyle name="强调文字颜色 6 3 4 2 3 2 2" xfId="44497"/>
    <cellStyle name="强调文字颜色 6 3 4 2 4" xfId="44498"/>
    <cellStyle name="强调文字颜色 6 3 4 2 4 2" xfId="44499"/>
    <cellStyle name="强调文字颜色 6 3 4 3" xfId="44500"/>
    <cellStyle name="强调文字颜色 6 3 4 4" xfId="44501"/>
    <cellStyle name="强调文字颜色 6 3 4 5" xfId="44502"/>
    <cellStyle name="强调文字颜色 6 3 4 6" xfId="44503"/>
    <cellStyle name="强调文字颜色 6 3 5" xfId="44504"/>
    <cellStyle name="强调文字颜色 6 3 5 2" xfId="44505"/>
    <cellStyle name="强调文字颜色 6 3 5 2 2" xfId="44506"/>
    <cellStyle name="强调文字颜色 6 3 5 2 2 2" xfId="44507"/>
    <cellStyle name="强调文字颜色 6 3 5 2 2 2 2" xfId="44508"/>
    <cellStyle name="强调文字颜色 6 3 5 2 3" xfId="44509"/>
    <cellStyle name="强调文字颜色 6 3 5 2 3 2" xfId="44510"/>
    <cellStyle name="强调文字颜色 6 3 5 3" xfId="44511"/>
    <cellStyle name="强调文字颜色 6 3 5 3 2" xfId="44512"/>
    <cellStyle name="强调文字颜色 6 3 5 3 2 2" xfId="44513"/>
    <cellStyle name="强调文字颜色 6 3 5 4" xfId="44514"/>
    <cellStyle name="强调文字颜色 6 3 5 4 2" xfId="44515"/>
    <cellStyle name="强调文字颜色 6 3 6" xfId="44516"/>
    <cellStyle name="强调文字颜色 6 3 6 2" xfId="44517"/>
    <cellStyle name="强调文字颜色 6 3 6 2 2" xfId="44518"/>
    <cellStyle name="强调文字颜色 6 3 6 2 2 2" xfId="44519"/>
    <cellStyle name="强调文字颜色 6 3 6 3" xfId="44520"/>
    <cellStyle name="强调文字颜色 6 3 6 3 2" xfId="44521"/>
    <cellStyle name="强调文字颜色 6 3 7" xfId="44522"/>
    <cellStyle name="强调文字颜色 6 3 8" xfId="44523"/>
    <cellStyle name="數字一" xfId="44524"/>
    <cellStyle name="未定义" xfId="44525"/>
    <cellStyle name="标题 1 2" xfId="44526"/>
    <cellStyle name="标题 1 2 10" xfId="44527"/>
    <cellStyle name="标题 1 2 11" xfId="44528"/>
    <cellStyle name="标题 1 2 2" xfId="44529"/>
    <cellStyle name="标题 1 2 2 10" xfId="44530"/>
    <cellStyle name="标题 1 2 2 11" xfId="44531"/>
    <cellStyle name="标题 1 2 2 2" xfId="44532"/>
    <cellStyle name="标题 1 2 2 2 2" xfId="44533"/>
    <cellStyle name="标题 1 2 2 2 2 2" xfId="44534"/>
    <cellStyle name="标题 1 2 2 2 2 2 2" xfId="44535"/>
    <cellStyle name="标题 1 2 2 2 2 2 3" xfId="44536"/>
    <cellStyle name="标题 1 2 2 2 2 2 3 2" xfId="44537"/>
    <cellStyle name="标题 1 2 2 2 2 2 3 2 2" xfId="44538"/>
    <cellStyle name="标题 1 2 2 2 2 2 4" xfId="44539"/>
    <cellStyle name="标题 1 2 2 2 2 2 4 2" xfId="44540"/>
    <cellStyle name="标题 1 2 2 2 2 3" xfId="44541"/>
    <cellStyle name="标题 1 2 2 2 2 3 2" xfId="44542"/>
    <cellStyle name="标题 1 2 2 2 2 3 2 2" xfId="44543"/>
    <cellStyle name="标题 1 2 2 2 2 3 2 2 2" xfId="44544"/>
    <cellStyle name="标题 1 2 2 2 2 3 3" xfId="44545"/>
    <cellStyle name="标题 1 2 2 2 2 3 3 2" xfId="44546"/>
    <cellStyle name="标题 1 2 2 2 2 4" xfId="44547"/>
    <cellStyle name="标题 1 2 2 2 2 5" xfId="44548"/>
    <cellStyle name="标题 1 2 2 2 2 6" xfId="44549"/>
    <cellStyle name="标题 1 2 2 2 3" xfId="44550"/>
    <cellStyle name="标题 1 2 2 2 3 2" xfId="44551"/>
    <cellStyle name="标题 1 2 2 2 3 3" xfId="44552"/>
    <cellStyle name="标题 1 2 2 2 3 3 2" xfId="44553"/>
    <cellStyle name="标题 1 2 2 2 3 3 2 2" xfId="44554"/>
    <cellStyle name="标题 1 2 2 2 3 4" xfId="44555"/>
    <cellStyle name="标题 1 2 2 2 3 4 2" xfId="44556"/>
    <cellStyle name="标题 1 2 2 2 4" xfId="44557"/>
    <cellStyle name="标题 1 2 2 2 4 2" xfId="44558"/>
    <cellStyle name="标题 1 2 2 2 4 2 2" xfId="44559"/>
    <cellStyle name="标题 1 2 2 2 4 2 2 2" xfId="44560"/>
    <cellStyle name="标题 1 2 2 2 4 3" xfId="44561"/>
    <cellStyle name="标题 1 2 2 2 4 3 2" xfId="44562"/>
    <cellStyle name="标题 1 2 2 2 5" xfId="44563"/>
    <cellStyle name="标题 1 2 2 2 6" xfId="44564"/>
    <cellStyle name="标题 1 2 2 2 7" xfId="44565"/>
    <cellStyle name="标题 1 2 2 3" xfId="44566"/>
    <cellStyle name="标题 1 2 2 3 2" xfId="44567"/>
    <cellStyle name="标题 1 2 2 3 2 2" xfId="44568"/>
    <cellStyle name="标题 1 2 2 3 2 3" xfId="44569"/>
    <cellStyle name="标题 1 2 2 3 2 3 2" xfId="44570"/>
    <cellStyle name="标题 1 2 2 3 2 3 2 2" xfId="44571"/>
    <cellStyle name="标题 1 2 2 3 2 4" xfId="44572"/>
    <cellStyle name="标题 1 2 2 3 2 4 2" xfId="44573"/>
    <cellStyle name="标题 1 2 2 3 3" xfId="44574"/>
    <cellStyle name="标题 1 2 2 3 3 2" xfId="44575"/>
    <cellStyle name="标题 1 2 2 3 3 2 2" xfId="44576"/>
    <cellStyle name="标题 1 2 2 3 3 2 2 2" xfId="44577"/>
    <cellStyle name="标题 1 2 2 3 3 3" xfId="44578"/>
    <cellStyle name="标题 1 2 2 3 3 3 2" xfId="44579"/>
    <cellStyle name="标题 1 2 2 3 4" xfId="44580"/>
    <cellStyle name="标题 1 2 2 3 5" xfId="44581"/>
    <cellStyle name="标题 1 2 2 3 6" xfId="44582"/>
    <cellStyle name="标题 1 2 2 4" xfId="44583"/>
    <cellStyle name="标题 1 2 2 4 2" xfId="44584"/>
    <cellStyle name="标题 1 2 2 4 2 2" xfId="44585"/>
    <cellStyle name="标题 1 2 2 4 2 3" xfId="44586"/>
    <cellStyle name="标题 1 2 2 4 2 3 2" xfId="44587"/>
    <cellStyle name="标题 1 2 2 4 2 3 2 2" xfId="44588"/>
    <cellStyle name="标题 1 2 2 4 2 4" xfId="44589"/>
    <cellStyle name="标题 1 2 2 4 2 4 2" xfId="44590"/>
    <cellStyle name="标题 1 2 2 4 3" xfId="44591"/>
    <cellStyle name="标题 1 2 2 4 4" xfId="44592"/>
    <cellStyle name="标题 1 2 2 4 5" xfId="44593"/>
    <cellStyle name="标题 1 2 2 4 6" xfId="44594"/>
    <cellStyle name="标题 1 2 2 5" xfId="44595"/>
    <cellStyle name="标题 1 2 2 5 2" xfId="44596"/>
    <cellStyle name="标题 1 2 2 5 2 2" xfId="44597"/>
    <cellStyle name="标题 1 2 2 5 2 2 2" xfId="44598"/>
    <cellStyle name="标题 1 2 2 5 2 2 2 2" xfId="44599"/>
    <cellStyle name="标题 1 2 2 5 2 3" xfId="44600"/>
    <cellStyle name="标题 1 2 2 5 2 3 2" xfId="44601"/>
    <cellStyle name="标题 1 2 2 5 3" xfId="44602"/>
    <cellStyle name="标题 1 2 2 5 3 2" xfId="44603"/>
    <cellStyle name="标题 1 2 2 5 3 2 2" xfId="44604"/>
    <cellStyle name="标题 1 2 2 5 4" xfId="44605"/>
    <cellStyle name="标题 1 2 2 5 4 2" xfId="44606"/>
    <cellStyle name="标题 1 2 2 6" xfId="44607"/>
    <cellStyle name="标题 1 2 2 6 2" xfId="44608"/>
    <cellStyle name="标题 1 2 2 6 2 2" xfId="44609"/>
    <cellStyle name="标题 1 2 2 6 2 2 2" xfId="44610"/>
    <cellStyle name="标题 1 2 2 6 2 2 2 2" xfId="44611"/>
    <cellStyle name="标题 1 2 2 6 2 3" xfId="44612"/>
    <cellStyle name="标题 1 2 2 6 2 3 2" xfId="44613"/>
    <cellStyle name="标题 1 2 2 6 3" xfId="44614"/>
    <cellStyle name="标题 1 2 2 6 3 2" xfId="44615"/>
    <cellStyle name="标题 1 2 2 6 3 2 2" xfId="44616"/>
    <cellStyle name="标题 1 2 2 6 4" xfId="44617"/>
    <cellStyle name="标题 1 2 2 6 4 2" xfId="44618"/>
    <cellStyle name="标题 1 2 2 7" xfId="44619"/>
    <cellStyle name="标题 1 2 2 7 2" xfId="44620"/>
    <cellStyle name="标题 1 2 2 7 2 2" xfId="44621"/>
    <cellStyle name="标题 1 2 2 7 2 2 2" xfId="44622"/>
    <cellStyle name="标题 1 2 2 7 2 2 2 2" xfId="44623"/>
    <cellStyle name="标题 1 2 2 7 2 3" xfId="44624"/>
    <cellStyle name="标题 1 2 2 7 2 3 2" xfId="44625"/>
    <cellStyle name="标题 1 2 2 7 3" xfId="44626"/>
    <cellStyle name="标题 1 2 2 7 3 2" xfId="44627"/>
    <cellStyle name="标题 1 2 2 7 3 2 2" xfId="44628"/>
    <cellStyle name="标题 1 2 2 7 4" xfId="44629"/>
    <cellStyle name="标题 1 2 2 7 4 2" xfId="44630"/>
    <cellStyle name="标题 1 2 2 8" xfId="44631"/>
    <cellStyle name="标题 1 2 2 8 2" xfId="44632"/>
    <cellStyle name="标题 1 2 2 8 2 2" xfId="44633"/>
    <cellStyle name="标题 1 2 2 8 2 2 2" xfId="44634"/>
    <cellStyle name="标题 1 2 2 8 3" xfId="44635"/>
    <cellStyle name="标题 1 2 2 8 3 2" xfId="44636"/>
    <cellStyle name="标题 1 2 2 9" xfId="44637"/>
    <cellStyle name="标题 1 2 2 9 2" xfId="44638"/>
    <cellStyle name="标题 1 2 2 9 2 2" xfId="44639"/>
    <cellStyle name="标题 1 2 2 9 2 2 2" xfId="44640"/>
    <cellStyle name="标题 1 2 2 9 3" xfId="44641"/>
    <cellStyle name="标题 1 2 2 9 3 2" xfId="44642"/>
    <cellStyle name="标题 1 2 3" xfId="44643"/>
    <cellStyle name="标题 1 2 3 2" xfId="44644"/>
    <cellStyle name="标题 1 2 3 2 2" xfId="44645"/>
    <cellStyle name="标题 1 2 3 2 2 2" xfId="44646"/>
    <cellStyle name="标题 1 2 3 2 2 2 2" xfId="44647"/>
    <cellStyle name="标题 1 2 3 2 2 2 3" xfId="44648"/>
    <cellStyle name="标题 1 2 3 2 2 2 3 2" xfId="44649"/>
    <cellStyle name="标题 1 2 3 2 2 2 3 2 2" xfId="44650"/>
    <cellStyle name="标题 1 2 3 2 2 2 4" xfId="44651"/>
    <cellStyle name="标题 1 2 3 2 2 2 4 2" xfId="44652"/>
    <cellStyle name="标题 1 2 3 2 2 3" xfId="44653"/>
    <cellStyle name="标题 1 2 3 2 2 3 2" xfId="44654"/>
    <cellStyle name="标题 1 2 3 2 2 3 2 2" xfId="44655"/>
    <cellStyle name="标题 1 2 3 2 2 3 2 2 2" xfId="44656"/>
    <cellStyle name="标题 1 2 3 2 2 3 3" xfId="44657"/>
    <cellStyle name="标题 1 2 3 2 2 3 3 2" xfId="44658"/>
    <cellStyle name="标题 1 2 3 2 2 4" xfId="44659"/>
    <cellStyle name="标题 1 2 3 2 2 5" xfId="44660"/>
    <cellStyle name="标题 1 2 3 2 2 6" xfId="44661"/>
    <cellStyle name="标题 1 2 3 2 3" xfId="44662"/>
    <cellStyle name="标题 1 2 3 2 3 2" xfId="44663"/>
    <cellStyle name="标题 1 2 3 2 3 3" xfId="44664"/>
    <cellStyle name="标题 1 2 3 2 3 3 2" xfId="44665"/>
    <cellStyle name="标题 1 2 3 2 3 3 2 2" xfId="44666"/>
    <cellStyle name="标题 1 2 3 2 3 4" xfId="44667"/>
    <cellStyle name="标题 1 2 3 2 3 4 2" xfId="44668"/>
    <cellStyle name="标题 1 2 3 2 4" xfId="44669"/>
    <cellStyle name="标题 1 2 3 2 4 2" xfId="44670"/>
    <cellStyle name="标题 1 2 3 2 4 2 2" xfId="44671"/>
    <cellStyle name="标题 1 2 3 2 4 2 2 2" xfId="44672"/>
    <cellStyle name="标题 1 2 3 2 4 3" xfId="44673"/>
    <cellStyle name="标题 1 2 3 2 4 3 2" xfId="44674"/>
    <cellStyle name="标题 1 2 3 2 5" xfId="44675"/>
    <cellStyle name="标题 1 2 3 2 6" xfId="44676"/>
    <cellStyle name="标题 1 2 3 2 7" xfId="44677"/>
    <cellStyle name="标题 1 2 3 3" xfId="44678"/>
    <cellStyle name="标题 1 2 3 3 2" xfId="44679"/>
    <cellStyle name="标题 1 2 3 3 2 2" xfId="44680"/>
    <cellStyle name="标题 1 2 3 3 2 3" xfId="44681"/>
    <cellStyle name="标题 1 2 3 3 2 3 2" xfId="44682"/>
    <cellStyle name="标题 1 2 3 3 2 3 2 2" xfId="44683"/>
    <cellStyle name="标题 1 2 3 3 2 4" xfId="44684"/>
    <cellStyle name="标题 1 2 3 3 2 4 2" xfId="44685"/>
    <cellStyle name="标题 1 2 3 3 3" xfId="44686"/>
    <cellStyle name="标题 1 2 3 3 3 2" xfId="44687"/>
    <cellStyle name="标题 1 2 3 3 3 2 2" xfId="44688"/>
    <cellStyle name="标题 1 2 3 3 3 2 2 2" xfId="44689"/>
    <cellStyle name="标题 1 2 3 3 3 3" xfId="44690"/>
    <cellStyle name="标题 1 2 3 3 3 3 2" xfId="44691"/>
    <cellStyle name="标题 1 2 3 3 4" xfId="44692"/>
    <cellStyle name="标题 1 2 3 3 5" xfId="44693"/>
    <cellStyle name="标题 1 2 3 3 6" xfId="44694"/>
    <cellStyle name="标题 1 2 3 4" xfId="44695"/>
    <cellStyle name="标题 1 2 3 4 2" xfId="44696"/>
    <cellStyle name="标题 1 2 3 4 2 2" xfId="44697"/>
    <cellStyle name="标题 1 2 3 4 2 3" xfId="44698"/>
    <cellStyle name="标题 1 2 3 4 2 3 2" xfId="44699"/>
    <cellStyle name="标题 1 2 3 4 2 3 2 2" xfId="44700"/>
    <cellStyle name="标题 1 2 3 4 2 4" xfId="44701"/>
    <cellStyle name="标题 1 2 3 4 2 4 2" xfId="44702"/>
    <cellStyle name="标题 1 2 3 4 3" xfId="44703"/>
    <cellStyle name="标题 1 2 3 4 4" xfId="44704"/>
    <cellStyle name="标题 1 2 3 4 5" xfId="44705"/>
    <cellStyle name="标题 1 2 3 4 6" xfId="44706"/>
    <cellStyle name="标题 1 2 3 5" xfId="44707"/>
    <cellStyle name="标题 1 2 3 5 2" xfId="44708"/>
    <cellStyle name="标题 1 2 3 5 2 2" xfId="44709"/>
    <cellStyle name="标题 1 2 3 5 2 2 2" xfId="44710"/>
    <cellStyle name="标题 1 2 3 5 2 2 2 2" xfId="44711"/>
    <cellStyle name="标题 1 2 3 5 2 3" xfId="44712"/>
    <cellStyle name="标题 1 2 3 5 2 3 2" xfId="44713"/>
    <cellStyle name="标题 1 2 3 5 3" xfId="44714"/>
    <cellStyle name="标题 1 2 3 5 3 2" xfId="44715"/>
    <cellStyle name="标题 1 2 3 5 3 2 2" xfId="44716"/>
    <cellStyle name="标题 1 2 3 5 4" xfId="44717"/>
    <cellStyle name="标题 1 2 3 5 4 2" xfId="44718"/>
    <cellStyle name="标题 1 2 3 6" xfId="44719"/>
    <cellStyle name="标题 1 2 3 6 2" xfId="44720"/>
    <cellStyle name="标题 1 2 3 6 2 2" xfId="44721"/>
    <cellStyle name="标题 1 2 3 6 2 2 2" xfId="44722"/>
    <cellStyle name="标题 1 2 3 6 3" xfId="44723"/>
    <cellStyle name="标题 1 2 3 6 3 2" xfId="44724"/>
    <cellStyle name="标题 1 2 3 7" xfId="44725"/>
    <cellStyle name="标题 1 2 3 7 2" xfId="44726"/>
    <cellStyle name="标题 1 2 3 7 2 2" xfId="44727"/>
    <cellStyle name="标题 1 2 3 7 2 2 2" xfId="44728"/>
    <cellStyle name="标题 1 2 3 7 3" xfId="44729"/>
    <cellStyle name="标题 1 2 3 7 3 2" xfId="44730"/>
    <cellStyle name="标题 1 2 3 8" xfId="44731"/>
    <cellStyle name="标题 1 2 3 9" xfId="44732"/>
    <cellStyle name="标题 1 2 4" xfId="44733"/>
    <cellStyle name="标题 1 2 4 2" xfId="44734"/>
    <cellStyle name="标题 1 2 4 2 2" xfId="44735"/>
    <cellStyle name="标题 1 2 4 2 3" xfId="44736"/>
    <cellStyle name="标题 1 2 4 2 3 2" xfId="44737"/>
    <cellStyle name="标题 1 2 4 2 3 2 2" xfId="44738"/>
    <cellStyle name="标题 1 2 4 2 4" xfId="44739"/>
    <cellStyle name="标题 1 2 4 2 4 2" xfId="44740"/>
    <cellStyle name="标题 1 2 4 3" xfId="44741"/>
    <cellStyle name="标题 1 2 4 3 2" xfId="44742"/>
    <cellStyle name="标题 1 2 4 3 2 2" xfId="44743"/>
    <cellStyle name="标题 1 2 4 3 2 2 2" xfId="44744"/>
    <cellStyle name="标题 1 2 4 3 3" xfId="44745"/>
    <cellStyle name="标题 1 2 4 3 3 2" xfId="44746"/>
    <cellStyle name="标题 1 2 4 4" xfId="44747"/>
    <cellStyle name="标题 1 2 4 5" xfId="44748"/>
    <cellStyle name="标题 1 2 4 6" xfId="44749"/>
    <cellStyle name="标题 1 2 5" xfId="44750"/>
    <cellStyle name="标题 1 2 5 2" xfId="44751"/>
    <cellStyle name="标题 1 2 5 2 2" xfId="44752"/>
    <cellStyle name="标题 1 2 5 2 3" xfId="44753"/>
    <cellStyle name="标题 1 2 5 2 3 2" xfId="44754"/>
    <cellStyle name="标题 1 2 5 2 3 2 2" xfId="44755"/>
    <cellStyle name="标题 1 2 5 2 4" xfId="44756"/>
    <cellStyle name="标题 1 2 5 2 4 2" xfId="44757"/>
    <cellStyle name="标题 1 2 5 3" xfId="44758"/>
    <cellStyle name="标题 1 2 5 4" xfId="44759"/>
    <cellStyle name="标题 1 2 5 5" xfId="44760"/>
    <cellStyle name="标题 1 2 5 6" xfId="44761"/>
    <cellStyle name="标题 1 2 6" xfId="44762"/>
    <cellStyle name="标题 1 2 6 2" xfId="44763"/>
    <cellStyle name="标题 1 2 6 2 2" xfId="44764"/>
    <cellStyle name="标题 1 2 6 2 2 2" xfId="44765"/>
    <cellStyle name="标题 1 2 6 2 2 2 2" xfId="44766"/>
    <cellStyle name="标题 1 2 6 2 3" xfId="44767"/>
    <cellStyle name="标题 1 2 6 2 3 2" xfId="44768"/>
    <cellStyle name="标题 1 2 6 3" xfId="44769"/>
    <cellStyle name="标题 1 2 6 3 2" xfId="44770"/>
    <cellStyle name="标题 1 2 6 3 2 2" xfId="44771"/>
    <cellStyle name="标题 1 2 6 4" xfId="44772"/>
    <cellStyle name="标题 1 2 6 4 2" xfId="44773"/>
    <cellStyle name="标题 1 2 7" xfId="44774"/>
    <cellStyle name="标题 1 2 7 2" xfId="44775"/>
    <cellStyle name="标题 1 2 7 2 2" xfId="44776"/>
    <cellStyle name="标题 1 2 7 2 2 2" xfId="44777"/>
    <cellStyle name="标题 1 2 7 2 2 2 2" xfId="44778"/>
    <cellStyle name="标题 1 2 7 2 3" xfId="44779"/>
    <cellStyle name="标题 1 2 7 2 3 2" xfId="44780"/>
    <cellStyle name="标题 1 2 7 3" xfId="44781"/>
    <cellStyle name="标题 1 2 7 3 2" xfId="44782"/>
    <cellStyle name="标题 1 2 7 3 2 2" xfId="44783"/>
    <cellStyle name="标题 1 2 7 4" xfId="44784"/>
    <cellStyle name="标题 1 2 7 4 2" xfId="44785"/>
    <cellStyle name="标题 1 2 8" xfId="44786"/>
    <cellStyle name="标题 1 2 8 2" xfId="44787"/>
    <cellStyle name="标题 1 2 8 2 2" xfId="44788"/>
    <cellStyle name="标题 1 2 8 2 2 2" xfId="44789"/>
    <cellStyle name="标题 1 2 8 2 2 2 2" xfId="44790"/>
    <cellStyle name="标题 1 2 8 2 3" xfId="44791"/>
    <cellStyle name="标题 1 2 8 2 3 2" xfId="44792"/>
    <cellStyle name="标题 1 2 8 3" xfId="44793"/>
    <cellStyle name="标题 1 2 8 3 2" xfId="44794"/>
    <cellStyle name="标题 1 2 8 3 2 2" xfId="44795"/>
    <cellStyle name="标题 1 2 8 4" xfId="44796"/>
    <cellStyle name="标题 1 2 8 4 2" xfId="44797"/>
    <cellStyle name="标题 1 2 9" xfId="44798"/>
    <cellStyle name="标题 1 2 9 2" xfId="44799"/>
    <cellStyle name="标题 1 2 9 2 2" xfId="44800"/>
    <cellStyle name="标题 1 2 9 2 2 2" xfId="44801"/>
    <cellStyle name="标题 1 2 9 3" xfId="44802"/>
    <cellStyle name="标题 1 2 9 3 2" xfId="44803"/>
    <cellStyle name="标题 1 3" xfId="44804"/>
    <cellStyle name="标题 1 3 2" xfId="44805"/>
    <cellStyle name="标题 1 3 2 2" xfId="44806"/>
    <cellStyle name="标题 1 3 2 2 2" xfId="44807"/>
    <cellStyle name="标题 1 3 2 2 2 2" xfId="44808"/>
    <cellStyle name="标题 1 3 2 2 2 3" xfId="44809"/>
    <cellStyle name="标题 1 3 2 2 2 3 2" xfId="44810"/>
    <cellStyle name="标题 1 3 2 2 2 3 2 2" xfId="44811"/>
    <cellStyle name="标题 1 3 2 2 2 4" xfId="44812"/>
    <cellStyle name="标题 1 3 2 2 2 4 2" xfId="44813"/>
    <cellStyle name="标题 1 3 2 2 3" xfId="44814"/>
    <cellStyle name="标题 1 3 2 2 3 2" xfId="44815"/>
    <cellStyle name="标题 1 3 2 2 3 2 2" xfId="44816"/>
    <cellStyle name="标题 1 3 2 2 3 2 2 2" xfId="44817"/>
    <cellStyle name="标题 1 3 2 2 3 3" xfId="44818"/>
    <cellStyle name="标题 1 3 2 2 3 3 2" xfId="44819"/>
    <cellStyle name="标题 1 3 2 2 4" xfId="44820"/>
    <cellStyle name="标题 1 3 2 2 5" xfId="44821"/>
    <cellStyle name="标题 1 3 2 2 6" xfId="44822"/>
    <cellStyle name="标题 1 3 2 3" xfId="44823"/>
    <cellStyle name="标题 1 3 2 3 2" xfId="44824"/>
    <cellStyle name="标题 1 3 2 3 3" xfId="44825"/>
    <cellStyle name="标题 1 3 2 3 3 2" xfId="44826"/>
    <cellStyle name="标题 1 3 2 3 3 2 2" xfId="44827"/>
    <cellStyle name="标题 1 3 2 3 4" xfId="44828"/>
    <cellStyle name="标题 1 3 2 3 4 2" xfId="44829"/>
    <cellStyle name="标题 1 3 2 4" xfId="44830"/>
    <cellStyle name="标题 1 3 2 4 2" xfId="44831"/>
    <cellStyle name="标题 1 3 2 4 2 2" xfId="44832"/>
    <cellStyle name="标题 1 3 2 4 2 2 2" xfId="44833"/>
    <cellStyle name="标题 1 3 2 4 3" xfId="44834"/>
    <cellStyle name="标题 1 3 2 4 3 2" xfId="44835"/>
    <cellStyle name="标题 1 3 2 5" xfId="44836"/>
    <cellStyle name="标题 1 3 2 6" xfId="44837"/>
    <cellStyle name="标题 1 3 2 7" xfId="44838"/>
    <cellStyle name="标题 1 3 3" xfId="44839"/>
    <cellStyle name="标题 1 3 3 2" xfId="44840"/>
    <cellStyle name="标题 1 3 3 2 2" xfId="44841"/>
    <cellStyle name="标题 1 3 3 2 3" xfId="44842"/>
    <cellStyle name="标题 1 3 3 2 3 2" xfId="44843"/>
    <cellStyle name="标题 1 3 3 2 3 2 2" xfId="44844"/>
    <cellStyle name="标题 1 3 3 2 4" xfId="44845"/>
    <cellStyle name="标题 1 3 3 2 4 2" xfId="44846"/>
    <cellStyle name="标题 1 3 3 3" xfId="44847"/>
    <cellStyle name="标题 1 3 3 3 2" xfId="44848"/>
    <cellStyle name="标题 1 3 3 3 2 2" xfId="44849"/>
    <cellStyle name="标题 1 3 3 3 2 2 2" xfId="44850"/>
    <cellStyle name="标题 1 3 3 3 3" xfId="44851"/>
    <cellStyle name="标题 1 3 3 3 3 2" xfId="44852"/>
    <cellStyle name="标题 1 3 3 4" xfId="44853"/>
    <cellStyle name="标题 1 3 3 5" xfId="44854"/>
    <cellStyle name="标题 1 3 3 6" xfId="44855"/>
    <cellStyle name="标题 1 3 4" xfId="44856"/>
    <cellStyle name="标题 1 3 4 2" xfId="44857"/>
    <cellStyle name="标题 1 3 4 2 2" xfId="44858"/>
    <cellStyle name="标题 1 3 4 2 3" xfId="44859"/>
    <cellStyle name="标题 1 3 4 2 3 2" xfId="44860"/>
    <cellStyle name="标题 1 3 4 2 3 2 2" xfId="44861"/>
    <cellStyle name="标题 1 3 4 2 4" xfId="44862"/>
    <cellStyle name="标题 1 3 4 2 4 2" xfId="44863"/>
    <cellStyle name="标题 1 3 4 3" xfId="44864"/>
    <cellStyle name="标题 1 3 4 4" xfId="44865"/>
    <cellStyle name="标题 1 3 4 5" xfId="44866"/>
    <cellStyle name="标题 1 3 4 6" xfId="44867"/>
    <cellStyle name="标题 1 3 5" xfId="44868"/>
    <cellStyle name="标题 1 3 5 2" xfId="44869"/>
    <cellStyle name="标题 1 3 5 2 2" xfId="44870"/>
    <cellStyle name="标题 1 3 5 2 2 2" xfId="44871"/>
    <cellStyle name="标题 1 3 5 2 2 2 2" xfId="44872"/>
    <cellStyle name="标题 1 3 5 2 3" xfId="44873"/>
    <cellStyle name="标题 1 3 5 2 3 2" xfId="44874"/>
    <cellStyle name="标题 1 3 5 3" xfId="44875"/>
    <cellStyle name="标题 1 3 5 3 2" xfId="44876"/>
    <cellStyle name="标题 1 3 5 3 2 2" xfId="44877"/>
    <cellStyle name="标题 1 3 5 4" xfId="44878"/>
    <cellStyle name="标题 1 3 5 4 2" xfId="44879"/>
    <cellStyle name="标题 1 3 6" xfId="44880"/>
    <cellStyle name="标题 1 3 6 2" xfId="44881"/>
    <cellStyle name="标题 1 3 6 2 2" xfId="44882"/>
    <cellStyle name="标题 1 3 6 2 2 2" xfId="44883"/>
    <cellStyle name="标题 1 3 6 3" xfId="44884"/>
    <cellStyle name="标题 1 3 6 3 2" xfId="44885"/>
    <cellStyle name="标题 1 3 7" xfId="44886"/>
    <cellStyle name="标题 1 3 8" xfId="44887"/>
    <cellStyle name="标题 2 2" xfId="44888"/>
    <cellStyle name="标题 2 2 10" xfId="44889"/>
    <cellStyle name="标题 2 2 11" xfId="44890"/>
    <cellStyle name="标题 2 2 2" xfId="44891"/>
    <cellStyle name="标题 2 2 2 10" xfId="44892"/>
    <cellStyle name="标题 2 2 2 11" xfId="44893"/>
    <cellStyle name="标题 2 2 2 2" xfId="44894"/>
    <cellStyle name="标题 2 2 2 2 2" xfId="44895"/>
    <cellStyle name="标题 2 2 2 2 2 2" xfId="44896"/>
    <cellStyle name="标题 2 2 2 2 2 2 2" xfId="44897"/>
    <cellStyle name="标题 2 2 2 2 2 2 3" xfId="44898"/>
    <cellStyle name="标题 2 2 2 2 2 2 3 2" xfId="44899"/>
    <cellStyle name="标题 2 2 2 2 2 2 3 2 2" xfId="44900"/>
    <cellStyle name="标题 2 2 2 2 2 2 4" xfId="44901"/>
    <cellStyle name="标题 2 2 2 2 2 2 4 2" xfId="44902"/>
    <cellStyle name="标题 2 2 2 2 2 3" xfId="44903"/>
    <cellStyle name="标题 2 2 2 2 2 3 2" xfId="44904"/>
    <cellStyle name="标题 2 2 2 2 2 3 2 2" xfId="44905"/>
    <cellStyle name="标题 2 2 2 2 2 3 2 2 2" xfId="44906"/>
    <cellStyle name="标题 2 2 2 2 2 3 3" xfId="44907"/>
    <cellStyle name="标题 2 2 2 2 2 3 3 2" xfId="44908"/>
    <cellStyle name="标题 2 2 2 2 2 4" xfId="44909"/>
    <cellStyle name="标题 2 2 2 2 2 5" xfId="44910"/>
    <cellStyle name="标题 2 2 2 2 2 6" xfId="44911"/>
    <cellStyle name="标题 2 2 2 2 3" xfId="44912"/>
    <cellStyle name="标题 2 2 2 2 3 2" xfId="44913"/>
    <cellStyle name="标题 2 2 2 2 3 3" xfId="44914"/>
    <cellStyle name="标题 2 2 2 2 3 3 2" xfId="44915"/>
    <cellStyle name="标题 2 2 2 2 3 3 2 2" xfId="44916"/>
    <cellStyle name="标题 2 2 2 2 3 4" xfId="44917"/>
    <cellStyle name="标题 2 2 2 2 3 4 2" xfId="44918"/>
    <cellStyle name="标题 2 2 2 2 4" xfId="44919"/>
    <cellStyle name="标题 2 2 2 2 4 2" xfId="44920"/>
    <cellStyle name="标题 2 2 2 2 4 2 2" xfId="44921"/>
    <cellStyle name="标题 2 2 2 2 4 2 2 2" xfId="44922"/>
    <cellStyle name="标题 2 2 2 2 4 3" xfId="44923"/>
    <cellStyle name="标题 2 2 2 2 4 3 2" xfId="44924"/>
    <cellStyle name="标题 2 2 2 2 5" xfId="44925"/>
    <cellStyle name="标题 2 2 2 2 6" xfId="44926"/>
    <cellStyle name="标题 2 2 2 2 7" xfId="44927"/>
    <cellStyle name="标题 2 2 2 3" xfId="44928"/>
    <cellStyle name="标题 2 2 2 3 2" xfId="44929"/>
    <cellStyle name="标题 2 2 2 3 2 2" xfId="44930"/>
    <cellStyle name="标题 2 2 2 3 2 3" xfId="44931"/>
    <cellStyle name="标题 2 2 2 3 2 3 2" xfId="44932"/>
    <cellStyle name="标题 2 2 2 3 2 3 2 2" xfId="44933"/>
    <cellStyle name="标题 2 2 2 3 2 4" xfId="44934"/>
    <cellStyle name="标题 2 2 2 3 2 4 2" xfId="44935"/>
    <cellStyle name="标题 2 2 2 3 3" xfId="44936"/>
    <cellStyle name="标题 2 2 2 3 3 2" xfId="44937"/>
    <cellStyle name="标题 2 2 2 3 3 2 2" xfId="44938"/>
    <cellStyle name="标题 2 2 2 3 3 2 2 2" xfId="44939"/>
    <cellStyle name="标题 2 2 2 3 3 3" xfId="44940"/>
    <cellStyle name="标题 2 2 2 3 3 3 2" xfId="44941"/>
    <cellStyle name="标题 2 2 2 3 4" xfId="44942"/>
    <cellStyle name="标题 2 2 2 3 5" xfId="44943"/>
    <cellStyle name="标题 2 2 2 3 6" xfId="44944"/>
    <cellStyle name="标题 2 2 2 4" xfId="44945"/>
    <cellStyle name="标题 2 2 2 4 2" xfId="44946"/>
    <cellStyle name="标题 2 2 2 4 2 2" xfId="44947"/>
    <cellStyle name="标题 2 2 2 4 2 3" xfId="44948"/>
    <cellStyle name="标题 2 2 2 4 2 3 2" xfId="44949"/>
    <cellStyle name="标题 2 2 2 4 2 3 2 2" xfId="44950"/>
    <cellStyle name="标题 2 2 2 4 2 4" xfId="44951"/>
    <cellStyle name="标题 2 2 2 4 2 4 2" xfId="44952"/>
    <cellStyle name="标题 2 2 2 4 3" xfId="44953"/>
    <cellStyle name="标题 2 2 2 4 4" xfId="44954"/>
    <cellStyle name="标题 2 2 2 4 5" xfId="44955"/>
    <cellStyle name="标题 2 2 2 4 6" xfId="44956"/>
    <cellStyle name="标题 2 2 2 5" xfId="44957"/>
    <cellStyle name="标题 2 2 2 5 2" xfId="44958"/>
    <cellStyle name="标题 2 2 2 5 2 2" xfId="44959"/>
    <cellStyle name="标题 2 2 2 5 2 2 2" xfId="44960"/>
    <cellStyle name="标题 2 2 2 5 2 2 2 2" xfId="44961"/>
    <cellStyle name="标题 2 2 2 5 2 3" xfId="44962"/>
    <cellStyle name="标题 2 2 2 5 2 3 2" xfId="44963"/>
    <cellStyle name="标题 2 2 2 5 3" xfId="44964"/>
    <cellStyle name="标题 2 2 2 5 3 2" xfId="44965"/>
    <cellStyle name="标题 2 2 2 5 3 2 2" xfId="44966"/>
    <cellStyle name="标题 2 2 2 5 4" xfId="44967"/>
    <cellStyle name="标题 2 2 2 5 4 2" xfId="44968"/>
    <cellStyle name="标题 2 2 2 6" xfId="44969"/>
    <cellStyle name="标题 2 2 2 6 2" xfId="44970"/>
    <cellStyle name="标题 2 2 2 6 2 2" xfId="44971"/>
    <cellStyle name="标题 2 2 2 6 2 2 2" xfId="44972"/>
    <cellStyle name="标题 2 2 2 6 2 2 2 2" xfId="44973"/>
    <cellStyle name="标题 2 2 2 6 2 3" xfId="44974"/>
    <cellStyle name="标题 2 2 2 6 2 3 2" xfId="44975"/>
    <cellStyle name="标题 2 2 2 6 3" xfId="44976"/>
    <cellStyle name="标题 2 2 2 6 3 2" xfId="44977"/>
    <cellStyle name="标题 2 2 2 6 3 2 2" xfId="44978"/>
    <cellStyle name="标题 2 2 2 6 4" xfId="44979"/>
    <cellStyle name="标题 2 2 2 6 4 2" xfId="44980"/>
    <cellStyle name="标题 2 2 2 7" xfId="44981"/>
    <cellStyle name="标题 2 2 2 7 2" xfId="44982"/>
    <cellStyle name="标题 2 2 2 7 2 2" xfId="44983"/>
    <cellStyle name="标题 2 2 2 7 2 2 2" xfId="44984"/>
    <cellStyle name="标题 2 2 2 7 2 2 2 2" xfId="44985"/>
    <cellStyle name="标题 2 2 2 7 2 3" xfId="44986"/>
    <cellStyle name="标题 2 2 2 7 2 3 2" xfId="44987"/>
    <cellStyle name="标题 2 2 2 7 3" xfId="44988"/>
    <cellStyle name="标题 2 2 2 7 3 2" xfId="44989"/>
    <cellStyle name="标题 2 2 2 7 3 2 2" xfId="44990"/>
    <cellStyle name="标题 2 2 2 7 4" xfId="44991"/>
    <cellStyle name="标题 2 2 2 7 4 2" xfId="44992"/>
    <cellStyle name="标题 2 2 2 8" xfId="44993"/>
    <cellStyle name="标题 2 2 2 8 2" xfId="44994"/>
    <cellStyle name="标题 2 2 2 8 2 2" xfId="44995"/>
    <cellStyle name="标题 2 2 2 8 2 2 2" xfId="44996"/>
    <cellStyle name="标题 2 2 2 8 3" xfId="44997"/>
    <cellStyle name="标题 2 2 2 8 3 2" xfId="44998"/>
    <cellStyle name="标题 2 2 2 9" xfId="44999"/>
    <cellStyle name="标题 2 2 2 9 2" xfId="45000"/>
    <cellStyle name="标题 2 2 2 9 2 2" xfId="45001"/>
    <cellStyle name="标题 2 2 2 9 2 2 2" xfId="45002"/>
    <cellStyle name="标题 2 2 2 9 3" xfId="45003"/>
    <cellStyle name="标题 2 2 2 9 3 2" xfId="45004"/>
    <cellStyle name="标题 2 2 3" xfId="45005"/>
    <cellStyle name="标题 2 2 3 2" xfId="45006"/>
    <cellStyle name="标题 2 2 3 2 2" xfId="45007"/>
    <cellStyle name="标题 2 2 3 2 2 2" xfId="45008"/>
    <cellStyle name="标题 2 2 3 2 2 2 2" xfId="45009"/>
    <cellStyle name="标题 2 2 3 2 2 2 3" xfId="45010"/>
    <cellStyle name="标题 2 2 3 2 2 2 3 2" xfId="45011"/>
    <cellStyle name="标题 2 2 3 2 2 2 3 2 2" xfId="45012"/>
    <cellStyle name="标题 2 2 3 2 2 2 4" xfId="45013"/>
    <cellStyle name="标题 2 2 3 2 2 2 4 2" xfId="45014"/>
    <cellStyle name="标题 2 2 3 2 2 3" xfId="45015"/>
    <cellStyle name="标题 2 2 3 2 2 3 2" xfId="45016"/>
    <cellStyle name="标题 2 2 3 2 2 3 2 2" xfId="45017"/>
    <cellStyle name="标题 2 2 3 2 2 3 2 2 2" xfId="45018"/>
    <cellStyle name="标题 2 2 3 2 2 3 3" xfId="45019"/>
    <cellStyle name="标题 2 2 3 2 2 3 3 2" xfId="45020"/>
    <cellStyle name="标题 2 2 3 2 2 4" xfId="45021"/>
    <cellStyle name="标题 2 2 3 2 2 5" xfId="45022"/>
    <cellStyle name="标题 2 2 3 2 2 6" xfId="45023"/>
    <cellStyle name="标题 2 2 3 2 3" xfId="45024"/>
    <cellStyle name="标题 2 2 3 2 3 2" xfId="45025"/>
    <cellStyle name="标题 2 2 3 2 3 3" xfId="45026"/>
    <cellStyle name="标题 2 2 3 2 3 3 2" xfId="45027"/>
    <cellStyle name="标题 2 2 3 2 3 3 2 2" xfId="45028"/>
    <cellStyle name="标题 2 2 3 2 3 4" xfId="45029"/>
    <cellStyle name="标题 2 2 3 2 3 4 2" xfId="45030"/>
    <cellStyle name="标题 2 2 3 2 4" xfId="45031"/>
    <cellStyle name="标题 2 2 3 2 4 2" xfId="45032"/>
    <cellStyle name="标题 2 2 3 2 4 2 2" xfId="45033"/>
    <cellStyle name="标题 2 2 3 2 4 2 2 2" xfId="45034"/>
    <cellStyle name="标题 2 2 3 2 4 3" xfId="45035"/>
    <cellStyle name="标题 2 2 3 2 4 3 2" xfId="45036"/>
    <cellStyle name="标题 2 2 3 2 5" xfId="45037"/>
    <cellStyle name="标题 2 2 3 2 6" xfId="45038"/>
    <cellStyle name="标题 2 2 3 2 7" xfId="45039"/>
    <cellStyle name="标题 2 2 3 3" xfId="45040"/>
    <cellStyle name="标题 2 2 3 3 2" xfId="45041"/>
    <cellStyle name="标题 2 2 3 3 2 2" xfId="45042"/>
    <cellStyle name="标题 2 2 3 3 2 3" xfId="45043"/>
    <cellStyle name="标题 2 2 3 3 2 3 2" xfId="45044"/>
    <cellStyle name="标题 2 2 3 3 2 3 2 2" xfId="45045"/>
    <cellStyle name="标题 2 2 3 3 2 4" xfId="45046"/>
    <cellStyle name="标题 2 2 3 3 2 4 2" xfId="45047"/>
    <cellStyle name="标题 2 2 3 3 3" xfId="45048"/>
    <cellStyle name="标题 2 2 3 3 3 2" xfId="45049"/>
    <cellStyle name="标题 2 2 3 3 3 2 2" xfId="45050"/>
    <cellStyle name="标题 2 2 3 3 3 2 2 2" xfId="45051"/>
    <cellStyle name="标题 2 2 3 3 3 3" xfId="45052"/>
    <cellStyle name="标题 2 2 3 3 3 3 2" xfId="45053"/>
    <cellStyle name="标题 2 2 3 3 4" xfId="45054"/>
    <cellStyle name="标题 2 2 3 3 5" xfId="45055"/>
    <cellStyle name="标题 2 2 3 3 6" xfId="45056"/>
    <cellStyle name="标题 2 2 3 4" xfId="45057"/>
    <cellStyle name="标题 2 2 3 4 2" xfId="45058"/>
    <cellStyle name="标题 2 2 3 4 2 2" xfId="45059"/>
    <cellStyle name="标题 2 2 3 4 2 3" xfId="45060"/>
    <cellStyle name="标题 2 2 3 4 2 3 2" xfId="45061"/>
    <cellStyle name="标题 2 2 3 4 2 3 2 2" xfId="45062"/>
    <cellStyle name="标题 2 2 3 4 2 4" xfId="45063"/>
    <cellStyle name="标题 2 2 3 4 2 4 2" xfId="45064"/>
    <cellStyle name="标题 2 2 3 4 3" xfId="45065"/>
    <cellStyle name="标题 2 2 3 4 4" xfId="45066"/>
    <cellStyle name="标题 2 2 3 4 5" xfId="45067"/>
    <cellStyle name="标题 2 2 3 4 6" xfId="45068"/>
    <cellStyle name="标题 2 2 3 5" xfId="45069"/>
    <cellStyle name="标题 2 2 3 5 2" xfId="45070"/>
    <cellStyle name="标题 2 2 3 5 2 2" xfId="45071"/>
    <cellStyle name="标题 2 2 3 5 2 2 2" xfId="45072"/>
    <cellStyle name="标题 2 2 3 5 2 2 2 2" xfId="45073"/>
    <cellStyle name="标题 2 2 3 5 2 3" xfId="45074"/>
    <cellStyle name="标题 2 2 3 5 2 3 2" xfId="45075"/>
    <cellStyle name="标题 2 2 3 5 3" xfId="45076"/>
    <cellStyle name="标题 2 2 3 5 3 2" xfId="45077"/>
    <cellStyle name="标题 2 2 3 5 3 2 2" xfId="45078"/>
    <cellStyle name="标题 2 2 3 5 4" xfId="45079"/>
    <cellStyle name="标题 2 2 3 5 4 2" xfId="45080"/>
    <cellStyle name="标题 2 2 3 6" xfId="45081"/>
    <cellStyle name="标题 2 2 3 6 2" xfId="45082"/>
    <cellStyle name="标题 2 2 3 6 2 2" xfId="45083"/>
    <cellStyle name="标题 2 2 3 6 2 2 2" xfId="45084"/>
    <cellStyle name="标题 2 2 3 6 3" xfId="45085"/>
    <cellStyle name="标题 2 2 3 6 3 2" xfId="45086"/>
    <cellStyle name="标题 2 2 3 7" xfId="45087"/>
    <cellStyle name="标题 2 2 3 7 2" xfId="45088"/>
    <cellStyle name="标题 2 2 3 7 2 2" xfId="45089"/>
    <cellStyle name="标题 2 2 3 7 2 2 2" xfId="45090"/>
    <cellStyle name="标题 2 2 3 7 3" xfId="45091"/>
    <cellStyle name="标题 2 2 3 7 3 2" xfId="45092"/>
    <cellStyle name="标题 2 2 3 8" xfId="45093"/>
    <cellStyle name="标题 2 2 3 9" xfId="45094"/>
    <cellStyle name="标题 2 2 4" xfId="45095"/>
    <cellStyle name="标题 2 2 4 2" xfId="45096"/>
    <cellStyle name="标题 2 2 4 2 2" xfId="45097"/>
    <cellStyle name="标题 2 2 4 2 3" xfId="45098"/>
    <cellStyle name="标题 2 2 4 2 3 2" xfId="45099"/>
    <cellStyle name="标题 2 2 4 2 3 2 2" xfId="45100"/>
    <cellStyle name="标题 2 2 4 2 4" xfId="45101"/>
    <cellStyle name="标题 2 2 4 2 4 2" xfId="45102"/>
    <cellStyle name="标题 2 2 4 3" xfId="45103"/>
    <cellStyle name="标题 2 2 4 3 2" xfId="45104"/>
    <cellStyle name="标题 2 2 4 3 2 2" xfId="45105"/>
    <cellStyle name="标题 2 2 4 3 2 2 2" xfId="45106"/>
    <cellStyle name="标题 2 2 4 3 3" xfId="45107"/>
    <cellStyle name="标题 2 2 4 3 3 2" xfId="45108"/>
    <cellStyle name="标题 2 2 4 4" xfId="45109"/>
    <cellStyle name="标题 2 2 4 5" xfId="45110"/>
    <cellStyle name="标题 2 2 4 6" xfId="45111"/>
    <cellStyle name="标题 2 2 5" xfId="45112"/>
    <cellStyle name="标题 2 2 5 2" xfId="45113"/>
    <cellStyle name="标题 2 2 5 2 2" xfId="45114"/>
    <cellStyle name="标题 2 2 5 2 3" xfId="45115"/>
    <cellStyle name="标题 2 2 5 2 3 2" xfId="45116"/>
    <cellStyle name="标题 2 2 5 2 3 2 2" xfId="45117"/>
    <cellStyle name="标题 2 2 5 2 4" xfId="45118"/>
    <cellStyle name="标题 2 2 5 2 4 2" xfId="45119"/>
    <cellStyle name="标题 2 2 5 3" xfId="45120"/>
    <cellStyle name="标题 2 2 5 4" xfId="45121"/>
    <cellStyle name="标题 2 2 5 5" xfId="45122"/>
    <cellStyle name="标题 2 2 5 6" xfId="45123"/>
    <cellStyle name="标题 2 2 6" xfId="45124"/>
    <cellStyle name="标题 2 2 6 2" xfId="45125"/>
    <cellStyle name="标题 2 2 6 2 2" xfId="45126"/>
    <cellStyle name="标题 2 2 6 2 2 2" xfId="45127"/>
    <cellStyle name="标题 2 2 6 2 2 2 2" xfId="45128"/>
    <cellStyle name="标题 2 2 6 2 3" xfId="45129"/>
    <cellStyle name="标题 2 2 6 2 3 2" xfId="45130"/>
    <cellStyle name="标题 2 2 6 3" xfId="45131"/>
    <cellStyle name="标题 2 2 6 3 2" xfId="45132"/>
    <cellStyle name="标题 2 2 6 3 2 2" xfId="45133"/>
    <cellStyle name="标题 2 2 6 4" xfId="45134"/>
    <cellStyle name="标题 2 2 6 4 2" xfId="45135"/>
    <cellStyle name="标题 2 2 7" xfId="45136"/>
    <cellStyle name="标题 2 2 7 2" xfId="45137"/>
    <cellStyle name="标题 2 2 7 2 2" xfId="45138"/>
    <cellStyle name="标题 2 2 7 2 2 2" xfId="45139"/>
    <cellStyle name="标题 2 2 7 2 2 2 2" xfId="45140"/>
    <cellStyle name="标题 2 2 7 2 3" xfId="45141"/>
    <cellStyle name="标题 2 2 7 2 3 2" xfId="45142"/>
    <cellStyle name="标题 2 2 7 3" xfId="45143"/>
    <cellStyle name="标题 2 2 7 3 2" xfId="45144"/>
    <cellStyle name="标题 2 2 7 3 2 2" xfId="45145"/>
    <cellStyle name="标题 2 2 7 4" xfId="45146"/>
    <cellStyle name="标题 2 2 7 4 2" xfId="45147"/>
    <cellStyle name="标题 2 2 8" xfId="45148"/>
    <cellStyle name="标题 2 2 8 2" xfId="45149"/>
    <cellStyle name="标题 2 2 8 2 2" xfId="45150"/>
    <cellStyle name="标题 2 2 8 2 2 2" xfId="45151"/>
    <cellStyle name="标题 2 2 8 2 2 2 2" xfId="45152"/>
    <cellStyle name="标题 2 2 8 2 3" xfId="45153"/>
    <cellStyle name="标题 2 2 8 2 3 2" xfId="45154"/>
    <cellStyle name="标题 2 2 8 3" xfId="45155"/>
    <cellStyle name="标题 2 2 8 3 2" xfId="45156"/>
    <cellStyle name="标题 2 2 8 3 2 2" xfId="45157"/>
    <cellStyle name="标题 2 2 8 4" xfId="45158"/>
    <cellStyle name="标题 2 2 8 4 2" xfId="45159"/>
    <cellStyle name="标题 2 2 9" xfId="45160"/>
    <cellStyle name="标题 2 2 9 2" xfId="45161"/>
    <cellStyle name="标题 2 2 9 2 2" xfId="45162"/>
    <cellStyle name="标题 2 2 9 2 2 2" xfId="45163"/>
    <cellStyle name="标题 2 2 9 3" xfId="45164"/>
    <cellStyle name="标题 2 2 9 3 2" xfId="45165"/>
    <cellStyle name="标题 2 3" xfId="45166"/>
    <cellStyle name="标题 2 3 2" xfId="45167"/>
    <cellStyle name="标题 2 3 2 2" xfId="45168"/>
    <cellStyle name="标题 2 3 2 2 2" xfId="45169"/>
    <cellStyle name="标题 2 3 2 2 2 2" xfId="45170"/>
    <cellStyle name="标题 2 3 2 2 2 3" xfId="45171"/>
    <cellStyle name="标题 2 3 2 2 2 3 2" xfId="45172"/>
    <cellStyle name="标题 2 3 2 2 2 3 2 2" xfId="45173"/>
    <cellStyle name="标题 2 3 2 2 2 4" xfId="45174"/>
    <cellStyle name="标题 2 3 2 2 2 4 2" xfId="45175"/>
    <cellStyle name="标题 2 3 2 2 3" xfId="45176"/>
    <cellStyle name="标题 2 3 2 2 3 2" xfId="45177"/>
    <cellStyle name="标题 2 3 2 2 3 2 2" xfId="45178"/>
    <cellStyle name="标题 2 3 2 2 3 2 2 2" xfId="45179"/>
    <cellStyle name="标题 2 3 2 2 3 3" xfId="45180"/>
    <cellStyle name="标题 2 3 2 2 3 3 2" xfId="45181"/>
    <cellStyle name="标题 2 3 2 2 4" xfId="45182"/>
    <cellStyle name="标题 2 3 2 2 5" xfId="45183"/>
    <cellStyle name="标题 2 3 2 2 6" xfId="45184"/>
    <cellStyle name="标题 2 3 2 3" xfId="45185"/>
    <cellStyle name="标题 2 3 2 3 2" xfId="45186"/>
    <cellStyle name="标题 2 3 2 3 3" xfId="45187"/>
    <cellStyle name="标题 2 3 2 3 3 2" xfId="45188"/>
    <cellStyle name="标题 2 3 2 3 3 2 2" xfId="45189"/>
    <cellStyle name="标题 2 3 2 3 4" xfId="45190"/>
    <cellStyle name="标题 2 3 2 3 4 2" xfId="45191"/>
    <cellStyle name="标题 2 3 2 4" xfId="45192"/>
    <cellStyle name="标题 2 3 2 4 2" xfId="45193"/>
    <cellStyle name="标题 2 3 2 4 2 2" xfId="45194"/>
    <cellStyle name="标题 2 3 2 4 2 2 2" xfId="45195"/>
    <cellStyle name="标题 2 3 2 4 3" xfId="45196"/>
    <cellStyle name="标题 2 3 2 4 3 2" xfId="45197"/>
    <cellStyle name="标题 2 3 2 5" xfId="45198"/>
    <cellStyle name="标题 2 3 2 6" xfId="45199"/>
    <cellStyle name="标题 2 3 2 7" xfId="45200"/>
    <cellStyle name="标题 2 3 3" xfId="45201"/>
    <cellStyle name="标题 2 3 3 2" xfId="45202"/>
    <cellStyle name="标题 2 3 3 2 2" xfId="45203"/>
    <cellStyle name="标题 2 3 3 2 3" xfId="45204"/>
    <cellStyle name="标题 2 3 3 2 3 2" xfId="45205"/>
    <cellStyle name="标题 2 3 3 2 3 2 2" xfId="45206"/>
    <cellStyle name="标题 2 3 3 2 4" xfId="45207"/>
    <cellStyle name="标题 2 3 3 2 4 2" xfId="45208"/>
    <cellStyle name="标题 2 3 3 3" xfId="45209"/>
    <cellStyle name="标题 2 3 3 3 2" xfId="45210"/>
    <cellStyle name="标题 2 3 3 3 2 2" xfId="45211"/>
    <cellStyle name="标题 2 3 3 3 2 2 2" xfId="45212"/>
    <cellStyle name="标题 2 3 3 3 3" xfId="45213"/>
    <cellStyle name="标题 2 3 3 3 3 2" xfId="45214"/>
    <cellStyle name="标题 2 3 3 4" xfId="45215"/>
    <cellStyle name="标题 2 3 3 5" xfId="45216"/>
    <cellStyle name="标题 2 3 3 6" xfId="45217"/>
    <cellStyle name="标题 2 3 4" xfId="45218"/>
    <cellStyle name="标题 2 3 4 2" xfId="45219"/>
    <cellStyle name="标题 2 3 4 2 2" xfId="45220"/>
    <cellStyle name="标题 2 3 4 2 3" xfId="45221"/>
    <cellStyle name="标题 2 3 4 2 3 2" xfId="45222"/>
    <cellStyle name="标题 2 3 4 2 3 2 2" xfId="45223"/>
    <cellStyle name="标题 2 3 4 2 4" xfId="45224"/>
    <cellStyle name="标题 2 3 4 2 4 2" xfId="45225"/>
    <cellStyle name="标题 2 3 4 3" xfId="45226"/>
    <cellStyle name="标题 2 3 4 4" xfId="45227"/>
    <cellStyle name="标题 2 3 4 5" xfId="45228"/>
    <cellStyle name="标题 2 3 4 6" xfId="45229"/>
    <cellStyle name="标题 2 3 5" xfId="45230"/>
    <cellStyle name="标题 2 3 5 2" xfId="45231"/>
    <cellStyle name="标题 2 3 5 2 2" xfId="45232"/>
    <cellStyle name="标题 2 3 5 2 2 2" xfId="45233"/>
    <cellStyle name="标题 2 3 5 2 2 2 2" xfId="45234"/>
    <cellStyle name="标题 2 3 5 2 3" xfId="45235"/>
    <cellStyle name="标题 2 3 5 2 3 2" xfId="45236"/>
    <cellStyle name="标题 2 3 5 3" xfId="45237"/>
    <cellStyle name="标题 2 3 5 3 2" xfId="45238"/>
    <cellStyle name="标题 2 3 5 3 2 2" xfId="45239"/>
    <cellStyle name="标题 2 3 5 4" xfId="45240"/>
    <cellStyle name="标题 2 3 5 4 2" xfId="45241"/>
    <cellStyle name="标题 2 3 6" xfId="45242"/>
    <cellStyle name="标题 2 3 6 2" xfId="45243"/>
    <cellStyle name="标题 2 3 6 2 2" xfId="45244"/>
    <cellStyle name="标题 2 3 6 2 2 2" xfId="45245"/>
    <cellStyle name="标题 2 3 6 3" xfId="45246"/>
    <cellStyle name="标题 2 3 6 3 2" xfId="45247"/>
    <cellStyle name="标题 2 3 7" xfId="45248"/>
    <cellStyle name="标题 2 3 8" xfId="45249"/>
    <cellStyle name="标题 3 2" xfId="45250"/>
    <cellStyle name="标题 3 2 10" xfId="45251"/>
    <cellStyle name="标题 3 2 11" xfId="45252"/>
    <cellStyle name="标题 3 2 2" xfId="45253"/>
    <cellStyle name="标题 3 2 2 10" xfId="45254"/>
    <cellStyle name="标题 3 2 2 11" xfId="45255"/>
    <cellStyle name="标题 3 2 2 2" xfId="45256"/>
    <cellStyle name="标题 3 2 2 2 2" xfId="45257"/>
    <cellStyle name="标题 3 2 2 2 2 2" xfId="45258"/>
    <cellStyle name="标题 3 2 2 2 2 2 2" xfId="45259"/>
    <cellStyle name="标题 3 2 2 2 2 2 3" xfId="45260"/>
    <cellStyle name="标题 3 2 2 2 2 2 3 2" xfId="45261"/>
    <cellStyle name="标题 3 2 2 2 2 2 3 2 2" xfId="45262"/>
    <cellStyle name="标题 3 2 2 2 2 2 4" xfId="45263"/>
    <cellStyle name="标题 3 2 2 2 2 2 4 2" xfId="45264"/>
    <cellStyle name="标题 3 2 2 2 2 3" xfId="45265"/>
    <cellStyle name="标题 3 2 2 2 2 3 2" xfId="45266"/>
    <cellStyle name="标题 3 2 2 2 2 3 2 2" xfId="45267"/>
    <cellStyle name="标题 3 2 2 2 2 3 2 2 2" xfId="45268"/>
    <cellStyle name="标题 3 2 2 2 2 3 3" xfId="45269"/>
    <cellStyle name="标题 3 2 2 2 2 3 3 2" xfId="45270"/>
    <cellStyle name="标题 3 2 2 2 2 4" xfId="45271"/>
    <cellStyle name="标题 3 2 2 2 2 5" xfId="45272"/>
    <cellStyle name="标题 3 2 2 2 2 6" xfId="45273"/>
    <cellStyle name="标题 3 2 2 2 3" xfId="45274"/>
    <cellStyle name="标题 3 2 2 2 3 2" xfId="45275"/>
    <cellStyle name="标题 3 2 2 2 3 3" xfId="45276"/>
    <cellStyle name="标题 3 2 2 2 3 3 2" xfId="45277"/>
    <cellStyle name="标题 3 2 2 2 3 3 2 2" xfId="45278"/>
    <cellStyle name="标题 3 2 2 2 3 4" xfId="45279"/>
    <cellStyle name="标题 3 2 2 2 3 4 2" xfId="45280"/>
    <cellStyle name="标题 3 2 2 2 4" xfId="45281"/>
    <cellStyle name="标题 3 2 2 2 4 2" xfId="45282"/>
    <cellStyle name="标题 3 2 2 2 4 2 2" xfId="45283"/>
    <cellStyle name="标题 3 2 2 2 4 2 2 2" xfId="45284"/>
    <cellStyle name="标题 3 2 2 2 4 3" xfId="45285"/>
    <cellStyle name="标题 3 2 2 2 4 3 2" xfId="45286"/>
    <cellStyle name="标题 3 2 2 2 5" xfId="45287"/>
    <cellStyle name="标题 3 2 2 2 6" xfId="45288"/>
    <cellStyle name="标题 3 2 2 2 7" xfId="45289"/>
    <cellStyle name="标题 3 2 2 3" xfId="45290"/>
    <cellStyle name="标题 3 2 2 3 2" xfId="45291"/>
    <cellStyle name="标题 3 2 2 3 2 2" xfId="45292"/>
    <cellStyle name="标题 3 2 2 3 2 3" xfId="45293"/>
    <cellStyle name="标题 3 2 2 3 2 3 2" xfId="45294"/>
    <cellStyle name="标题 3 2 2 3 2 3 2 2" xfId="45295"/>
    <cellStyle name="标题 3 2 2 3 2 4" xfId="45296"/>
    <cellStyle name="标题 3 2 2 3 2 4 2" xfId="45297"/>
    <cellStyle name="标题 3 2 2 3 3" xfId="45298"/>
    <cellStyle name="标题 3 2 2 3 3 2" xfId="45299"/>
    <cellStyle name="标题 3 2 2 3 3 2 2" xfId="45300"/>
    <cellStyle name="标题 3 2 2 3 3 2 2 2" xfId="45301"/>
    <cellStyle name="标题 3 2 2 3 3 3" xfId="45302"/>
    <cellStyle name="标题 3 2 2 3 3 3 2" xfId="45303"/>
    <cellStyle name="标题 3 2 2 3 4" xfId="45304"/>
    <cellStyle name="标题 3 2 2 3 5" xfId="45305"/>
    <cellStyle name="标题 3 2 2 3 6" xfId="45306"/>
    <cellStyle name="标题 3 2 2 4" xfId="45307"/>
    <cellStyle name="标题 3 2 2 4 2" xfId="45308"/>
    <cellStyle name="标题 3 2 2 4 2 2" xfId="45309"/>
    <cellStyle name="标题 3 2 2 4 2 3" xfId="45310"/>
    <cellStyle name="标题 3 2 2 4 2 3 2" xfId="45311"/>
    <cellStyle name="标题 3 2 2 4 2 3 2 2" xfId="45312"/>
    <cellStyle name="标题 3 2 2 4 2 4" xfId="45313"/>
    <cellStyle name="标题 3 2 2 4 2 4 2" xfId="45314"/>
    <cellStyle name="标题 3 2 2 4 3" xfId="45315"/>
    <cellStyle name="标题 3 2 2 4 4" xfId="45316"/>
    <cellStyle name="标题 3 2 2 4 5" xfId="45317"/>
    <cellStyle name="标题 3 2 2 4 6" xfId="45318"/>
    <cellStyle name="标题 3 2 2 5" xfId="45319"/>
    <cellStyle name="标题 3 2 2 5 2" xfId="45320"/>
    <cellStyle name="标题 3 2 2 5 2 2" xfId="45321"/>
    <cellStyle name="标题 3 2 2 5 2 2 2" xfId="45322"/>
    <cellStyle name="标题 3 2 2 5 2 2 2 2" xfId="45323"/>
    <cellStyle name="标题 3 2 2 5 2 3" xfId="45324"/>
    <cellStyle name="标题 3 2 2 5 2 3 2" xfId="45325"/>
    <cellStyle name="标题 3 2 2 5 3" xfId="45326"/>
    <cellStyle name="标题 3 2 2 5 3 2" xfId="45327"/>
    <cellStyle name="标题 3 2 2 5 3 2 2" xfId="45328"/>
    <cellStyle name="标题 3 2 2 5 4" xfId="45329"/>
    <cellStyle name="标题 3 2 2 5 4 2" xfId="45330"/>
    <cellStyle name="标题 3 2 2 6" xfId="45331"/>
    <cellStyle name="标题 3 2 2 6 2" xfId="45332"/>
    <cellStyle name="标题 3 2 2 6 2 2" xfId="45333"/>
    <cellStyle name="标题 3 2 2 6 2 2 2" xfId="45334"/>
    <cellStyle name="标题 3 2 2 6 2 2 2 2" xfId="45335"/>
    <cellStyle name="标题 3 2 2 6 2 3" xfId="45336"/>
    <cellStyle name="标题 3 2 2 6 2 3 2" xfId="45337"/>
    <cellStyle name="标题 3 2 2 6 3" xfId="45338"/>
    <cellStyle name="标题 3 2 2 6 3 2" xfId="45339"/>
    <cellStyle name="标题 3 2 2 6 3 2 2" xfId="45340"/>
    <cellStyle name="标题 3 2 2 6 4" xfId="45341"/>
    <cellStyle name="标题 3 2 2 6 4 2" xfId="45342"/>
    <cellStyle name="标题 3 2 2 7" xfId="45343"/>
    <cellStyle name="标题 3 2 2 7 2" xfId="45344"/>
    <cellStyle name="标题 3 2 2 7 2 2" xfId="45345"/>
    <cellStyle name="标题 3 2 2 7 2 2 2" xfId="45346"/>
    <cellStyle name="标题 3 2 2 7 2 2 2 2" xfId="45347"/>
    <cellStyle name="标题 3 2 2 7 2 3" xfId="45348"/>
    <cellStyle name="标题 3 2 2 7 2 3 2" xfId="45349"/>
    <cellStyle name="标题 3 2 2 7 3" xfId="45350"/>
    <cellStyle name="标题 3 2 2 7 3 2" xfId="45351"/>
    <cellStyle name="标题 3 2 2 7 3 2 2" xfId="45352"/>
    <cellStyle name="标题 3 2 2 7 4" xfId="45353"/>
    <cellStyle name="标题 3 2 2 7 4 2" xfId="45354"/>
    <cellStyle name="标题 3 2 2 8" xfId="45355"/>
    <cellStyle name="标题 3 2 2 8 2" xfId="45356"/>
    <cellStyle name="标题 3 2 2 8 2 2" xfId="45357"/>
    <cellStyle name="标题 3 2 2 8 2 2 2" xfId="45358"/>
    <cellStyle name="标题 3 2 2 8 3" xfId="45359"/>
    <cellStyle name="标题 3 2 2 8 3 2" xfId="45360"/>
    <cellStyle name="标题 3 2 2 9" xfId="45361"/>
    <cellStyle name="标题 3 2 2 9 2" xfId="45362"/>
    <cellStyle name="标题 3 2 2 9 2 2" xfId="45363"/>
    <cellStyle name="标题 3 2 2 9 2 2 2" xfId="45364"/>
    <cellStyle name="标题 3 2 2 9 3" xfId="45365"/>
    <cellStyle name="标题 3 2 2 9 3 2" xfId="45366"/>
    <cellStyle name="标题 3 2 3" xfId="45367"/>
    <cellStyle name="标题 3 2 3 2" xfId="45368"/>
    <cellStyle name="标题 3 2 3 2 2" xfId="45369"/>
    <cellStyle name="标题 3 2 3 2 2 2" xfId="45370"/>
    <cellStyle name="标题 3 2 3 2 2 2 2" xfId="45371"/>
    <cellStyle name="标题 3 2 3 2 2 2 3" xfId="45372"/>
    <cellStyle name="标题 3 2 3 2 2 2 3 2" xfId="45373"/>
    <cellStyle name="标题 3 2 3 2 2 2 3 2 2" xfId="45374"/>
    <cellStyle name="标题 3 2 3 2 2 2 4" xfId="45375"/>
    <cellStyle name="标题 3 2 3 2 2 2 4 2" xfId="45376"/>
    <cellStyle name="标题 3 2 3 2 2 3" xfId="45377"/>
    <cellStyle name="标题 3 2 3 2 2 3 2" xfId="45378"/>
    <cellStyle name="标题 3 2 3 2 2 3 2 2" xfId="45379"/>
    <cellStyle name="标题 3 2 3 2 2 3 2 2 2" xfId="45380"/>
    <cellStyle name="标题 3 2 3 2 2 3 3" xfId="45381"/>
    <cellStyle name="标题 3 2 3 2 2 3 3 2" xfId="45382"/>
    <cellStyle name="标题 3 2 3 2 2 4" xfId="45383"/>
    <cellStyle name="标题 3 2 3 2 2 5" xfId="45384"/>
    <cellStyle name="标题 3 2 3 2 2 6" xfId="45385"/>
    <cellStyle name="标题 3 2 3 2 3" xfId="45386"/>
    <cellStyle name="标题 3 2 3 2 3 2" xfId="45387"/>
    <cellStyle name="标题 3 2 3 2 3 3" xfId="45388"/>
    <cellStyle name="标题 3 2 3 2 3 3 2" xfId="45389"/>
    <cellStyle name="标题 3 2 3 2 3 3 2 2" xfId="45390"/>
    <cellStyle name="标题 3 2 3 2 3 4" xfId="45391"/>
    <cellStyle name="标题 3 2 3 2 3 4 2" xfId="45392"/>
    <cellStyle name="标题 3 2 3 2 4" xfId="45393"/>
    <cellStyle name="标题 3 2 3 2 4 2" xfId="45394"/>
    <cellStyle name="标题 3 2 3 2 4 2 2" xfId="45395"/>
    <cellStyle name="标题 3 2 3 2 4 2 2 2" xfId="45396"/>
    <cellStyle name="标题 3 2 3 2 4 3" xfId="45397"/>
    <cellStyle name="标题 3 2 3 2 4 3 2" xfId="45398"/>
    <cellStyle name="标题 3 2 3 2 5" xfId="45399"/>
    <cellStyle name="标题 3 2 3 2 6" xfId="45400"/>
    <cellStyle name="标题 3 2 3 2 7" xfId="45401"/>
    <cellStyle name="标题 3 2 3 3" xfId="45402"/>
    <cellStyle name="标题 3 2 3 3 2" xfId="45403"/>
    <cellStyle name="标题 3 2 3 3 2 2" xfId="45404"/>
    <cellStyle name="标题 3 2 3 3 2 3" xfId="45405"/>
    <cellStyle name="标题 3 2 3 3 2 3 2" xfId="45406"/>
    <cellStyle name="标题 3 2 3 3 2 3 2 2" xfId="45407"/>
    <cellStyle name="标题 3 2 3 3 2 4" xfId="45408"/>
    <cellStyle name="标题 3 2 3 3 2 4 2" xfId="45409"/>
    <cellStyle name="标题 3 2 3 3 3" xfId="45410"/>
    <cellStyle name="标题 3 2 3 3 3 2" xfId="45411"/>
    <cellStyle name="标题 3 2 3 3 3 2 2" xfId="45412"/>
    <cellStyle name="标题 3 2 3 3 3 2 2 2" xfId="45413"/>
    <cellStyle name="标题 3 2 3 3 3 3" xfId="45414"/>
    <cellStyle name="标题 3 2 3 3 3 3 2" xfId="45415"/>
    <cellStyle name="标题 3 2 3 3 4" xfId="45416"/>
    <cellStyle name="标题 3 2 3 3 5" xfId="45417"/>
    <cellStyle name="标题 3 2 3 3 6" xfId="45418"/>
    <cellStyle name="标题 3 2 3 4" xfId="45419"/>
    <cellStyle name="标题 3 2 3 4 2" xfId="45420"/>
    <cellStyle name="标题 3 2 3 4 2 2" xfId="45421"/>
    <cellStyle name="标题 3 2 3 4 2 3" xfId="45422"/>
    <cellStyle name="标题 3 2 3 4 2 3 2" xfId="45423"/>
    <cellStyle name="标题 3 2 3 4 2 3 2 2" xfId="45424"/>
    <cellStyle name="标题 3 2 3 4 2 4" xfId="45425"/>
    <cellStyle name="标题 3 2 3 4 2 4 2" xfId="45426"/>
    <cellStyle name="标题 3 2 3 4 3" xfId="45427"/>
    <cellStyle name="标题 3 2 3 4 4" xfId="45428"/>
    <cellStyle name="标题 3 2 3 4 5" xfId="45429"/>
    <cellStyle name="标题 3 2 3 4 6" xfId="45430"/>
    <cellStyle name="标题 3 2 3 5" xfId="45431"/>
    <cellStyle name="标题 3 2 3 5 2" xfId="45432"/>
    <cellStyle name="标题 3 2 3 5 2 2" xfId="45433"/>
    <cellStyle name="标题 3 2 3 5 2 2 2" xfId="45434"/>
    <cellStyle name="标题 3 2 3 5 2 2 2 2" xfId="45435"/>
    <cellStyle name="标题 3 2 3 5 2 3" xfId="45436"/>
    <cellStyle name="标题 3 2 3 5 2 3 2" xfId="45437"/>
    <cellStyle name="标题 3 2 3 5 3" xfId="45438"/>
    <cellStyle name="标题 3 2 3 5 3 2" xfId="45439"/>
    <cellStyle name="标题 3 2 3 5 3 2 2" xfId="45440"/>
    <cellStyle name="标题 3 2 3 5 4" xfId="45441"/>
    <cellStyle name="标题 3 2 3 5 4 2" xfId="45442"/>
    <cellStyle name="标题 3 2 3 6" xfId="45443"/>
    <cellStyle name="标题 3 2 3 6 2" xfId="45444"/>
    <cellStyle name="标题 3 2 3 6 2 2" xfId="45445"/>
    <cellStyle name="标题 3 2 3 6 2 2 2" xfId="45446"/>
    <cellStyle name="标题 3 2 3 6 3" xfId="45447"/>
    <cellStyle name="标题 3 2 3 6 3 2" xfId="45448"/>
    <cellStyle name="标题 3 2 3 7" xfId="45449"/>
    <cellStyle name="标题 3 2 3 7 2" xfId="45450"/>
    <cellStyle name="标题 3 2 3 7 2 2" xfId="45451"/>
    <cellStyle name="标题 3 2 3 7 2 2 2" xfId="45452"/>
    <cellStyle name="标题 3 2 3 7 3" xfId="45453"/>
    <cellStyle name="标题 3 2 3 7 3 2" xfId="45454"/>
    <cellStyle name="标题 3 2 3 8" xfId="45455"/>
    <cellStyle name="标题 3 2 3 9" xfId="45456"/>
    <cellStyle name="标题 3 2 4" xfId="45457"/>
    <cellStyle name="标题 3 2 4 2" xfId="45458"/>
    <cellStyle name="标题 3 2 4 2 2" xfId="45459"/>
    <cellStyle name="标题 3 2 4 2 3" xfId="45460"/>
    <cellStyle name="标题 3 2 4 2 3 2" xfId="45461"/>
    <cellStyle name="标题 3 2 4 2 3 2 2" xfId="45462"/>
    <cellStyle name="标题 3 2 4 2 4" xfId="45463"/>
    <cellStyle name="标题 3 2 4 2 4 2" xfId="45464"/>
    <cellStyle name="标题 3 2 4 3" xfId="45465"/>
    <cellStyle name="标题 3 2 4 3 2" xfId="45466"/>
    <cellStyle name="标题 3 2 4 3 2 2" xfId="45467"/>
    <cellStyle name="标题 3 2 4 3 2 2 2" xfId="45468"/>
    <cellStyle name="标题 3 2 4 3 3" xfId="45469"/>
    <cellStyle name="标题 3 2 4 3 3 2" xfId="45470"/>
    <cellStyle name="标题 3 2 4 4" xfId="45471"/>
    <cellStyle name="标题 3 2 4 5" xfId="45472"/>
    <cellStyle name="标题 3 2 4 6" xfId="45473"/>
    <cellStyle name="标题 3 2 5" xfId="45474"/>
    <cellStyle name="标题 3 2 5 2" xfId="45475"/>
    <cellStyle name="标题 3 2 5 2 2" xfId="45476"/>
    <cellStyle name="标题 3 2 5 2 3" xfId="45477"/>
    <cellStyle name="标题 3 2 5 2 3 2" xfId="45478"/>
    <cellStyle name="标题 3 2 5 2 3 2 2" xfId="45479"/>
    <cellStyle name="标题 3 2 5 2 4" xfId="45480"/>
    <cellStyle name="标题 3 2 5 2 4 2" xfId="45481"/>
    <cellStyle name="标题 3 2 5 3" xfId="45482"/>
    <cellStyle name="标题 3 2 5 4" xfId="45483"/>
    <cellStyle name="标题 3 2 5 5" xfId="45484"/>
    <cellStyle name="标题 3 2 5 6" xfId="45485"/>
    <cellStyle name="标题 3 2 6" xfId="45486"/>
    <cellStyle name="标题 3 2 6 2" xfId="45487"/>
    <cellStyle name="标题 3 2 6 2 2" xfId="45488"/>
    <cellStyle name="标题 3 2 6 2 2 2" xfId="45489"/>
    <cellStyle name="标题 3 2 6 2 2 2 2" xfId="45490"/>
    <cellStyle name="标题 3 2 6 2 3" xfId="45491"/>
    <cellStyle name="标题 3 2 6 2 3 2" xfId="45492"/>
    <cellStyle name="标题 3 2 6 3" xfId="45493"/>
    <cellStyle name="标题 3 2 6 3 2" xfId="45494"/>
    <cellStyle name="标题 3 2 6 3 2 2" xfId="45495"/>
    <cellStyle name="标题 3 2 6 4" xfId="45496"/>
    <cellStyle name="标题 3 2 6 4 2" xfId="45497"/>
    <cellStyle name="标题 3 2 7" xfId="45498"/>
    <cellStyle name="标题 3 2 7 2" xfId="45499"/>
    <cellStyle name="标题 3 2 7 2 2" xfId="45500"/>
    <cellStyle name="标题 3 2 7 2 2 2" xfId="45501"/>
    <cellStyle name="标题 3 2 7 2 2 2 2" xfId="45502"/>
    <cellStyle name="标题 3 2 7 2 3" xfId="45503"/>
    <cellStyle name="标题 3 2 7 2 3 2" xfId="45504"/>
    <cellStyle name="标题 3 2 7 3" xfId="45505"/>
    <cellStyle name="标题 3 2 7 3 2" xfId="45506"/>
    <cellStyle name="标题 3 2 7 3 2 2" xfId="45507"/>
    <cellStyle name="标题 3 2 7 4" xfId="45508"/>
    <cellStyle name="标题 3 2 7 4 2" xfId="45509"/>
    <cellStyle name="标题 3 2 8" xfId="45510"/>
    <cellStyle name="标题 3 2 8 2" xfId="45511"/>
    <cellStyle name="标题 3 2 8 2 2" xfId="45512"/>
    <cellStyle name="标题 3 2 8 2 2 2" xfId="45513"/>
    <cellStyle name="标题 3 2 8 2 2 2 2" xfId="45514"/>
    <cellStyle name="标题 3 2 8 2 3" xfId="45515"/>
    <cellStyle name="标题 3 2 8 2 3 2" xfId="45516"/>
    <cellStyle name="标题 3 2 8 3" xfId="45517"/>
    <cellStyle name="标题 3 2 8 3 2" xfId="45518"/>
    <cellStyle name="标题 3 2 8 3 2 2" xfId="45519"/>
    <cellStyle name="标题 3 2 8 4" xfId="45520"/>
    <cellStyle name="标题 3 2 8 4 2" xfId="45521"/>
    <cellStyle name="标题 3 2 9" xfId="45522"/>
    <cellStyle name="标题 3 2 9 2" xfId="45523"/>
    <cellStyle name="标题 3 2 9 2 2" xfId="45524"/>
    <cellStyle name="标题 3 2 9 2 2 2" xfId="45525"/>
    <cellStyle name="标题 3 2 9 3" xfId="45526"/>
    <cellStyle name="标题 3 2 9 3 2" xfId="45527"/>
    <cellStyle name="标题 3 3" xfId="45528"/>
    <cellStyle name="标题 3 3 2" xfId="45529"/>
    <cellStyle name="标题 3 3 2 2" xfId="45530"/>
    <cellStyle name="标题 3 3 2 2 2" xfId="45531"/>
    <cellStyle name="标题 3 3 2 2 2 2" xfId="45532"/>
    <cellStyle name="标题 3 3 2 2 2 3" xfId="45533"/>
    <cellStyle name="标题 3 3 2 2 2 3 2" xfId="45534"/>
    <cellStyle name="标题 3 3 2 2 2 3 2 2" xfId="45535"/>
    <cellStyle name="标题 3 3 2 2 2 4" xfId="45536"/>
    <cellStyle name="标题 3 3 2 2 2 4 2" xfId="45537"/>
    <cellStyle name="标题 3 3 2 2 3" xfId="45538"/>
    <cellStyle name="标题 3 3 2 2 3 2" xfId="45539"/>
    <cellStyle name="标题 3 3 2 2 3 2 2" xfId="45540"/>
    <cellStyle name="标题 3 3 2 2 3 2 2 2" xfId="45541"/>
    <cellStyle name="标题 3 3 2 2 3 3" xfId="45542"/>
    <cellStyle name="标题 3 3 2 2 3 3 2" xfId="45543"/>
    <cellStyle name="标题 3 3 2 2 4" xfId="45544"/>
    <cellStyle name="标题 3 3 2 2 5" xfId="45545"/>
    <cellStyle name="标题 3 3 2 2 6" xfId="45546"/>
    <cellStyle name="标题 3 3 2 3" xfId="45547"/>
    <cellStyle name="标题 3 3 2 3 2" xfId="45548"/>
    <cellStyle name="标题 3 3 2 3 3" xfId="45549"/>
    <cellStyle name="标题 3 3 2 3 3 2" xfId="45550"/>
    <cellStyle name="标题 3 3 2 3 3 2 2" xfId="45551"/>
    <cellStyle name="标题 3 3 2 3 4" xfId="45552"/>
    <cellStyle name="标题 3 3 2 3 4 2" xfId="45553"/>
    <cellStyle name="标题 3 3 2 4" xfId="45554"/>
    <cellStyle name="标题 3 3 2 4 2" xfId="45555"/>
    <cellStyle name="标题 3 3 2 4 2 2" xfId="45556"/>
    <cellStyle name="标题 3 3 2 4 2 2 2" xfId="45557"/>
    <cellStyle name="标题 3 3 2 4 3" xfId="45558"/>
    <cellStyle name="标题 3 3 2 4 3 2" xfId="45559"/>
    <cellStyle name="标题 3 3 2 5" xfId="45560"/>
    <cellStyle name="标题 3 3 2 6" xfId="45561"/>
    <cellStyle name="标题 3 3 2 7" xfId="45562"/>
    <cellStyle name="标题 3 3 3" xfId="45563"/>
    <cellStyle name="标题 3 3 3 2" xfId="45564"/>
    <cellStyle name="标题 3 3 3 2 2" xfId="45565"/>
    <cellStyle name="标题 3 3 3 2 3" xfId="45566"/>
    <cellStyle name="标题 3 3 3 2 3 2" xfId="45567"/>
    <cellStyle name="标题 3 3 3 2 3 2 2" xfId="45568"/>
    <cellStyle name="标题 3 3 3 2 4" xfId="45569"/>
    <cellStyle name="标题 3 3 3 2 4 2" xfId="45570"/>
    <cellStyle name="标题 3 3 3 3" xfId="45571"/>
    <cellStyle name="标题 3 3 3 3 2" xfId="45572"/>
    <cellStyle name="标题 3 3 3 3 2 2" xfId="45573"/>
    <cellStyle name="标题 3 3 3 3 2 2 2" xfId="45574"/>
    <cellStyle name="标题 3 3 3 3 3" xfId="45575"/>
    <cellStyle name="标题 3 3 3 3 3 2" xfId="45576"/>
    <cellStyle name="标题 3 3 3 4" xfId="45577"/>
    <cellStyle name="标题 3 3 3 5" xfId="45578"/>
    <cellStyle name="标题 3 3 3 6" xfId="45579"/>
    <cellStyle name="标题 3 3 4" xfId="45580"/>
    <cellStyle name="标题 3 3 4 2" xfId="45581"/>
    <cellStyle name="标题 3 3 4 2 2" xfId="45582"/>
    <cellStyle name="标题 3 3 4 2 3" xfId="45583"/>
    <cellStyle name="标题 3 3 4 2 3 2" xfId="45584"/>
    <cellStyle name="标题 3 3 4 2 3 2 2" xfId="45585"/>
    <cellStyle name="标题 3 3 4 2 4" xfId="45586"/>
    <cellStyle name="标题 3 3 4 2 4 2" xfId="45587"/>
    <cellStyle name="标题 3 3 4 3" xfId="45588"/>
    <cellStyle name="标题 3 3 4 4" xfId="45589"/>
    <cellStyle name="标题 3 3 4 5" xfId="45590"/>
    <cellStyle name="标题 3 3 4 6" xfId="45591"/>
    <cellStyle name="标题 3 3 5" xfId="45592"/>
    <cellStyle name="标题 3 3 5 2" xfId="45593"/>
    <cellStyle name="标题 3 3 5 2 2" xfId="45594"/>
    <cellStyle name="标题 3 3 5 2 2 2" xfId="45595"/>
    <cellStyle name="标题 3 3 5 2 2 2 2" xfId="45596"/>
    <cellStyle name="标题 3 3 5 2 3" xfId="45597"/>
    <cellStyle name="标题 3 3 5 2 3 2" xfId="45598"/>
    <cellStyle name="标题 3 3 5 3" xfId="45599"/>
    <cellStyle name="标题 3 3 5 3 2" xfId="45600"/>
    <cellStyle name="标题 3 3 5 3 2 2" xfId="45601"/>
    <cellStyle name="标题 3 3 5 4" xfId="45602"/>
    <cellStyle name="标题 3 3 5 4 2" xfId="45603"/>
    <cellStyle name="标题 3 3 6" xfId="45604"/>
    <cellStyle name="标题 3 3 6 2" xfId="45605"/>
    <cellStyle name="标题 3 3 6 2 2" xfId="45606"/>
    <cellStyle name="标题 3 3 6 2 2 2" xfId="45607"/>
    <cellStyle name="标题 3 3 6 3" xfId="45608"/>
    <cellStyle name="标题 3 3 6 3 2" xfId="45609"/>
    <cellStyle name="标题 3 3 7" xfId="45610"/>
    <cellStyle name="标题 3 3 8" xfId="45611"/>
    <cellStyle name="标题 4 2" xfId="45612"/>
    <cellStyle name="标题 4 2 10" xfId="45613"/>
    <cellStyle name="标题 4 2 11" xfId="45614"/>
    <cellStyle name="标题 4 2 2" xfId="45615"/>
    <cellStyle name="标题 4 2 2 10" xfId="45616"/>
    <cellStyle name="标题 4 2 2 11" xfId="45617"/>
    <cellStyle name="标题 4 2 2 2" xfId="45618"/>
    <cellStyle name="标题 4 2 2 2 2" xfId="45619"/>
    <cellStyle name="标题 4 2 2 2 2 2" xfId="45620"/>
    <cellStyle name="标题 4 2 2 2 2 2 2" xfId="45621"/>
    <cellStyle name="标题 4 2 2 2 2 2 3" xfId="45622"/>
    <cellStyle name="标题 4 2 2 2 2 2 3 2" xfId="45623"/>
    <cellStyle name="标题 4 2 2 2 2 2 3 2 2" xfId="45624"/>
    <cellStyle name="标题 4 2 2 2 2 2 4" xfId="45625"/>
    <cellStyle name="标题 4 2 2 2 2 2 4 2" xfId="45626"/>
    <cellStyle name="标题 4 2 2 2 2 3" xfId="45627"/>
    <cellStyle name="标题 4 2 2 2 2 3 2" xfId="45628"/>
    <cellStyle name="标题 4 2 2 2 2 3 2 2" xfId="45629"/>
    <cellStyle name="标题 4 2 2 2 2 3 2 2 2" xfId="45630"/>
    <cellStyle name="标题 4 2 2 2 2 3 3" xfId="45631"/>
    <cellStyle name="标题 4 2 2 2 2 3 3 2" xfId="45632"/>
    <cellStyle name="标题 4 2 2 2 2 4" xfId="45633"/>
    <cellStyle name="标题 4 2 2 2 2 5" xfId="45634"/>
    <cellStyle name="标题 4 2 2 2 2 6" xfId="45635"/>
    <cellStyle name="标题 4 2 2 2 3" xfId="45636"/>
    <cellStyle name="标题 4 2 2 2 3 2" xfId="45637"/>
    <cellStyle name="标题 4 2 2 2 3 3" xfId="45638"/>
    <cellStyle name="标题 4 2 2 2 3 3 2" xfId="45639"/>
    <cellStyle name="标题 4 2 2 2 3 3 2 2" xfId="45640"/>
    <cellStyle name="标题 4 2 2 2 3 4" xfId="45641"/>
    <cellStyle name="标题 4 2 2 2 3 4 2" xfId="45642"/>
    <cellStyle name="标题 4 2 2 2 4" xfId="45643"/>
    <cellStyle name="标题 4 2 2 2 4 2" xfId="45644"/>
    <cellStyle name="标题 4 2 2 2 4 2 2" xfId="45645"/>
    <cellStyle name="标题 4 2 2 2 4 2 2 2" xfId="45646"/>
    <cellStyle name="标题 4 2 2 2 4 3" xfId="45647"/>
    <cellStyle name="标题 4 2 2 2 4 3 2" xfId="45648"/>
    <cellStyle name="标题 4 2 2 2 5" xfId="45649"/>
    <cellStyle name="标题 4 2 2 2 6" xfId="45650"/>
    <cellStyle name="标题 4 2 2 2 7" xfId="45651"/>
    <cellStyle name="标题 4 2 2 3" xfId="45652"/>
    <cellStyle name="标题 4 2 2 3 2" xfId="45653"/>
    <cellStyle name="标题 4 2 2 3 2 2" xfId="45654"/>
    <cellStyle name="标题 4 2 2 3 2 3" xfId="45655"/>
    <cellStyle name="标题 4 2 2 3 2 3 2" xfId="45656"/>
    <cellStyle name="标题 4 2 2 3 2 3 2 2" xfId="45657"/>
    <cellStyle name="标题 4 2 2 3 2 4" xfId="45658"/>
    <cellStyle name="标题 4 2 2 3 2 4 2" xfId="45659"/>
    <cellStyle name="标题 4 2 2 3 3" xfId="45660"/>
    <cellStyle name="标题 4 2 2 3 3 2" xfId="45661"/>
    <cellStyle name="标题 4 2 2 3 3 2 2" xfId="45662"/>
    <cellStyle name="标题 4 2 2 3 3 2 2 2" xfId="45663"/>
    <cellStyle name="标题 4 2 2 3 3 3" xfId="45664"/>
    <cellStyle name="标题 4 2 2 3 3 3 2" xfId="45665"/>
    <cellStyle name="标题 4 2 2 3 4" xfId="45666"/>
    <cellStyle name="标题 4 2 2 3 5" xfId="45667"/>
    <cellStyle name="标题 4 2 2 3 6" xfId="45668"/>
    <cellStyle name="标题 4 2 2 4" xfId="45669"/>
    <cellStyle name="标题 4 2 2 4 2" xfId="45670"/>
    <cellStyle name="标题 4 2 2 4 2 2" xfId="45671"/>
    <cellStyle name="标题 4 2 2 4 2 3" xfId="45672"/>
    <cellStyle name="标题 4 2 2 4 2 3 2" xfId="45673"/>
    <cellStyle name="标题 4 2 2 4 2 3 2 2" xfId="45674"/>
    <cellStyle name="标题 4 2 2 4 2 4" xfId="45675"/>
    <cellStyle name="标题 4 2 2 4 2 4 2" xfId="45676"/>
    <cellStyle name="标题 4 2 2 4 3" xfId="45677"/>
    <cellStyle name="标题 4 2 2 4 4" xfId="45678"/>
    <cellStyle name="标题 4 2 2 4 5" xfId="45679"/>
    <cellStyle name="标题 4 2 2 4 6" xfId="45680"/>
    <cellStyle name="标题 4 2 2 5" xfId="45681"/>
    <cellStyle name="标题 4 2 2 5 2" xfId="45682"/>
    <cellStyle name="标题 4 2 2 5 2 2" xfId="45683"/>
    <cellStyle name="标题 4 2 2 5 2 2 2" xfId="45684"/>
    <cellStyle name="标题 4 2 2 5 2 2 2 2" xfId="45685"/>
    <cellStyle name="标题 4 2 2 5 2 3" xfId="45686"/>
    <cellStyle name="标题 4 2 2 5 2 3 2" xfId="45687"/>
    <cellStyle name="标题 4 2 2 5 3" xfId="45688"/>
    <cellStyle name="标题 4 2 2 5 3 2" xfId="45689"/>
    <cellStyle name="标题 4 2 2 5 3 2 2" xfId="45690"/>
    <cellStyle name="标题 4 2 2 5 4" xfId="45691"/>
    <cellStyle name="标题 4 2 2 5 4 2" xfId="45692"/>
    <cellStyle name="标题 4 2 2 6" xfId="45693"/>
    <cellStyle name="标题 4 2 2 6 2" xfId="45694"/>
    <cellStyle name="标题 4 2 2 6 2 2" xfId="45695"/>
    <cellStyle name="标题 4 2 2 6 2 2 2" xfId="45696"/>
    <cellStyle name="标题 4 2 2 6 2 2 2 2" xfId="45697"/>
    <cellStyle name="标题 4 2 2 6 2 3" xfId="45698"/>
    <cellStyle name="标题 4 2 2 6 2 3 2" xfId="45699"/>
    <cellStyle name="标题 4 2 2 6 3" xfId="45700"/>
    <cellStyle name="标题 4 2 2 6 3 2" xfId="45701"/>
    <cellStyle name="标题 4 2 2 6 3 2 2" xfId="45702"/>
    <cellStyle name="标题 4 2 2 6 4" xfId="45703"/>
    <cellStyle name="标题 4 2 2 6 4 2" xfId="45704"/>
    <cellStyle name="标题 4 2 2 7" xfId="45705"/>
    <cellStyle name="标题 4 2 2 7 2" xfId="45706"/>
    <cellStyle name="标题 4 2 2 7 2 2" xfId="45707"/>
    <cellStyle name="标题 4 2 2 7 2 2 2" xfId="45708"/>
    <cellStyle name="标题 4 2 2 7 2 2 2 2" xfId="45709"/>
    <cellStyle name="标题 4 2 2 7 2 3" xfId="45710"/>
    <cellStyle name="标题 4 2 2 7 2 3 2" xfId="45711"/>
    <cellStyle name="标题 4 2 2 7 3" xfId="45712"/>
    <cellStyle name="标题 4 2 2 7 3 2" xfId="45713"/>
    <cellStyle name="标题 4 2 2 7 3 2 2" xfId="45714"/>
    <cellStyle name="标题 4 2 2 7 4" xfId="45715"/>
    <cellStyle name="标题 4 2 2 7 4 2" xfId="45716"/>
    <cellStyle name="标题 4 2 2 8" xfId="45717"/>
    <cellStyle name="标题 4 2 2 8 2" xfId="45718"/>
    <cellStyle name="标题 4 2 2 8 2 2" xfId="45719"/>
    <cellStyle name="标题 4 2 2 8 2 2 2" xfId="45720"/>
    <cellStyle name="标题 4 2 2 8 3" xfId="45721"/>
    <cellStyle name="标题 4 2 2 8 3 2" xfId="45722"/>
    <cellStyle name="标题 4 2 2 9" xfId="45723"/>
    <cellStyle name="标题 4 2 2 9 2" xfId="45724"/>
    <cellStyle name="标题 4 2 2 9 2 2" xfId="45725"/>
    <cellStyle name="标题 4 2 2 9 2 2 2" xfId="45726"/>
    <cellStyle name="标题 4 2 2 9 3" xfId="45727"/>
    <cellStyle name="标题 4 2 2 9 3 2" xfId="45728"/>
    <cellStyle name="标题 4 2 3" xfId="45729"/>
    <cellStyle name="标题 4 2 3 2" xfId="45730"/>
    <cellStyle name="标题 4 2 3 2 2" xfId="45731"/>
    <cellStyle name="标题 4 2 3 2 2 2" xfId="45732"/>
    <cellStyle name="标题 4 2 3 2 2 2 2" xfId="45733"/>
    <cellStyle name="标题 4 2 3 2 2 2 3" xfId="45734"/>
    <cellStyle name="标题 4 2 3 2 2 2 3 2" xfId="45735"/>
    <cellStyle name="标题 4 2 3 2 2 2 3 2 2" xfId="45736"/>
    <cellStyle name="标题 4 2 3 2 2 2 4" xfId="45737"/>
    <cellStyle name="标题 4 2 3 2 2 2 4 2" xfId="45738"/>
    <cellStyle name="标题 4 2 3 2 2 3" xfId="45739"/>
    <cellStyle name="标题 4 2 3 2 2 3 2" xfId="45740"/>
    <cellStyle name="标题 4 2 3 2 2 3 2 2" xfId="45741"/>
    <cellStyle name="标题 4 2 3 2 2 3 2 2 2" xfId="45742"/>
    <cellStyle name="标题 4 2 3 2 2 3 3" xfId="45743"/>
    <cellStyle name="标题 4 2 3 2 2 3 3 2" xfId="45744"/>
    <cellStyle name="标题 4 2 3 2 2 4" xfId="45745"/>
    <cellStyle name="标题 4 2 3 2 2 5" xfId="45746"/>
    <cellStyle name="标题 4 2 3 2 2 6" xfId="45747"/>
    <cellStyle name="标题 4 2 3 2 3" xfId="45748"/>
    <cellStyle name="标题 4 2 3 2 3 2" xfId="45749"/>
    <cellStyle name="标题 4 2 3 2 3 3" xfId="45750"/>
    <cellStyle name="标题 4 2 3 2 3 3 2" xfId="45751"/>
    <cellStyle name="标题 4 2 3 2 3 3 2 2" xfId="45752"/>
    <cellStyle name="标题 4 2 3 2 3 4" xfId="45753"/>
    <cellStyle name="标题 4 2 3 2 3 4 2" xfId="45754"/>
    <cellStyle name="标题 4 2 3 2 4" xfId="45755"/>
    <cellStyle name="标题 4 2 3 2 4 2" xfId="45756"/>
    <cellStyle name="标题 4 2 3 2 4 2 2" xfId="45757"/>
    <cellStyle name="标题 4 2 3 2 4 2 2 2" xfId="45758"/>
    <cellStyle name="标题 4 2 3 2 4 3" xfId="45759"/>
    <cellStyle name="标题 4 2 3 2 4 3 2" xfId="45760"/>
    <cellStyle name="标题 4 2 3 2 5" xfId="45761"/>
    <cellStyle name="标题 4 2 3 2 6" xfId="45762"/>
    <cellStyle name="标题 4 2 3 2 7" xfId="45763"/>
    <cellStyle name="标题 4 2 3 3" xfId="45764"/>
    <cellStyle name="标题 4 2 3 3 2" xfId="45765"/>
    <cellStyle name="标题 4 2 3 3 2 2" xfId="45766"/>
    <cellStyle name="标题 4 2 3 3 2 3" xfId="45767"/>
    <cellStyle name="标题 4 2 3 3 2 3 2" xfId="45768"/>
    <cellStyle name="标题 4 2 3 3 2 3 2 2" xfId="45769"/>
    <cellStyle name="标题 4 2 3 3 2 4" xfId="45770"/>
    <cellStyle name="标题 4 2 3 3 2 4 2" xfId="45771"/>
    <cellStyle name="标题 4 2 3 3 3" xfId="45772"/>
    <cellStyle name="标题 4 2 3 3 3 2" xfId="45773"/>
    <cellStyle name="标题 4 2 3 3 3 2 2" xfId="45774"/>
    <cellStyle name="标题 4 2 3 3 3 2 2 2" xfId="45775"/>
    <cellStyle name="标题 4 2 3 3 3 3" xfId="45776"/>
    <cellStyle name="标题 4 2 3 3 3 3 2" xfId="45777"/>
    <cellStyle name="标题 4 2 3 3 4" xfId="45778"/>
    <cellStyle name="标题 4 2 3 3 5" xfId="45779"/>
    <cellStyle name="标题 4 2 3 3 6" xfId="45780"/>
    <cellStyle name="标题 4 2 3 4" xfId="45781"/>
    <cellStyle name="标题 4 2 3 4 2" xfId="45782"/>
    <cellStyle name="标题 4 2 3 4 2 2" xfId="45783"/>
    <cellStyle name="标题 4 2 3 4 2 3" xfId="45784"/>
    <cellStyle name="标题 4 2 3 4 2 3 2" xfId="45785"/>
    <cellStyle name="标题 4 2 3 4 2 3 2 2" xfId="45786"/>
    <cellStyle name="标题 4 2 3 4 2 4" xfId="45787"/>
    <cellStyle name="标题 4 2 3 4 2 4 2" xfId="45788"/>
    <cellStyle name="标题 4 2 3 4 3" xfId="45789"/>
    <cellStyle name="标题 4 2 3 4 4" xfId="45790"/>
    <cellStyle name="标题 4 2 3 4 5" xfId="45791"/>
    <cellStyle name="标题 4 2 3 4 6" xfId="45792"/>
    <cellStyle name="标题 4 2 3 5" xfId="45793"/>
    <cellStyle name="标题 4 2 3 5 2" xfId="45794"/>
    <cellStyle name="标题 4 2 3 5 2 2" xfId="45795"/>
    <cellStyle name="标题 4 2 3 5 2 2 2" xfId="45796"/>
    <cellStyle name="标题 4 2 3 5 2 2 2 2" xfId="45797"/>
    <cellStyle name="标题 4 2 3 5 2 3" xfId="45798"/>
    <cellStyle name="标题 4 2 3 5 2 3 2" xfId="45799"/>
    <cellStyle name="标题 4 2 3 5 3" xfId="45800"/>
    <cellStyle name="标题 4 2 3 5 3 2" xfId="45801"/>
    <cellStyle name="标题 4 2 3 5 3 2 2" xfId="45802"/>
    <cellStyle name="标题 4 2 3 5 4" xfId="45803"/>
    <cellStyle name="标题 4 2 3 5 4 2" xfId="45804"/>
    <cellStyle name="标题 4 2 3 6" xfId="45805"/>
    <cellStyle name="标题 4 2 3 6 2" xfId="45806"/>
    <cellStyle name="标题 4 2 3 6 2 2" xfId="45807"/>
    <cellStyle name="标题 4 2 3 6 2 2 2" xfId="45808"/>
    <cellStyle name="标题 4 2 3 6 3" xfId="45809"/>
    <cellStyle name="标题 4 2 3 6 3 2" xfId="45810"/>
    <cellStyle name="标题 4 2 3 7" xfId="45811"/>
    <cellStyle name="标题 4 2 3 7 2" xfId="45812"/>
    <cellStyle name="标题 4 2 3 7 2 2" xfId="45813"/>
    <cellStyle name="标题 4 2 3 7 2 2 2" xfId="45814"/>
    <cellStyle name="标题 4 2 3 7 3" xfId="45815"/>
    <cellStyle name="标题 4 2 3 7 3 2" xfId="45816"/>
    <cellStyle name="标题 4 2 3 8" xfId="45817"/>
    <cellStyle name="标题 4 2 3 9" xfId="45818"/>
    <cellStyle name="标题 4 2 4" xfId="45819"/>
    <cellStyle name="标题 4 2 4 2" xfId="45820"/>
    <cellStyle name="标题 4 2 4 2 2" xfId="45821"/>
    <cellStyle name="标题 4 2 4 2 3" xfId="45822"/>
    <cellStyle name="标题 4 2 4 2 3 2" xfId="45823"/>
    <cellStyle name="标题 4 2 4 2 3 2 2" xfId="45824"/>
    <cellStyle name="标题 4 2 4 2 4" xfId="45825"/>
    <cellStyle name="标题 4 2 4 2 4 2" xfId="45826"/>
    <cellStyle name="标题 4 2 4 3" xfId="45827"/>
    <cellStyle name="标题 4 2 4 3 2" xfId="45828"/>
    <cellStyle name="标题 4 2 4 3 2 2" xfId="45829"/>
    <cellStyle name="标题 4 2 4 3 2 2 2" xfId="45830"/>
    <cellStyle name="标题 4 2 4 3 3" xfId="45831"/>
    <cellStyle name="标题 4 2 4 3 3 2" xfId="45832"/>
    <cellStyle name="标题 4 2 4 4" xfId="45833"/>
    <cellStyle name="标题 4 2 4 5" xfId="45834"/>
    <cellStyle name="标题 4 2 4 6" xfId="45835"/>
    <cellStyle name="标题 4 2 5" xfId="45836"/>
    <cellStyle name="标题 4 2 5 2" xfId="45837"/>
    <cellStyle name="标题 4 2 5 2 2" xfId="45838"/>
    <cellStyle name="标题 4 2 5 2 3" xfId="45839"/>
    <cellStyle name="标题 4 2 5 2 3 2" xfId="45840"/>
    <cellStyle name="标题 4 2 5 2 3 2 2" xfId="45841"/>
    <cellStyle name="标题 4 2 5 2 4" xfId="45842"/>
    <cellStyle name="标题 4 2 5 2 4 2" xfId="45843"/>
    <cellStyle name="标题 4 2 5 3" xfId="45844"/>
    <cellStyle name="标题 4 2 5 4" xfId="45845"/>
    <cellStyle name="标题 4 2 5 5" xfId="45846"/>
    <cellStyle name="标题 4 2 5 6" xfId="45847"/>
    <cellStyle name="标题 4 2 6" xfId="45848"/>
    <cellStyle name="标题 4 2 6 2" xfId="45849"/>
    <cellStyle name="标题 4 2 6 2 2" xfId="45850"/>
    <cellStyle name="标题 4 2 6 2 2 2" xfId="45851"/>
    <cellStyle name="标题 4 2 6 2 2 2 2" xfId="45852"/>
    <cellStyle name="标题 4 2 6 2 3" xfId="45853"/>
    <cellStyle name="标题 4 2 6 2 3 2" xfId="45854"/>
    <cellStyle name="标题 4 2 6 3" xfId="45855"/>
    <cellStyle name="标题 4 2 6 3 2" xfId="45856"/>
    <cellStyle name="标题 4 2 6 3 2 2" xfId="45857"/>
    <cellStyle name="标题 4 2 6 4" xfId="45858"/>
    <cellStyle name="标题 4 2 6 4 2" xfId="45859"/>
    <cellStyle name="标题 4 2 7" xfId="45860"/>
    <cellStyle name="标题 4 2 7 2" xfId="45861"/>
    <cellStyle name="标题 4 2 7 2 2" xfId="45862"/>
    <cellStyle name="标题 4 2 7 2 2 2" xfId="45863"/>
    <cellStyle name="标题 4 2 7 2 2 2 2" xfId="45864"/>
    <cellStyle name="标题 4 2 7 2 3" xfId="45865"/>
    <cellStyle name="标题 4 2 7 2 3 2" xfId="45866"/>
    <cellStyle name="标题 4 2 7 3" xfId="45867"/>
    <cellStyle name="标题 4 2 7 3 2" xfId="45868"/>
    <cellStyle name="标题 4 2 7 3 2 2" xfId="45869"/>
    <cellStyle name="标题 4 2 7 4" xfId="45870"/>
    <cellStyle name="标题 4 2 7 4 2" xfId="45871"/>
    <cellStyle name="标题 4 2 8" xfId="45872"/>
    <cellStyle name="标题 4 2 8 2" xfId="45873"/>
    <cellStyle name="标题 4 2 8 2 2" xfId="45874"/>
    <cellStyle name="标题 4 2 8 2 2 2" xfId="45875"/>
    <cellStyle name="标题 4 2 8 2 2 2 2" xfId="45876"/>
    <cellStyle name="标题 4 2 8 2 3" xfId="45877"/>
    <cellStyle name="标题 4 2 8 2 3 2" xfId="45878"/>
    <cellStyle name="标题 4 2 8 3" xfId="45879"/>
    <cellStyle name="标题 4 2 8 3 2" xfId="45880"/>
    <cellStyle name="标题 4 2 8 3 2 2" xfId="45881"/>
    <cellStyle name="标题 4 2 8 4" xfId="45882"/>
    <cellStyle name="标题 4 2 8 4 2" xfId="45883"/>
    <cellStyle name="标题 4 2 9" xfId="45884"/>
    <cellStyle name="标题 4 2 9 2" xfId="45885"/>
    <cellStyle name="标题 4 2 9 2 2" xfId="45886"/>
    <cellStyle name="标题 4 2 9 2 2 2" xfId="45887"/>
    <cellStyle name="标题 4 2 9 3" xfId="45888"/>
    <cellStyle name="标题 4 2 9 3 2" xfId="45889"/>
    <cellStyle name="标题 4 3" xfId="45890"/>
    <cellStyle name="标题 4 3 2" xfId="45891"/>
    <cellStyle name="标题 4 3 2 2" xfId="45892"/>
    <cellStyle name="标题 4 3 2 2 2" xfId="45893"/>
    <cellStyle name="标题 4 3 2 2 2 2" xfId="45894"/>
    <cellStyle name="标题 4 3 2 2 2 3" xfId="45895"/>
    <cellStyle name="标题 4 3 2 2 2 3 2" xfId="45896"/>
    <cellStyle name="标题 4 3 2 2 2 3 2 2" xfId="45897"/>
    <cellStyle name="标题 4 3 2 2 2 4" xfId="45898"/>
    <cellStyle name="标题 4 3 2 2 2 4 2" xfId="45899"/>
    <cellStyle name="标题 4 3 2 2 3" xfId="45900"/>
    <cellStyle name="标题 4 3 2 2 3 2" xfId="45901"/>
    <cellStyle name="标题 4 3 2 2 3 2 2" xfId="45902"/>
    <cellStyle name="标题 4 3 2 2 3 2 2 2" xfId="45903"/>
    <cellStyle name="标题 4 3 2 2 3 3" xfId="45904"/>
    <cellStyle name="标题 4 3 2 2 3 3 2" xfId="45905"/>
    <cellStyle name="标题 4 3 2 2 4" xfId="45906"/>
    <cellStyle name="标题 4 3 2 2 5" xfId="45907"/>
    <cellStyle name="标题 4 3 2 2 6" xfId="45908"/>
    <cellStyle name="标题 4 3 2 3" xfId="45909"/>
    <cellStyle name="标题 4 3 2 3 2" xfId="45910"/>
    <cellStyle name="标题 4 3 2 3 3" xfId="45911"/>
    <cellStyle name="标题 4 3 2 3 3 2" xfId="45912"/>
    <cellStyle name="标题 4 3 2 3 3 2 2" xfId="45913"/>
    <cellStyle name="标题 4 3 2 3 4" xfId="45914"/>
    <cellStyle name="标题 4 3 2 3 4 2" xfId="45915"/>
    <cellStyle name="标题 4 3 2 4" xfId="45916"/>
    <cellStyle name="标题 4 3 2 4 2" xfId="45917"/>
    <cellStyle name="标题 4 3 2 4 2 2" xfId="45918"/>
    <cellStyle name="标题 4 3 2 4 2 2 2" xfId="45919"/>
    <cellStyle name="标题 4 3 2 4 3" xfId="45920"/>
    <cellStyle name="标题 4 3 2 4 3 2" xfId="45921"/>
    <cellStyle name="标题 4 3 2 5" xfId="45922"/>
    <cellStyle name="标题 4 3 2 6" xfId="45923"/>
    <cellStyle name="标题 4 3 2 7" xfId="45924"/>
    <cellStyle name="标题 4 3 3" xfId="45925"/>
    <cellStyle name="标题 4 3 3 2" xfId="45926"/>
    <cellStyle name="标题 4 3 3 2 2" xfId="45927"/>
    <cellStyle name="标题 4 3 3 2 3" xfId="45928"/>
    <cellStyle name="标题 4 3 3 2 3 2" xfId="45929"/>
    <cellStyle name="标题 4 3 3 2 3 2 2" xfId="45930"/>
    <cellStyle name="标题 4 3 3 2 4" xfId="45931"/>
    <cellStyle name="标题 4 3 3 2 4 2" xfId="45932"/>
    <cellStyle name="标题 4 3 3 3" xfId="45933"/>
    <cellStyle name="标题 4 3 3 3 2" xfId="45934"/>
    <cellStyle name="标题 4 3 3 3 2 2" xfId="45935"/>
    <cellStyle name="标题 4 3 3 3 2 2 2" xfId="45936"/>
    <cellStyle name="标题 4 3 3 3 3" xfId="45937"/>
    <cellStyle name="标题 4 3 3 3 3 2" xfId="45938"/>
    <cellStyle name="标题 4 3 3 4" xfId="45939"/>
    <cellStyle name="标题 4 3 3 5" xfId="45940"/>
    <cellStyle name="标题 4 3 3 6" xfId="45941"/>
    <cellStyle name="标题 4 3 4" xfId="45942"/>
    <cellStyle name="标题 4 3 4 2" xfId="45943"/>
    <cellStyle name="标题 4 3 4 2 2" xfId="45944"/>
    <cellStyle name="标题 4 3 4 2 3" xfId="45945"/>
    <cellStyle name="标题 4 3 4 2 3 2" xfId="45946"/>
    <cellStyle name="标题 4 3 4 2 3 2 2" xfId="45947"/>
    <cellStyle name="标题 4 3 4 2 4" xfId="45948"/>
    <cellStyle name="标题 4 3 4 2 4 2" xfId="45949"/>
    <cellStyle name="标题 4 3 4 3" xfId="45950"/>
    <cellStyle name="标题 4 3 4 4" xfId="45951"/>
    <cellStyle name="标题 4 3 4 5" xfId="45952"/>
    <cellStyle name="标题 4 3 4 6" xfId="45953"/>
    <cellStyle name="标题 4 3 5" xfId="45954"/>
    <cellStyle name="标题 4 3 5 2" xfId="45955"/>
    <cellStyle name="标题 4 3 5 2 2" xfId="45956"/>
    <cellStyle name="标题 4 3 5 2 2 2" xfId="45957"/>
    <cellStyle name="标题 4 3 5 2 2 2 2" xfId="45958"/>
    <cellStyle name="标题 4 3 5 2 3" xfId="45959"/>
    <cellStyle name="标题 4 3 5 2 3 2" xfId="45960"/>
    <cellStyle name="标题 4 3 5 3" xfId="45961"/>
    <cellStyle name="标题 4 3 5 3 2" xfId="45962"/>
    <cellStyle name="标题 4 3 5 3 2 2" xfId="45963"/>
    <cellStyle name="标题 4 3 5 4" xfId="45964"/>
    <cellStyle name="标题 4 3 5 4 2" xfId="45965"/>
    <cellStyle name="标题 4 3 6" xfId="45966"/>
    <cellStyle name="标题 4 3 6 2" xfId="45967"/>
    <cellStyle name="标题 4 3 6 2 2" xfId="45968"/>
    <cellStyle name="标题 4 3 6 2 2 2" xfId="45969"/>
    <cellStyle name="标题 4 3 6 3" xfId="45970"/>
    <cellStyle name="标题 4 3 6 3 2" xfId="45971"/>
    <cellStyle name="标题 4 3 7" xfId="45972"/>
    <cellStyle name="标题 4 3 8" xfId="45973"/>
    <cellStyle name="标题 5" xfId="45974"/>
    <cellStyle name="标题 5 10" xfId="45975"/>
    <cellStyle name="标题 5 11" xfId="45976"/>
    <cellStyle name="标题 5 2" xfId="45977"/>
    <cellStyle name="标题 5 2 10" xfId="45978"/>
    <cellStyle name="标题 5 2 11" xfId="45979"/>
    <cellStyle name="标题 5 2 2" xfId="45980"/>
    <cellStyle name="标题 5 2 2 2" xfId="45981"/>
    <cellStyle name="标题 5 2 2 2 2" xfId="45982"/>
    <cellStyle name="标题 5 2 2 2 2 2" xfId="45983"/>
    <cellStyle name="标题 5 2 2 2 2 3" xfId="45984"/>
    <cellStyle name="标题 5 2 2 2 2 3 2" xfId="45985"/>
    <cellStyle name="标题 5 2 2 2 2 3 2 2" xfId="45986"/>
    <cellStyle name="标题 5 2 2 2 2 4" xfId="45987"/>
    <cellStyle name="标题 5 2 2 2 2 4 2" xfId="45988"/>
    <cellStyle name="标题 5 2 2 2 3" xfId="45989"/>
    <cellStyle name="标题 5 2 2 2 3 2" xfId="45990"/>
    <cellStyle name="标题 5 2 2 2 3 2 2" xfId="45991"/>
    <cellStyle name="标题 5 2 2 2 3 2 2 2" xfId="45992"/>
    <cellStyle name="标题 5 2 2 2 3 3" xfId="45993"/>
    <cellStyle name="标题 5 2 2 2 3 3 2" xfId="45994"/>
    <cellStyle name="标题 5 2 2 2 4" xfId="45995"/>
    <cellStyle name="标题 5 2 2 2 5" xfId="45996"/>
    <cellStyle name="标题 5 2 2 2 6" xfId="45997"/>
    <cellStyle name="标题 5 2 2 3" xfId="45998"/>
    <cellStyle name="标题 5 2 2 3 2" xfId="45999"/>
    <cellStyle name="标题 5 2 2 3 3" xfId="46000"/>
    <cellStyle name="标题 5 2 2 3 3 2" xfId="46001"/>
    <cellStyle name="标题 5 2 2 3 3 2 2" xfId="46002"/>
    <cellStyle name="标题 5 2 2 3 4" xfId="46003"/>
    <cellStyle name="标题 5 2 2 3 4 2" xfId="46004"/>
    <cellStyle name="标题 5 2 2 4" xfId="46005"/>
    <cellStyle name="标题 5 2 2 4 2" xfId="46006"/>
    <cellStyle name="标题 5 2 2 4 2 2" xfId="46007"/>
    <cellStyle name="标题 5 2 2 4 2 2 2" xfId="46008"/>
    <cellStyle name="标题 5 2 2 4 3" xfId="46009"/>
    <cellStyle name="标题 5 2 2 4 3 2" xfId="46010"/>
    <cellStyle name="标题 5 2 2 5" xfId="46011"/>
    <cellStyle name="标题 5 2 2 6" xfId="46012"/>
    <cellStyle name="标题 5 2 2 7" xfId="46013"/>
    <cellStyle name="标题 5 2 3" xfId="46014"/>
    <cellStyle name="标题 5 2 3 2" xfId="46015"/>
    <cellStyle name="标题 5 2 3 2 2" xfId="46016"/>
    <cellStyle name="标题 5 2 3 2 3" xfId="46017"/>
    <cellStyle name="标题 5 2 3 2 3 2" xfId="46018"/>
    <cellStyle name="标题 5 2 3 2 3 2 2" xfId="46019"/>
    <cellStyle name="标题 5 2 3 2 4" xfId="46020"/>
    <cellStyle name="标题 5 2 3 2 4 2" xfId="46021"/>
    <cellStyle name="标题 5 2 3 3" xfId="46022"/>
    <cellStyle name="标题 5 2 3 3 2" xfId="46023"/>
    <cellStyle name="标题 5 2 3 3 2 2" xfId="46024"/>
    <cellStyle name="标题 5 2 3 3 2 2 2" xfId="46025"/>
    <cellStyle name="标题 5 2 3 3 3" xfId="46026"/>
    <cellStyle name="标题 5 2 3 3 3 2" xfId="46027"/>
    <cellStyle name="标题 5 2 3 4" xfId="46028"/>
    <cellStyle name="标题 5 2 3 5" xfId="46029"/>
    <cellStyle name="标题 5 2 3 6" xfId="46030"/>
    <cellStyle name="标题 5 2 4" xfId="46031"/>
    <cellStyle name="标题 5 2 4 2" xfId="46032"/>
    <cellStyle name="标题 5 2 4 2 2" xfId="46033"/>
    <cellStyle name="标题 5 2 4 2 3" xfId="46034"/>
    <cellStyle name="标题 5 2 4 2 3 2" xfId="46035"/>
    <cellStyle name="标题 5 2 4 2 3 2 2" xfId="46036"/>
    <cellStyle name="标题 5 2 4 2 4" xfId="46037"/>
    <cellStyle name="标题 5 2 4 2 4 2" xfId="46038"/>
    <cellStyle name="标题 5 2 4 3" xfId="46039"/>
    <cellStyle name="标题 5 2 4 4" xfId="46040"/>
    <cellStyle name="标题 5 2 4 5" xfId="46041"/>
    <cellStyle name="标题 5 2 4 6" xfId="46042"/>
    <cellStyle name="标题 5 2 5" xfId="46043"/>
    <cellStyle name="标题 5 2 5 2" xfId="46044"/>
    <cellStyle name="标题 5 2 5 2 2" xfId="46045"/>
    <cellStyle name="标题 5 2 5 2 2 2" xfId="46046"/>
    <cellStyle name="标题 5 2 5 2 2 2 2" xfId="46047"/>
    <cellStyle name="标题 5 2 5 2 3" xfId="46048"/>
    <cellStyle name="标题 5 2 5 2 3 2" xfId="46049"/>
    <cellStyle name="标题 5 2 5 3" xfId="46050"/>
    <cellStyle name="标题 5 2 5 3 2" xfId="46051"/>
    <cellStyle name="标题 5 2 5 3 2 2" xfId="46052"/>
    <cellStyle name="标题 5 2 5 4" xfId="46053"/>
    <cellStyle name="标题 5 2 5 4 2" xfId="46054"/>
    <cellStyle name="标题 5 2 6" xfId="46055"/>
    <cellStyle name="标题 5 2 6 2" xfId="46056"/>
    <cellStyle name="标题 5 2 6 2 2" xfId="46057"/>
    <cellStyle name="标题 5 2 6 2 2 2" xfId="46058"/>
    <cellStyle name="标题 5 2 6 2 2 2 2" xfId="46059"/>
    <cellStyle name="标题 5 2 6 2 3" xfId="46060"/>
    <cellStyle name="标题 5 2 6 2 3 2" xfId="46061"/>
    <cellStyle name="标题 5 2 6 3" xfId="46062"/>
    <cellStyle name="标题 5 2 6 3 2" xfId="46063"/>
    <cellStyle name="标题 5 2 6 3 2 2" xfId="46064"/>
    <cellStyle name="标题 5 2 6 4" xfId="46065"/>
    <cellStyle name="标题 5 2 6 4 2" xfId="46066"/>
    <cellStyle name="标题 5 2 7" xfId="46067"/>
    <cellStyle name="标题 5 2 7 2" xfId="46068"/>
    <cellStyle name="标题 5 2 7 2 2" xfId="46069"/>
    <cellStyle name="标题 5 2 7 2 2 2" xfId="46070"/>
    <cellStyle name="标题 5 2 7 2 2 2 2" xfId="46071"/>
    <cellStyle name="标题 5 2 7 2 3" xfId="46072"/>
    <cellStyle name="标题 5 2 7 2 3 2" xfId="46073"/>
    <cellStyle name="标题 5 2 7 3" xfId="46074"/>
    <cellStyle name="标题 5 2 7 3 2" xfId="46075"/>
    <cellStyle name="标题 5 2 7 3 2 2" xfId="46076"/>
    <cellStyle name="标题 5 2 7 4" xfId="46077"/>
    <cellStyle name="标题 5 2 7 4 2" xfId="46078"/>
    <cellStyle name="标题 5 2 8" xfId="46079"/>
    <cellStyle name="标题 5 2 8 2" xfId="46080"/>
    <cellStyle name="标题 5 2 8 2 2" xfId="46081"/>
    <cellStyle name="标题 5 2 8 2 2 2" xfId="46082"/>
    <cellStyle name="标题 5 2 8 3" xfId="46083"/>
    <cellStyle name="标题 5 2 8 3 2" xfId="46084"/>
    <cellStyle name="标题 5 2 9" xfId="46085"/>
    <cellStyle name="标题 5 2 9 2" xfId="46086"/>
    <cellStyle name="标题 5 2 9 2 2" xfId="46087"/>
    <cellStyle name="标题 5 2 9 2 2 2" xfId="46088"/>
    <cellStyle name="标题 5 2 9 3" xfId="46089"/>
    <cellStyle name="标题 5 2 9 3 2" xfId="46090"/>
    <cellStyle name="标题 5 3" xfId="46091"/>
    <cellStyle name="标题 5 3 2" xfId="46092"/>
    <cellStyle name="标题 5 3 2 2" xfId="46093"/>
    <cellStyle name="标题 5 3 2 2 2" xfId="46094"/>
    <cellStyle name="标题 5 3 2 2 2 2" xfId="46095"/>
    <cellStyle name="标题 5 3 2 2 2 3" xfId="46096"/>
    <cellStyle name="标题 5 3 2 2 2 3 2" xfId="46097"/>
    <cellStyle name="标题 5 3 2 2 2 3 2 2" xfId="46098"/>
    <cellStyle name="标题 5 3 2 2 2 4" xfId="46099"/>
    <cellStyle name="标题 5 3 2 2 2 4 2" xfId="46100"/>
    <cellStyle name="标题 5 3 2 2 3" xfId="46101"/>
    <cellStyle name="标题 5 3 2 2 3 2" xfId="46102"/>
    <cellStyle name="标题 5 3 2 2 3 2 2" xfId="46103"/>
    <cellStyle name="标题 5 3 2 2 3 2 2 2" xfId="46104"/>
    <cellStyle name="标题 5 3 2 2 3 3" xfId="46105"/>
    <cellStyle name="标题 5 3 2 2 3 3 2" xfId="46106"/>
    <cellStyle name="标题 5 3 2 2 4" xfId="46107"/>
    <cellStyle name="标题 5 3 2 2 5" xfId="46108"/>
    <cellStyle name="标题 5 3 2 2 6" xfId="46109"/>
    <cellStyle name="标题 5 3 2 3" xfId="46110"/>
    <cellStyle name="标题 5 3 2 3 2" xfId="46111"/>
    <cellStyle name="标题 5 3 2 3 3" xfId="46112"/>
    <cellStyle name="标题 5 3 2 3 3 2" xfId="46113"/>
    <cellStyle name="标题 5 3 2 3 3 2 2" xfId="46114"/>
    <cellStyle name="标题 5 3 2 3 4" xfId="46115"/>
    <cellStyle name="标题 5 3 2 3 4 2" xfId="46116"/>
    <cellStyle name="标题 5 3 2 4" xfId="46117"/>
    <cellStyle name="标题 5 3 2 4 2" xfId="46118"/>
    <cellStyle name="标题 5 3 2 4 2 2" xfId="46119"/>
    <cellStyle name="标题 5 3 2 4 2 2 2" xfId="46120"/>
    <cellStyle name="标题 5 3 2 4 3" xfId="46121"/>
    <cellStyle name="标题 5 3 2 4 3 2" xfId="46122"/>
    <cellStyle name="标题 5 3 2 5" xfId="46123"/>
    <cellStyle name="标题 5 3 2 6" xfId="46124"/>
    <cellStyle name="标题 5 3 2 7" xfId="46125"/>
    <cellStyle name="标题 5 3 3" xfId="46126"/>
    <cellStyle name="标题 5 3 3 2" xfId="46127"/>
    <cellStyle name="标题 5 3 3 2 2" xfId="46128"/>
    <cellStyle name="标题 5 3 3 2 3" xfId="46129"/>
    <cellStyle name="标题 5 3 3 2 3 2" xfId="46130"/>
    <cellStyle name="标题 5 3 3 2 3 2 2" xfId="46131"/>
    <cellStyle name="标题 5 3 3 2 4" xfId="46132"/>
    <cellStyle name="标题 5 3 3 2 4 2" xfId="46133"/>
    <cellStyle name="标题 5 3 3 3" xfId="46134"/>
    <cellStyle name="标题 5 3 3 3 2" xfId="46135"/>
    <cellStyle name="标题 5 3 3 3 2 2" xfId="46136"/>
    <cellStyle name="标题 5 3 3 3 2 2 2" xfId="46137"/>
    <cellStyle name="标题 5 3 3 3 3" xfId="46138"/>
    <cellStyle name="标题 5 3 3 3 3 2" xfId="46139"/>
    <cellStyle name="标题 5 3 3 4" xfId="46140"/>
    <cellStyle name="标题 5 3 3 5" xfId="46141"/>
    <cellStyle name="标题 5 3 3 6" xfId="46142"/>
    <cellStyle name="标题 5 3 4" xfId="46143"/>
    <cellStyle name="标题 5 3 4 2" xfId="46144"/>
    <cellStyle name="标题 5 3 4 2 2" xfId="46145"/>
    <cellStyle name="标题 5 3 4 2 3" xfId="46146"/>
    <cellStyle name="标题 5 3 4 2 3 2" xfId="46147"/>
    <cellStyle name="标题 5 3 4 2 3 2 2" xfId="46148"/>
    <cellStyle name="标题 5 3 4 2 4" xfId="46149"/>
    <cellStyle name="标题 5 3 4 2 4 2" xfId="46150"/>
    <cellStyle name="标题 5 3 4 3" xfId="46151"/>
    <cellStyle name="标题 5 3 4 4" xfId="46152"/>
    <cellStyle name="标题 5 3 4 5" xfId="46153"/>
    <cellStyle name="标题 5 3 4 6" xfId="46154"/>
    <cellStyle name="标题 5 3 5" xfId="46155"/>
    <cellStyle name="标题 5 3 5 2" xfId="46156"/>
    <cellStyle name="标题 5 3 5 2 2" xfId="46157"/>
    <cellStyle name="标题 5 3 5 2 2 2" xfId="46158"/>
    <cellStyle name="标题 5 3 5 2 2 2 2" xfId="46159"/>
    <cellStyle name="标题 5 3 5 2 3" xfId="46160"/>
    <cellStyle name="标题 5 3 5 2 3 2" xfId="46161"/>
    <cellStyle name="标题 5 3 5 3" xfId="46162"/>
    <cellStyle name="标题 5 3 5 3 2" xfId="46163"/>
    <cellStyle name="标题 5 3 5 3 2 2" xfId="46164"/>
    <cellStyle name="标题 5 3 5 4" xfId="46165"/>
    <cellStyle name="标题 5 3 5 4 2" xfId="46166"/>
    <cellStyle name="标题 5 3 6" xfId="46167"/>
    <cellStyle name="标题 5 3 6 2" xfId="46168"/>
    <cellStyle name="标题 5 3 6 2 2" xfId="46169"/>
    <cellStyle name="标题 5 3 6 2 2 2" xfId="46170"/>
    <cellStyle name="标题 5 3 6 3" xfId="46171"/>
    <cellStyle name="标题 5 3 6 3 2" xfId="46172"/>
    <cellStyle name="标题 5 3 7" xfId="46173"/>
    <cellStyle name="标题 5 3 7 2" xfId="46174"/>
    <cellStyle name="标题 5 3 7 2 2" xfId="46175"/>
    <cellStyle name="标题 5 3 7 2 2 2" xfId="46176"/>
    <cellStyle name="标题 5 3 7 3" xfId="46177"/>
    <cellStyle name="标题 5 3 7 3 2" xfId="46178"/>
    <cellStyle name="标题 5 3 8" xfId="46179"/>
    <cellStyle name="标题 5 3 9" xfId="46180"/>
    <cellStyle name="标题 5 4" xfId="46181"/>
    <cellStyle name="标题 5 4 2" xfId="46182"/>
    <cellStyle name="标题 5 4 2 2" xfId="46183"/>
    <cellStyle name="标题 5 4 2 3" xfId="46184"/>
    <cellStyle name="标题 5 4 2 3 2" xfId="46185"/>
    <cellStyle name="标题 5 4 2 3 2 2" xfId="46186"/>
    <cellStyle name="标题 5 4 2 4" xfId="46187"/>
    <cellStyle name="标题 5 4 2 4 2" xfId="46188"/>
    <cellStyle name="标题 5 4 3" xfId="46189"/>
    <cellStyle name="标题 5 4 3 2" xfId="46190"/>
    <cellStyle name="标题 5 4 3 2 2" xfId="46191"/>
    <cellStyle name="标题 5 4 3 2 2 2" xfId="46192"/>
    <cellStyle name="标题 5 4 3 3" xfId="46193"/>
    <cellStyle name="标题 5 4 3 3 2" xfId="46194"/>
    <cellStyle name="标题 5 4 4" xfId="46195"/>
    <cellStyle name="标题 5 4 5" xfId="46196"/>
    <cellStyle name="标题 5 4 6" xfId="46197"/>
    <cellStyle name="标题 5 5" xfId="46198"/>
    <cellStyle name="标题 5 5 2" xfId="46199"/>
    <cellStyle name="标题 5 5 2 2" xfId="46200"/>
    <cellStyle name="标题 5 5 2 3" xfId="46201"/>
    <cellStyle name="标题 5 5 2 3 2" xfId="46202"/>
    <cellStyle name="标题 5 5 2 3 2 2" xfId="46203"/>
    <cellStyle name="标题 5 5 2 4" xfId="46204"/>
    <cellStyle name="标题 5 5 2 4 2" xfId="46205"/>
    <cellStyle name="标题 5 5 3" xfId="46206"/>
    <cellStyle name="标题 5 5 4" xfId="46207"/>
    <cellStyle name="标题 5 5 5" xfId="46208"/>
    <cellStyle name="标题 5 5 6" xfId="46209"/>
    <cellStyle name="标题 5 6" xfId="46210"/>
    <cellStyle name="标题 5 6 2" xfId="46211"/>
    <cellStyle name="标题 5 6 2 2" xfId="46212"/>
    <cellStyle name="标题 5 6 2 2 2" xfId="46213"/>
    <cellStyle name="标题 5 6 2 2 2 2" xfId="46214"/>
    <cellStyle name="标题 5 6 2 3" xfId="46215"/>
    <cellStyle name="标题 5 6 2 3 2" xfId="46216"/>
    <cellStyle name="标题 5 6 3" xfId="46217"/>
    <cellStyle name="标题 5 6 3 2" xfId="46218"/>
    <cellStyle name="标题 5 6 3 2 2" xfId="46219"/>
    <cellStyle name="标题 5 6 4" xfId="46220"/>
    <cellStyle name="标题 5 6 4 2" xfId="46221"/>
    <cellStyle name="标题 5 7" xfId="46222"/>
    <cellStyle name="标题 5 7 2" xfId="46223"/>
    <cellStyle name="标题 5 7 2 2" xfId="46224"/>
    <cellStyle name="标题 5 7 2 2 2" xfId="46225"/>
    <cellStyle name="标题 5 7 2 2 2 2" xfId="46226"/>
    <cellStyle name="标题 5 7 2 3" xfId="46227"/>
    <cellStyle name="标题 5 7 2 3 2" xfId="46228"/>
    <cellStyle name="标题 5 7 3" xfId="46229"/>
    <cellStyle name="标题 5 7 3 2" xfId="46230"/>
    <cellStyle name="标题 5 7 3 2 2" xfId="46231"/>
    <cellStyle name="标题 5 7 4" xfId="46232"/>
    <cellStyle name="标题 5 7 4 2" xfId="46233"/>
    <cellStyle name="标题 5 8" xfId="46234"/>
    <cellStyle name="标题 5 8 2" xfId="46235"/>
    <cellStyle name="标题 5 8 2 2" xfId="46236"/>
    <cellStyle name="标题 5 8 2 2 2" xfId="46237"/>
    <cellStyle name="标题 5 8 2 2 2 2" xfId="46238"/>
    <cellStyle name="标题 5 8 2 3" xfId="46239"/>
    <cellStyle name="标题 5 8 2 3 2" xfId="46240"/>
    <cellStyle name="标题 5 8 3" xfId="46241"/>
    <cellStyle name="标题 5 8 3 2" xfId="46242"/>
    <cellStyle name="标题 5 8 3 2 2" xfId="46243"/>
    <cellStyle name="标题 5 8 4" xfId="46244"/>
    <cellStyle name="标题 5 8 4 2" xfId="46245"/>
    <cellStyle name="标题 5 9" xfId="46246"/>
    <cellStyle name="标题 5 9 2" xfId="46247"/>
    <cellStyle name="标题 5 9 2 2" xfId="46248"/>
    <cellStyle name="标题 5 9 2 2 2" xfId="46249"/>
    <cellStyle name="标题 5 9 3" xfId="46250"/>
    <cellStyle name="标题 5 9 3 2" xfId="46251"/>
    <cellStyle name="标题 6" xfId="46252"/>
    <cellStyle name="标题 6 2" xfId="46253"/>
    <cellStyle name="标题 6 2 2" xfId="46254"/>
    <cellStyle name="标题 6 2 2 2" xfId="46255"/>
    <cellStyle name="标题 6 2 2 2 2" xfId="46256"/>
    <cellStyle name="标题 6 2 2 2 3" xfId="46257"/>
    <cellStyle name="标题 6 2 2 2 3 2" xfId="46258"/>
    <cellStyle name="标题 6 2 2 2 3 2 2" xfId="46259"/>
    <cellStyle name="标题 6 2 2 2 4" xfId="46260"/>
    <cellStyle name="标题 6 2 2 2 4 2" xfId="46261"/>
    <cellStyle name="标题 6 2 2 3" xfId="46262"/>
    <cellStyle name="标题 6 2 2 3 2" xfId="46263"/>
    <cellStyle name="标题 6 2 2 3 2 2" xfId="46264"/>
    <cellStyle name="标题 6 2 2 3 2 2 2" xfId="46265"/>
    <cellStyle name="标题 6 2 2 3 3" xfId="46266"/>
    <cellStyle name="标题 6 2 2 3 3 2" xfId="46267"/>
    <cellStyle name="标题 6 2 2 4" xfId="46268"/>
    <cellStyle name="标题 6 2 2 5" xfId="46269"/>
    <cellStyle name="标题 6 2 2 6" xfId="46270"/>
    <cellStyle name="标题 6 2 3" xfId="46271"/>
    <cellStyle name="标题 6 2 3 2" xfId="46272"/>
    <cellStyle name="标题 6 2 3 3" xfId="46273"/>
    <cellStyle name="标题 6 2 3 3 2" xfId="46274"/>
    <cellStyle name="标题 6 2 3 3 2 2" xfId="46275"/>
    <cellStyle name="标题 6 2 3 4" xfId="46276"/>
    <cellStyle name="标题 6 2 3 4 2" xfId="46277"/>
    <cellStyle name="标题 6 2 4" xfId="46278"/>
    <cellStyle name="标题 6 2 4 2" xfId="46279"/>
    <cellStyle name="标题 6 2 4 2 2" xfId="46280"/>
    <cellStyle name="标题 6 2 4 2 2 2" xfId="46281"/>
    <cellStyle name="标题 6 2 4 3" xfId="46282"/>
    <cellStyle name="标题 6 2 4 3 2" xfId="46283"/>
    <cellStyle name="标题 6 2 5" xfId="46284"/>
    <cellStyle name="标题 6 2 6" xfId="46285"/>
    <cellStyle name="标题 6 2 7" xfId="46286"/>
    <cellStyle name="标题 6 3" xfId="46287"/>
    <cellStyle name="标题 6 3 2" xfId="46288"/>
    <cellStyle name="标题 6 3 2 2" xfId="46289"/>
    <cellStyle name="标题 6 3 2 3" xfId="46290"/>
    <cellStyle name="标题 6 3 2 3 2" xfId="46291"/>
    <cellStyle name="标题 6 3 2 3 2 2" xfId="46292"/>
    <cellStyle name="标题 6 3 2 4" xfId="46293"/>
    <cellStyle name="标题 6 3 2 4 2" xfId="46294"/>
    <cellStyle name="标题 6 3 3" xfId="46295"/>
    <cellStyle name="标题 6 3 3 2" xfId="46296"/>
    <cellStyle name="标题 6 3 3 2 2" xfId="46297"/>
    <cellStyle name="标题 6 3 3 2 2 2" xfId="46298"/>
    <cellStyle name="标题 6 3 3 3" xfId="46299"/>
    <cellStyle name="标题 6 3 3 3 2" xfId="46300"/>
    <cellStyle name="标题 6 3 4" xfId="46301"/>
    <cellStyle name="标题 6 3 5" xfId="46302"/>
    <cellStyle name="标题 6 3 6" xfId="46303"/>
    <cellStyle name="标题 6 4" xfId="46304"/>
    <cellStyle name="标题 6 4 2" xfId="46305"/>
    <cellStyle name="标题 6 4 2 2" xfId="46306"/>
    <cellStyle name="标题 6 4 2 3" xfId="46307"/>
    <cellStyle name="标题 6 4 2 3 2" xfId="46308"/>
    <cellStyle name="标题 6 4 2 3 2 2" xfId="46309"/>
    <cellStyle name="标题 6 4 2 4" xfId="46310"/>
    <cellStyle name="标题 6 4 2 4 2" xfId="46311"/>
    <cellStyle name="标题 6 4 3" xfId="46312"/>
    <cellStyle name="标题 6 4 4" xfId="46313"/>
    <cellStyle name="标题 6 4 5" xfId="46314"/>
    <cellStyle name="标题 6 4 6" xfId="46315"/>
    <cellStyle name="标题 6 5" xfId="46316"/>
    <cellStyle name="标题 6 5 2" xfId="46317"/>
    <cellStyle name="标题 6 5 2 2" xfId="46318"/>
    <cellStyle name="标题 6 5 2 2 2" xfId="46319"/>
    <cellStyle name="标题 6 5 2 2 2 2" xfId="46320"/>
    <cellStyle name="标题 6 5 2 3" xfId="46321"/>
    <cellStyle name="标题 6 5 2 3 2" xfId="46322"/>
    <cellStyle name="标题 6 5 3" xfId="46323"/>
    <cellStyle name="标题 6 5 3 2" xfId="46324"/>
    <cellStyle name="标题 6 5 3 2 2" xfId="46325"/>
    <cellStyle name="标题 6 5 4" xfId="46326"/>
    <cellStyle name="标题 6 5 4 2" xfId="46327"/>
    <cellStyle name="标题 6 6" xfId="46328"/>
    <cellStyle name="标题 6 6 2" xfId="46329"/>
    <cellStyle name="标题 6 6 2 2" xfId="46330"/>
    <cellStyle name="标题 6 6 2 2 2" xfId="46331"/>
    <cellStyle name="标题 6 6 3" xfId="46332"/>
    <cellStyle name="标题 6 6 3 2" xfId="46333"/>
    <cellStyle name="标题 6 7" xfId="46334"/>
    <cellStyle name="标题 6 8" xfId="46335"/>
    <cellStyle name="桁区切り [0.00]_WJP_Marketing Expense_2009 AOP_V2 (2)" xfId="46336"/>
    <cellStyle name="检查单元格 2" xfId="46337"/>
    <cellStyle name="检查单元格 2 10" xfId="46338"/>
    <cellStyle name="检查单元格 2 11" xfId="46339"/>
    <cellStyle name="检查单元格 2 2" xfId="46340"/>
    <cellStyle name="检查单元格 2 2 10" xfId="46341"/>
    <cellStyle name="检查单元格 2 2 11" xfId="46342"/>
    <cellStyle name="检查单元格 2 2 2" xfId="46343"/>
    <cellStyle name="检查单元格 2 2 2 2" xfId="46344"/>
    <cellStyle name="检查单元格 2 2 2 2 2" xfId="46345"/>
    <cellStyle name="检查单元格 2 2 2 2 2 2" xfId="46346"/>
    <cellStyle name="检查单元格 2 2 2 2 2 3" xfId="46347"/>
    <cellStyle name="检查单元格 2 2 2 2 2 3 2" xfId="46348"/>
    <cellStyle name="检查单元格 2 2 2 2 2 3 2 2" xfId="46349"/>
    <cellStyle name="检查单元格 2 2 2 2 2 4" xfId="46350"/>
    <cellStyle name="检查单元格 2 2 2 2 2 4 2" xfId="46351"/>
    <cellStyle name="检查单元格 2 2 2 2 3" xfId="46352"/>
    <cellStyle name="检查单元格 2 2 2 2 3 2" xfId="46353"/>
    <cellStyle name="检查单元格 2 2 2 2 3 2 2" xfId="46354"/>
    <cellStyle name="检查单元格 2 2 2 2 3 2 2 2" xfId="46355"/>
    <cellStyle name="检查单元格 2 2 2 2 3 3" xfId="46356"/>
    <cellStyle name="检查单元格 2 2 2 2 3 3 2" xfId="46357"/>
    <cellStyle name="检查单元格 2 2 2 2 4" xfId="46358"/>
    <cellStyle name="检查单元格 2 2 2 2 5" xfId="46359"/>
    <cellStyle name="检查单元格 2 2 2 2 6" xfId="46360"/>
    <cellStyle name="检查单元格 2 2 2 3" xfId="46361"/>
    <cellStyle name="检查单元格 2 2 2 3 2" xfId="46362"/>
    <cellStyle name="检查单元格 2 2 2 3 3" xfId="46363"/>
    <cellStyle name="检查单元格 2 2 2 3 3 2" xfId="46364"/>
    <cellStyle name="检查单元格 2 2 2 3 3 2 2" xfId="46365"/>
    <cellStyle name="检查单元格 2 2 2 3 4" xfId="46366"/>
    <cellStyle name="检查单元格 2 2 2 3 4 2" xfId="46367"/>
    <cellStyle name="检查单元格 2 2 2 4" xfId="46368"/>
    <cellStyle name="检查单元格 2 2 2 4 2" xfId="46369"/>
    <cellStyle name="检查单元格 2 2 2 4 2 2" xfId="46370"/>
    <cellStyle name="检查单元格 2 2 2 4 2 2 2" xfId="46371"/>
    <cellStyle name="检查单元格 2 2 2 4 3" xfId="46372"/>
    <cellStyle name="检查单元格 2 2 2 4 3 2" xfId="46373"/>
    <cellStyle name="检查单元格 2 2 2 5" xfId="46374"/>
    <cellStyle name="检查单元格 2 2 2 6" xfId="46375"/>
    <cellStyle name="检查单元格 2 2 2 7" xfId="46376"/>
    <cellStyle name="检查单元格 2 2 3" xfId="46377"/>
    <cellStyle name="检查单元格 2 2 3 2" xfId="46378"/>
    <cellStyle name="检查单元格 2 2 3 2 2" xfId="46379"/>
    <cellStyle name="检查单元格 2 2 3 2 3" xfId="46380"/>
    <cellStyle name="检查单元格 2 2 3 2 3 2" xfId="46381"/>
    <cellStyle name="检查单元格 2 2 3 2 3 2 2" xfId="46382"/>
    <cellStyle name="检查单元格 2 2 3 2 4" xfId="46383"/>
    <cellStyle name="检查单元格 2 2 3 2 4 2" xfId="46384"/>
    <cellStyle name="检查单元格 2 2 3 3" xfId="46385"/>
    <cellStyle name="检查单元格 2 2 3 3 2" xfId="46386"/>
    <cellStyle name="检查单元格 2 2 3 3 2 2" xfId="46387"/>
    <cellStyle name="检查单元格 2 2 3 3 2 2 2" xfId="46388"/>
    <cellStyle name="检查单元格 2 2 3 3 3" xfId="46389"/>
    <cellStyle name="检查单元格 2 2 3 3 3 2" xfId="46390"/>
    <cellStyle name="检查单元格 2 2 3 4" xfId="46391"/>
    <cellStyle name="检查单元格 2 2 3 5" xfId="46392"/>
    <cellStyle name="检查单元格 2 2 3 6" xfId="46393"/>
    <cellStyle name="检查单元格 2 2 4" xfId="46394"/>
    <cellStyle name="检查单元格 2 2 4 2" xfId="46395"/>
    <cellStyle name="检查单元格 2 2 4 2 2" xfId="46396"/>
    <cellStyle name="检查单元格 2 2 4 2 3" xfId="46397"/>
    <cellStyle name="检查单元格 2 2 4 2 3 2" xfId="46398"/>
    <cellStyle name="检查单元格 2 2 4 2 3 2 2" xfId="46399"/>
    <cellStyle name="检查单元格 2 2 4 2 4" xfId="46400"/>
    <cellStyle name="检查单元格 2 2 4 2 4 2" xfId="46401"/>
    <cellStyle name="检查单元格 2 2 4 3" xfId="46402"/>
    <cellStyle name="检查单元格 2 2 4 4" xfId="46403"/>
    <cellStyle name="检查单元格 2 2 4 5" xfId="46404"/>
    <cellStyle name="检查单元格 2 2 4 6" xfId="46405"/>
    <cellStyle name="检查单元格 2 2 5" xfId="46406"/>
    <cellStyle name="检查单元格 2 2 5 2" xfId="46407"/>
    <cellStyle name="检查单元格 2 2 5 2 2" xfId="46408"/>
    <cellStyle name="检查单元格 2 2 5 2 2 2" xfId="46409"/>
    <cellStyle name="检查单元格 2 2 5 2 2 2 2" xfId="46410"/>
    <cellStyle name="检查单元格 2 2 5 2 3" xfId="46411"/>
    <cellStyle name="检查单元格 2 2 5 2 3 2" xfId="46412"/>
    <cellStyle name="检查单元格 2 2 5 3" xfId="46413"/>
    <cellStyle name="检查单元格 2 2 5 3 2" xfId="46414"/>
    <cellStyle name="检查单元格 2 2 5 3 2 2" xfId="46415"/>
    <cellStyle name="检查单元格 2 2 5 4" xfId="46416"/>
    <cellStyle name="检查单元格 2 2 5 4 2" xfId="46417"/>
    <cellStyle name="检查单元格 2 2 6" xfId="46418"/>
    <cellStyle name="检查单元格 2 2 6 2" xfId="46419"/>
    <cellStyle name="检查单元格 2 2 6 2 2" xfId="46420"/>
    <cellStyle name="检查单元格 2 2 6 2 2 2" xfId="46421"/>
    <cellStyle name="检查单元格 2 2 6 2 2 2 2" xfId="46422"/>
    <cellStyle name="检查单元格 2 2 6 2 3" xfId="46423"/>
    <cellStyle name="检查单元格 2 2 6 2 3 2" xfId="46424"/>
    <cellStyle name="检查单元格 2 2 6 3" xfId="46425"/>
    <cellStyle name="检查单元格 2 2 6 3 2" xfId="46426"/>
    <cellStyle name="检查单元格 2 2 6 3 2 2" xfId="46427"/>
    <cellStyle name="检查单元格 2 2 6 4" xfId="46428"/>
    <cellStyle name="检查单元格 2 2 6 4 2" xfId="46429"/>
    <cellStyle name="检查单元格 2 2 7" xfId="46430"/>
    <cellStyle name="检查单元格 2 2 7 2" xfId="46431"/>
    <cellStyle name="检查单元格 2 2 7 2 2" xfId="46432"/>
    <cellStyle name="检查单元格 2 2 7 2 2 2" xfId="46433"/>
    <cellStyle name="检查单元格 2 2 7 2 2 2 2" xfId="46434"/>
    <cellStyle name="检查单元格 2 2 7 2 3" xfId="46435"/>
    <cellStyle name="检查单元格 2 2 7 2 3 2" xfId="46436"/>
    <cellStyle name="检查单元格 2 2 7 3" xfId="46437"/>
    <cellStyle name="检查单元格 2 2 7 3 2" xfId="46438"/>
    <cellStyle name="检查单元格 2 2 7 3 2 2" xfId="46439"/>
    <cellStyle name="检查单元格 2 2 7 4" xfId="46440"/>
    <cellStyle name="检查单元格 2 2 7 4 2" xfId="46441"/>
    <cellStyle name="检查单元格 2 2 8" xfId="46442"/>
    <cellStyle name="检查单元格 2 2 8 2" xfId="46443"/>
    <cellStyle name="检查单元格 2 2 8 2 2" xfId="46444"/>
    <cellStyle name="检查单元格 2 2 8 2 2 2" xfId="46445"/>
    <cellStyle name="检查单元格 2 2 8 3" xfId="46446"/>
    <cellStyle name="检查单元格 2 2 8 3 2" xfId="46447"/>
    <cellStyle name="检查单元格 2 2 9" xfId="46448"/>
    <cellStyle name="检查单元格 2 2 9 2" xfId="46449"/>
    <cellStyle name="检查单元格 2 2 9 2 2" xfId="46450"/>
    <cellStyle name="检查单元格 2 2 9 2 2 2" xfId="46451"/>
    <cellStyle name="检查单元格 2 2 9 3" xfId="46452"/>
    <cellStyle name="检查单元格 2 2 9 3 2" xfId="46453"/>
    <cellStyle name="检查单元格 2 3" xfId="46454"/>
    <cellStyle name="检查单元格 2 3 2" xfId="46455"/>
    <cellStyle name="检查单元格 2 3 2 2" xfId="46456"/>
    <cellStyle name="检查单元格 2 3 2 2 2" xfId="46457"/>
    <cellStyle name="检查单元格 2 3 2 2 2 2" xfId="46458"/>
    <cellStyle name="检查单元格 2 3 2 2 2 3" xfId="46459"/>
    <cellStyle name="检查单元格 2 3 2 2 2 3 2" xfId="46460"/>
    <cellStyle name="检查单元格 2 3 2 2 2 3 2 2" xfId="46461"/>
    <cellStyle name="检查单元格 2 3 2 2 2 4" xfId="46462"/>
    <cellStyle name="检查单元格 2 3 2 2 2 4 2" xfId="46463"/>
    <cellStyle name="检查单元格 2 3 2 2 3" xfId="46464"/>
    <cellStyle name="检查单元格 2 3 2 2 3 2" xfId="46465"/>
    <cellStyle name="检查单元格 2 3 2 2 3 2 2" xfId="46466"/>
    <cellStyle name="检查单元格 2 3 2 2 3 2 2 2" xfId="46467"/>
    <cellStyle name="检查单元格 2 3 2 2 3 3" xfId="46468"/>
    <cellStyle name="检查单元格 2 3 2 2 3 3 2" xfId="46469"/>
    <cellStyle name="检查单元格 2 3 2 2 4" xfId="46470"/>
    <cellStyle name="检查单元格 2 3 2 2 5" xfId="46471"/>
    <cellStyle name="检查单元格 2 3 2 2 6" xfId="46472"/>
    <cellStyle name="检查单元格 2 3 2 3" xfId="46473"/>
    <cellStyle name="检查单元格 2 3 2 3 2" xfId="46474"/>
    <cellStyle name="检查单元格 2 3 2 3 3" xfId="46475"/>
    <cellStyle name="检查单元格 2 3 2 3 3 2" xfId="46476"/>
    <cellStyle name="检查单元格 2 3 2 3 3 2 2" xfId="46477"/>
    <cellStyle name="检查单元格 2 3 2 3 4" xfId="46478"/>
    <cellStyle name="检查单元格 2 3 2 3 4 2" xfId="46479"/>
    <cellStyle name="检查单元格 2 3 2 4" xfId="46480"/>
    <cellStyle name="检查单元格 2 3 2 4 2" xfId="46481"/>
    <cellStyle name="检查单元格 2 3 2 4 2 2" xfId="46482"/>
    <cellStyle name="检查单元格 2 3 2 4 2 2 2" xfId="46483"/>
    <cellStyle name="检查单元格 2 3 2 4 3" xfId="46484"/>
    <cellStyle name="检查单元格 2 3 2 4 3 2" xfId="46485"/>
    <cellStyle name="检查单元格 2 3 2 5" xfId="46486"/>
    <cellStyle name="检查单元格 2 3 2 6" xfId="46487"/>
    <cellStyle name="检查单元格 2 3 2 7" xfId="46488"/>
    <cellStyle name="检查单元格 2 3 3" xfId="46489"/>
    <cellStyle name="检查单元格 2 3 3 2" xfId="46490"/>
    <cellStyle name="检查单元格 2 3 3 2 2" xfId="46491"/>
    <cellStyle name="检查单元格 2 3 3 2 3" xfId="46492"/>
    <cellStyle name="检查单元格 2 3 3 2 3 2" xfId="46493"/>
    <cellStyle name="检查单元格 2 3 3 2 3 2 2" xfId="46494"/>
    <cellStyle name="检查单元格 2 3 3 2 4" xfId="46495"/>
    <cellStyle name="检查单元格 2 3 3 2 4 2" xfId="46496"/>
    <cellStyle name="检查单元格 2 3 3 3" xfId="46497"/>
    <cellStyle name="检查单元格 2 3 3 3 2" xfId="46498"/>
    <cellStyle name="检查单元格 2 3 3 3 2 2" xfId="46499"/>
    <cellStyle name="检查单元格 2 3 3 3 2 2 2" xfId="46500"/>
    <cellStyle name="检查单元格 2 3 3 3 3" xfId="46501"/>
    <cellStyle name="检查单元格 2 3 3 3 3 2" xfId="46502"/>
    <cellStyle name="检查单元格 2 3 3 4" xfId="46503"/>
    <cellStyle name="检查单元格 2 3 3 5" xfId="46504"/>
    <cellStyle name="检查单元格 2 3 3 6" xfId="46505"/>
    <cellStyle name="检查单元格 2 3 4" xfId="46506"/>
    <cellStyle name="检查单元格 2 3 4 2" xfId="46507"/>
    <cellStyle name="检查单元格 2 3 4 2 2" xfId="46508"/>
    <cellStyle name="检查单元格 2 3 4 2 3" xfId="46509"/>
    <cellStyle name="检查单元格 2 3 4 2 3 2" xfId="46510"/>
    <cellStyle name="检查单元格 2 3 4 2 3 2 2" xfId="46511"/>
    <cellStyle name="检查单元格 2 3 4 2 4" xfId="46512"/>
    <cellStyle name="检查单元格 2 3 4 2 4 2" xfId="46513"/>
    <cellStyle name="检查单元格 2 3 4 3" xfId="46514"/>
    <cellStyle name="检查单元格 2 3 4 4" xfId="46515"/>
    <cellStyle name="检查单元格 2 3 4 5" xfId="46516"/>
    <cellStyle name="检查单元格 2 3 4 6" xfId="46517"/>
    <cellStyle name="检查单元格 2 3 5" xfId="46518"/>
    <cellStyle name="检查单元格 2 3 5 2" xfId="46519"/>
    <cellStyle name="检查单元格 2 3 5 2 2" xfId="46520"/>
    <cellStyle name="检查单元格 2 3 5 2 2 2" xfId="46521"/>
    <cellStyle name="检查单元格 2 3 5 2 2 2 2" xfId="46522"/>
    <cellStyle name="检查单元格 2 3 5 2 3" xfId="46523"/>
    <cellStyle name="检查单元格 2 3 5 2 3 2" xfId="46524"/>
    <cellStyle name="检查单元格 2 3 5 3" xfId="46525"/>
    <cellStyle name="检查单元格 2 3 5 3 2" xfId="46526"/>
    <cellStyle name="检查单元格 2 3 5 3 2 2" xfId="46527"/>
    <cellStyle name="检查单元格 2 3 5 4" xfId="46528"/>
    <cellStyle name="检查单元格 2 3 5 4 2" xfId="46529"/>
    <cellStyle name="检查单元格 2 3 6" xfId="46530"/>
    <cellStyle name="检查单元格 2 3 6 2" xfId="46531"/>
    <cellStyle name="检查单元格 2 3 6 2 2" xfId="46532"/>
    <cellStyle name="检查单元格 2 3 6 2 2 2" xfId="46533"/>
    <cellStyle name="检查单元格 2 3 6 3" xfId="46534"/>
    <cellStyle name="检查单元格 2 3 6 3 2" xfId="46535"/>
    <cellStyle name="检查单元格 2 3 7" xfId="46536"/>
    <cellStyle name="检查单元格 2 3 7 2" xfId="46537"/>
    <cellStyle name="检查单元格 2 3 7 2 2" xfId="46538"/>
    <cellStyle name="检查单元格 2 3 7 2 2 2" xfId="46539"/>
    <cellStyle name="检查单元格 2 3 7 3" xfId="46540"/>
    <cellStyle name="检查单元格 2 3 7 3 2" xfId="46541"/>
    <cellStyle name="检查单元格 2 3 8" xfId="46542"/>
    <cellStyle name="检查单元格 2 3 9" xfId="46543"/>
    <cellStyle name="检查单元格 2 4" xfId="46544"/>
    <cellStyle name="检查单元格 2 4 2" xfId="46545"/>
    <cellStyle name="检查单元格 2 4 2 2" xfId="46546"/>
    <cellStyle name="检查单元格 2 4 2 3" xfId="46547"/>
    <cellStyle name="检查单元格 2 4 2 3 2" xfId="46548"/>
    <cellStyle name="检查单元格 2 4 2 3 2 2" xfId="46549"/>
    <cellStyle name="检查单元格 2 4 2 4" xfId="46550"/>
    <cellStyle name="检查单元格 2 4 2 4 2" xfId="46551"/>
    <cellStyle name="检查单元格 2 4 3" xfId="46552"/>
    <cellStyle name="检查单元格 2 4 3 2" xfId="46553"/>
    <cellStyle name="检查单元格 2 4 3 2 2" xfId="46554"/>
    <cellStyle name="检查单元格 2 4 3 2 2 2" xfId="46555"/>
    <cellStyle name="检查单元格 2 4 3 3" xfId="46556"/>
    <cellStyle name="检查单元格 2 4 3 3 2" xfId="46557"/>
    <cellStyle name="检查单元格 2 4 4" xfId="46558"/>
    <cellStyle name="检查单元格 2 4 5" xfId="46559"/>
    <cellStyle name="检查单元格 2 4 6" xfId="46560"/>
    <cellStyle name="检查单元格 2 5" xfId="46561"/>
    <cellStyle name="检查单元格 2 5 2" xfId="46562"/>
    <cellStyle name="检查单元格 2 5 2 2" xfId="46563"/>
    <cellStyle name="检查单元格 2 5 2 3" xfId="46564"/>
    <cellStyle name="检查单元格 2 5 2 3 2" xfId="46565"/>
    <cellStyle name="检查单元格 2 5 2 3 2 2" xfId="46566"/>
    <cellStyle name="检查单元格 2 5 2 4" xfId="46567"/>
    <cellStyle name="检查单元格 2 5 2 4 2" xfId="46568"/>
    <cellStyle name="检查单元格 2 5 3" xfId="46569"/>
    <cellStyle name="检查单元格 2 5 4" xfId="46570"/>
    <cellStyle name="检查单元格 2 5 5" xfId="46571"/>
    <cellStyle name="检查单元格 2 5 6" xfId="46572"/>
    <cellStyle name="检查单元格 2 6" xfId="46573"/>
    <cellStyle name="检查单元格 2 6 2" xfId="46574"/>
    <cellStyle name="检查单元格 2 6 2 2" xfId="46575"/>
    <cellStyle name="检查单元格 2 6 2 2 2" xfId="46576"/>
    <cellStyle name="检查单元格 2 6 2 2 2 2" xfId="46577"/>
    <cellStyle name="检查单元格 2 6 2 3" xfId="46578"/>
    <cellStyle name="检查单元格 2 6 2 3 2" xfId="46579"/>
    <cellStyle name="检查单元格 2 6 3" xfId="46580"/>
    <cellStyle name="检查单元格 2 6 3 2" xfId="46581"/>
    <cellStyle name="检查单元格 2 6 3 2 2" xfId="46582"/>
    <cellStyle name="检查单元格 2 6 4" xfId="46583"/>
    <cellStyle name="检查单元格 2 6 4 2" xfId="46584"/>
    <cellStyle name="检查单元格 2 7" xfId="46585"/>
    <cellStyle name="检查单元格 2 7 2" xfId="46586"/>
    <cellStyle name="检查单元格 2 7 2 2" xfId="46587"/>
    <cellStyle name="检查单元格 2 7 2 2 2" xfId="46588"/>
    <cellStyle name="检查单元格 2 7 2 2 2 2" xfId="46589"/>
    <cellStyle name="检查单元格 2 7 2 3" xfId="46590"/>
    <cellStyle name="检查单元格 2 7 2 3 2" xfId="46591"/>
    <cellStyle name="检查单元格 2 7 3" xfId="46592"/>
    <cellStyle name="检查单元格 2 7 3 2" xfId="46593"/>
    <cellStyle name="检查单元格 2 7 3 2 2" xfId="46594"/>
    <cellStyle name="检查单元格 2 7 4" xfId="46595"/>
    <cellStyle name="检查单元格 2 7 4 2" xfId="46596"/>
    <cellStyle name="检查单元格 2 8" xfId="46597"/>
    <cellStyle name="检查单元格 2 8 2" xfId="46598"/>
    <cellStyle name="检查单元格 2 8 2 2" xfId="46599"/>
    <cellStyle name="检查单元格 2 8 2 2 2" xfId="46600"/>
    <cellStyle name="检查单元格 2 8 2 2 2 2" xfId="46601"/>
    <cellStyle name="检查单元格 2 8 2 3" xfId="46602"/>
    <cellStyle name="检查单元格 2 8 2 3 2" xfId="46603"/>
    <cellStyle name="检查单元格 2 8 3" xfId="46604"/>
    <cellStyle name="检查单元格 2 8 3 2" xfId="46605"/>
    <cellStyle name="检查单元格 2 8 3 2 2" xfId="46606"/>
    <cellStyle name="检查单元格 2 8 4" xfId="46607"/>
    <cellStyle name="检查单元格 2 8 4 2" xfId="46608"/>
    <cellStyle name="检查单元格 2 9" xfId="46609"/>
    <cellStyle name="检查单元格 2 9 2" xfId="46610"/>
    <cellStyle name="检查单元格 2 9 2 2" xfId="46611"/>
    <cellStyle name="检查单元格 2 9 2 2 2" xfId="46612"/>
    <cellStyle name="检查单元格 2 9 3" xfId="46613"/>
    <cellStyle name="检查单元格 2 9 3 2" xfId="46614"/>
    <cellStyle name="检查单元格 3" xfId="46615"/>
    <cellStyle name="检查单元格 3 2" xfId="46616"/>
    <cellStyle name="检查单元格 3 2 2" xfId="46617"/>
    <cellStyle name="检查单元格 3 2 2 2" xfId="46618"/>
    <cellStyle name="检查单元格 3 2 2 2 2" xfId="46619"/>
    <cellStyle name="检查单元格 3 2 2 2 3" xfId="46620"/>
    <cellStyle name="检查单元格 3 2 2 2 3 2" xfId="46621"/>
    <cellStyle name="检查单元格 3 2 2 2 3 2 2" xfId="46622"/>
    <cellStyle name="检查单元格 3 2 2 2 4" xfId="46623"/>
    <cellStyle name="检查单元格 3 2 2 2 4 2" xfId="46624"/>
    <cellStyle name="检查单元格 3 2 2 3" xfId="46625"/>
    <cellStyle name="检查单元格 3 2 2 3 2" xfId="46626"/>
    <cellStyle name="检查单元格 3 2 2 3 2 2" xfId="46627"/>
    <cellStyle name="检查单元格 3 2 2 3 2 2 2" xfId="46628"/>
    <cellStyle name="检查单元格 3 2 2 3 3" xfId="46629"/>
    <cellStyle name="检查单元格 3 2 2 3 3 2" xfId="46630"/>
    <cellStyle name="检查单元格 3 2 2 4" xfId="46631"/>
    <cellStyle name="检查单元格 3 2 2 5" xfId="46632"/>
    <cellStyle name="检查单元格 3 2 2 6" xfId="46633"/>
    <cellStyle name="检查单元格 3 2 3" xfId="46634"/>
    <cellStyle name="检查单元格 3 2 3 2" xfId="46635"/>
    <cellStyle name="检查单元格 3 2 3 3" xfId="46636"/>
    <cellStyle name="检查单元格 3 2 3 3 2" xfId="46637"/>
    <cellStyle name="检查单元格 3 2 3 3 2 2" xfId="46638"/>
    <cellStyle name="检查单元格 3 2 3 4" xfId="46639"/>
    <cellStyle name="检查单元格 3 2 3 4 2" xfId="46640"/>
    <cellStyle name="检查单元格 3 2 4" xfId="46641"/>
    <cellStyle name="检查单元格 3 2 4 2" xfId="46642"/>
    <cellStyle name="检查单元格 3 2 4 2 2" xfId="46643"/>
    <cellStyle name="检查单元格 3 2 4 2 2 2" xfId="46644"/>
    <cellStyle name="检查单元格 3 2 4 3" xfId="46645"/>
    <cellStyle name="检查单元格 3 2 4 3 2" xfId="46646"/>
    <cellStyle name="检查单元格 3 2 5" xfId="46647"/>
    <cellStyle name="检查单元格 3 2 6" xfId="46648"/>
    <cellStyle name="检查单元格 3 2 7" xfId="46649"/>
    <cellStyle name="检查单元格 3 3" xfId="46650"/>
    <cellStyle name="检查单元格 3 3 2" xfId="46651"/>
    <cellStyle name="检查单元格 3 3 2 2" xfId="46652"/>
    <cellStyle name="检查单元格 3 3 2 3" xfId="46653"/>
    <cellStyle name="检查单元格 3 3 2 3 2" xfId="46654"/>
    <cellStyle name="检查单元格 3 3 2 3 2 2" xfId="46655"/>
    <cellStyle name="检查单元格 3 3 2 4" xfId="46656"/>
    <cellStyle name="检查单元格 3 3 2 4 2" xfId="46657"/>
    <cellStyle name="检查单元格 3 3 3" xfId="46658"/>
    <cellStyle name="检查单元格 3 3 3 2" xfId="46659"/>
    <cellStyle name="检查单元格 3 3 3 2 2" xfId="46660"/>
    <cellStyle name="检查单元格 3 3 3 2 2 2" xfId="46661"/>
    <cellStyle name="检查单元格 3 3 3 3" xfId="46662"/>
    <cellStyle name="检查单元格 3 3 3 3 2" xfId="46663"/>
    <cellStyle name="检查单元格 3 3 4" xfId="46664"/>
    <cellStyle name="检查单元格 3 3 5" xfId="46665"/>
    <cellStyle name="检查单元格 3 3 6" xfId="46666"/>
    <cellStyle name="检查单元格 3 4" xfId="46667"/>
    <cellStyle name="检查单元格 3 4 2" xfId="46668"/>
    <cellStyle name="检查单元格 3 4 2 2" xfId="46669"/>
    <cellStyle name="检查单元格 3 4 2 3" xfId="46670"/>
    <cellStyle name="检查单元格 3 4 2 3 2" xfId="46671"/>
    <cellStyle name="检查单元格 3 4 2 3 2 2" xfId="46672"/>
    <cellStyle name="检查单元格 3 4 2 4" xfId="46673"/>
    <cellStyle name="检查单元格 3 4 2 4 2" xfId="46674"/>
    <cellStyle name="检查单元格 3 4 3" xfId="46675"/>
    <cellStyle name="检查单元格 3 4 4" xfId="46676"/>
    <cellStyle name="检查单元格 3 4 5" xfId="46677"/>
    <cellStyle name="检查单元格 3 4 6" xfId="46678"/>
    <cellStyle name="检查单元格 3 5" xfId="46679"/>
    <cellStyle name="检查单元格 3 5 2" xfId="46680"/>
    <cellStyle name="检查单元格 3 5 2 2" xfId="46681"/>
    <cellStyle name="检查单元格 3 5 2 2 2" xfId="46682"/>
    <cellStyle name="检查单元格 3 5 2 2 2 2" xfId="46683"/>
    <cellStyle name="检查单元格 3 5 2 3" xfId="46684"/>
    <cellStyle name="检查单元格 3 5 2 3 2" xfId="46685"/>
    <cellStyle name="检查单元格 3 5 3" xfId="46686"/>
    <cellStyle name="检查单元格 3 5 3 2" xfId="46687"/>
    <cellStyle name="检查单元格 3 5 3 2 2" xfId="46688"/>
    <cellStyle name="检查单元格 3 5 4" xfId="46689"/>
    <cellStyle name="检查单元格 3 5 4 2" xfId="46690"/>
    <cellStyle name="检查单元格 3 6" xfId="46691"/>
    <cellStyle name="检查单元格 3 6 2" xfId="46692"/>
    <cellStyle name="检查单元格 3 6 2 2" xfId="46693"/>
    <cellStyle name="检查单元格 3 6 2 2 2" xfId="46694"/>
    <cellStyle name="检查单元格 3 6 3" xfId="46695"/>
    <cellStyle name="检查单元格 3 6 3 2" xfId="46696"/>
    <cellStyle name="检查单元格 3 7" xfId="46697"/>
    <cellStyle name="检查单元格 3 8" xfId="46698"/>
    <cellStyle name="標準 2" xfId="46699"/>
    <cellStyle name="標準_2007AOP CAPEX WRC" xfId="46700"/>
    <cellStyle name="汇总 2" xfId="46701"/>
    <cellStyle name="汇总 2 10" xfId="46702"/>
    <cellStyle name="汇总 2 11" xfId="46703"/>
    <cellStyle name="汇总 2 2" xfId="46704"/>
    <cellStyle name="汇总 2 2 10" xfId="46705"/>
    <cellStyle name="汇总 2 2 11" xfId="46706"/>
    <cellStyle name="汇总 2 2 2" xfId="46707"/>
    <cellStyle name="汇总 2 2 2 2" xfId="46708"/>
    <cellStyle name="汇总 2 2 2 2 2" xfId="46709"/>
    <cellStyle name="汇总 2 2 2 2 2 2" xfId="46710"/>
    <cellStyle name="汇总 2 2 2 2 2 3" xfId="46711"/>
    <cellStyle name="汇总 2 2 2 2 2 3 2" xfId="46712"/>
    <cellStyle name="汇总 2 2 2 2 2 3 2 2" xfId="46713"/>
    <cellStyle name="汇总 2 2 2 2 2 4" xfId="46714"/>
    <cellStyle name="汇总 2 2 2 2 2 4 2" xfId="46715"/>
    <cellStyle name="汇总 2 2 2 2 3" xfId="46716"/>
    <cellStyle name="汇总 2 2 2 2 3 2" xfId="46717"/>
    <cellStyle name="汇总 2 2 2 2 3 2 2" xfId="46718"/>
    <cellStyle name="汇总 2 2 2 2 3 2 2 2" xfId="46719"/>
    <cellStyle name="汇总 2 2 2 2 3 3" xfId="46720"/>
    <cellStyle name="汇总 2 2 2 2 3 3 2" xfId="46721"/>
    <cellStyle name="汇总 2 2 2 2 4" xfId="46722"/>
    <cellStyle name="汇总 2 2 2 2 5" xfId="46723"/>
    <cellStyle name="汇总 2 2 2 2 6" xfId="46724"/>
    <cellStyle name="汇总 2 2 2 3" xfId="46725"/>
    <cellStyle name="汇总 2 2 2 3 2" xfId="46726"/>
    <cellStyle name="汇总 2 2 2 3 3" xfId="46727"/>
    <cellStyle name="汇总 2 2 2 3 3 2" xfId="46728"/>
    <cellStyle name="汇总 2 2 2 3 3 2 2" xfId="46729"/>
    <cellStyle name="汇总 2 2 2 3 4" xfId="46730"/>
    <cellStyle name="汇总 2 2 2 3 4 2" xfId="46731"/>
    <cellStyle name="汇总 2 2 2 4" xfId="46732"/>
    <cellStyle name="汇总 2 2 2 4 2" xfId="46733"/>
    <cellStyle name="汇总 2 2 2 4 2 2" xfId="46734"/>
    <cellStyle name="汇总 2 2 2 4 2 2 2" xfId="46735"/>
    <cellStyle name="汇总 2 2 2 4 3" xfId="46736"/>
    <cellStyle name="汇总 2 2 2 4 3 2" xfId="46737"/>
    <cellStyle name="汇总 2 2 2 5" xfId="46738"/>
    <cellStyle name="汇总 2 2 2 6" xfId="46739"/>
    <cellStyle name="汇总 2 2 2 7" xfId="46740"/>
    <cellStyle name="汇总 2 2 3" xfId="46741"/>
    <cellStyle name="汇总 2 2 3 2" xfId="46742"/>
    <cellStyle name="汇总 2 2 3 2 2" xfId="46743"/>
    <cellStyle name="汇总 2 2 3 2 3" xfId="46744"/>
    <cellStyle name="汇总 2 2 3 2 3 2" xfId="46745"/>
    <cellStyle name="汇总 2 2 3 2 3 2 2" xfId="46746"/>
    <cellStyle name="汇总 2 2 3 2 4" xfId="46747"/>
    <cellStyle name="汇总 2 2 3 2 4 2" xfId="46748"/>
    <cellStyle name="汇总 2 2 3 3" xfId="46749"/>
    <cellStyle name="汇总 2 2 3 3 2" xfId="46750"/>
    <cellStyle name="汇总 2 2 3 3 2 2" xfId="46751"/>
    <cellStyle name="汇总 2 2 3 3 2 2 2" xfId="46752"/>
    <cellStyle name="汇总 2 2 3 3 3" xfId="46753"/>
    <cellStyle name="汇总 2 2 3 3 3 2" xfId="46754"/>
    <cellStyle name="汇总 2 2 3 4" xfId="46755"/>
    <cellStyle name="汇总 2 2 3 5" xfId="46756"/>
    <cellStyle name="汇总 2 2 3 6" xfId="46757"/>
    <cellStyle name="汇总 2 2 4" xfId="46758"/>
    <cellStyle name="汇总 2 2 4 2" xfId="46759"/>
    <cellStyle name="汇总 2 2 4 2 2" xfId="46760"/>
    <cellStyle name="汇总 2 2 4 2 3" xfId="46761"/>
    <cellStyle name="汇总 2 2 4 2 3 2" xfId="46762"/>
    <cellStyle name="汇总 2 2 4 2 3 2 2" xfId="46763"/>
    <cellStyle name="汇总 2 2 4 2 4" xfId="46764"/>
    <cellStyle name="汇总 2 2 4 2 4 2" xfId="46765"/>
    <cellStyle name="汇总 2 2 4 3" xfId="46766"/>
    <cellStyle name="汇总 2 2 4 4" xfId="46767"/>
    <cellStyle name="汇总 2 2 4 5" xfId="46768"/>
    <cellStyle name="汇总 2 2 4 6" xfId="46769"/>
    <cellStyle name="汇总 2 2 5" xfId="46770"/>
    <cellStyle name="汇总 2 2 5 2" xfId="46771"/>
    <cellStyle name="汇总 2 2 5 2 2" xfId="46772"/>
    <cellStyle name="汇总 2 2 5 2 2 2" xfId="46773"/>
    <cellStyle name="汇总 2 2 5 2 2 2 2" xfId="46774"/>
    <cellStyle name="汇总 2 2 5 2 3" xfId="46775"/>
    <cellStyle name="汇总 2 2 5 2 3 2" xfId="46776"/>
    <cellStyle name="汇总 2 2 5 3" xfId="46777"/>
    <cellStyle name="汇总 2 2 5 3 2" xfId="46778"/>
    <cellStyle name="汇总 2 2 5 3 2 2" xfId="46779"/>
    <cellStyle name="汇总 2 2 5 4" xfId="46780"/>
    <cellStyle name="汇总 2 2 5 4 2" xfId="46781"/>
    <cellStyle name="汇总 2 2 6" xfId="46782"/>
    <cellStyle name="汇总 2 2 6 2" xfId="46783"/>
    <cellStyle name="汇总 2 2 6 2 2" xfId="46784"/>
    <cellStyle name="汇总 2 2 6 2 2 2" xfId="46785"/>
    <cellStyle name="汇总 2 2 6 2 2 2 2" xfId="46786"/>
    <cellStyle name="汇总 2 2 6 2 3" xfId="46787"/>
    <cellStyle name="汇总 2 2 6 2 3 2" xfId="46788"/>
    <cellStyle name="汇总 2 2 6 3" xfId="46789"/>
    <cellStyle name="汇总 2 2 6 3 2" xfId="46790"/>
    <cellStyle name="汇总 2 2 6 3 2 2" xfId="46791"/>
    <cellStyle name="汇总 2 2 6 4" xfId="46792"/>
    <cellStyle name="汇总 2 2 6 4 2" xfId="46793"/>
    <cellStyle name="汇总 2 2 7" xfId="46794"/>
    <cellStyle name="汇总 2 2 7 2" xfId="46795"/>
    <cellStyle name="汇总 2 2 7 2 2" xfId="46796"/>
    <cellStyle name="汇总 2 2 7 2 2 2" xfId="46797"/>
    <cellStyle name="汇总 2 2 7 2 2 2 2" xfId="46798"/>
    <cellStyle name="汇总 2 2 7 2 3" xfId="46799"/>
    <cellStyle name="汇总 2 2 7 2 3 2" xfId="46800"/>
    <cellStyle name="汇总 2 2 7 3" xfId="46801"/>
    <cellStyle name="汇总 2 2 7 3 2" xfId="46802"/>
    <cellStyle name="汇总 2 2 7 3 2 2" xfId="46803"/>
    <cellStyle name="汇总 2 2 7 4" xfId="46804"/>
    <cellStyle name="汇总 2 2 7 4 2" xfId="46805"/>
    <cellStyle name="汇总 2 2 8" xfId="46806"/>
    <cellStyle name="汇总 2 2 8 2" xfId="46807"/>
    <cellStyle name="汇总 2 2 8 2 2" xfId="46808"/>
    <cellStyle name="汇总 2 2 8 2 2 2" xfId="46809"/>
    <cellStyle name="汇总 2 2 8 3" xfId="46810"/>
    <cellStyle name="汇总 2 2 8 3 2" xfId="46811"/>
    <cellStyle name="汇总 2 2 9" xfId="46812"/>
    <cellStyle name="汇总 2 2 9 2" xfId="46813"/>
    <cellStyle name="汇总 2 2 9 2 2" xfId="46814"/>
    <cellStyle name="汇总 2 2 9 2 2 2" xfId="46815"/>
    <cellStyle name="汇总 2 2 9 3" xfId="46816"/>
    <cellStyle name="汇总 2 2 9 3 2" xfId="46817"/>
    <cellStyle name="汇总 2 3" xfId="46818"/>
    <cellStyle name="汇总 2 3 2" xfId="46819"/>
    <cellStyle name="汇总 2 3 2 2" xfId="46820"/>
    <cellStyle name="汇总 2 3 2 2 2" xfId="46821"/>
    <cellStyle name="汇总 2 3 2 2 2 2" xfId="46822"/>
    <cellStyle name="汇总 2 3 2 2 2 3" xfId="46823"/>
    <cellStyle name="汇总 2 3 2 2 2 3 2" xfId="46824"/>
    <cellStyle name="汇总 2 3 2 2 2 3 2 2" xfId="46825"/>
    <cellStyle name="汇总 2 3 2 2 2 4" xfId="46826"/>
    <cellStyle name="汇总 2 3 2 2 2 4 2" xfId="46827"/>
    <cellStyle name="汇总 2 3 2 2 3" xfId="46828"/>
    <cellStyle name="汇总 2 3 2 2 3 2" xfId="46829"/>
    <cellStyle name="汇总 2 3 2 2 3 2 2" xfId="46830"/>
    <cellStyle name="汇总 2 3 2 2 3 2 2 2" xfId="46831"/>
    <cellStyle name="汇总 2 3 2 2 3 3" xfId="46832"/>
    <cellStyle name="汇总 2 3 2 2 3 3 2" xfId="46833"/>
    <cellStyle name="汇总 2 3 2 2 4" xfId="46834"/>
    <cellStyle name="汇总 2 3 2 2 5" xfId="46835"/>
    <cellStyle name="汇总 2 3 2 2 6" xfId="46836"/>
    <cellStyle name="汇总 2 3 2 3" xfId="46837"/>
    <cellStyle name="汇总 2 3 2 3 2" xfId="46838"/>
    <cellStyle name="汇总 2 3 2 3 3" xfId="46839"/>
    <cellStyle name="汇总 2 3 2 3 3 2" xfId="46840"/>
    <cellStyle name="汇总 2 3 2 3 3 2 2" xfId="46841"/>
    <cellStyle name="汇总 2 3 2 3 4" xfId="46842"/>
    <cellStyle name="汇总 2 3 2 3 4 2" xfId="46843"/>
    <cellStyle name="汇总 2 3 2 4" xfId="46844"/>
    <cellStyle name="汇总 2 3 2 4 2" xfId="46845"/>
    <cellStyle name="汇总 2 3 2 4 2 2" xfId="46846"/>
    <cellStyle name="汇总 2 3 2 4 2 2 2" xfId="46847"/>
    <cellStyle name="汇总 2 3 2 4 3" xfId="46848"/>
    <cellStyle name="汇总 2 3 2 4 3 2" xfId="46849"/>
    <cellStyle name="汇总 2 3 2 5" xfId="46850"/>
    <cellStyle name="汇总 2 3 2 6" xfId="46851"/>
    <cellStyle name="汇总 2 3 2 7" xfId="46852"/>
    <cellStyle name="汇总 2 3 3" xfId="46853"/>
    <cellStyle name="汇总 2 3 3 2" xfId="46854"/>
    <cellStyle name="汇总 2 3 3 2 2" xfId="46855"/>
    <cellStyle name="汇总 2 3 3 2 3" xfId="46856"/>
    <cellStyle name="汇总 2 3 3 2 3 2" xfId="46857"/>
    <cellStyle name="汇总 2 3 3 2 3 2 2" xfId="46858"/>
    <cellStyle name="汇总 2 3 3 2 4" xfId="46859"/>
    <cellStyle name="汇总 2 3 3 2 4 2" xfId="46860"/>
    <cellStyle name="汇总 2 3 3 3" xfId="46861"/>
    <cellStyle name="汇总 2 3 3 3 2" xfId="46862"/>
    <cellStyle name="汇总 2 3 3 3 2 2" xfId="46863"/>
    <cellStyle name="汇总 2 3 3 3 2 2 2" xfId="46864"/>
    <cellStyle name="汇总 2 3 3 3 3" xfId="46865"/>
    <cellStyle name="汇总 2 3 3 3 3 2" xfId="46866"/>
    <cellStyle name="汇总 2 3 3 4" xfId="46867"/>
    <cellStyle name="汇总 2 3 3 5" xfId="46868"/>
    <cellStyle name="汇总 2 3 3 6" xfId="46869"/>
    <cellStyle name="汇总 2 3 4" xfId="46870"/>
    <cellStyle name="汇总 2 3 4 2" xfId="46871"/>
    <cellStyle name="汇总 2 3 4 2 2" xfId="46872"/>
    <cellStyle name="汇总 2 3 4 2 3" xfId="46873"/>
    <cellStyle name="汇总 2 3 4 2 3 2" xfId="46874"/>
    <cellStyle name="汇总 2 3 4 2 3 2 2" xfId="46875"/>
    <cellStyle name="汇总 2 3 4 2 4" xfId="46876"/>
    <cellStyle name="汇总 2 3 4 2 4 2" xfId="46877"/>
    <cellStyle name="汇总 2 3 4 3" xfId="46878"/>
    <cellStyle name="汇总 2 3 4 4" xfId="46879"/>
    <cellStyle name="汇总 2 3 4 5" xfId="46880"/>
    <cellStyle name="汇总 2 3 4 6" xfId="46881"/>
    <cellStyle name="汇总 2 3 5" xfId="46882"/>
    <cellStyle name="汇总 2 3 5 2" xfId="46883"/>
    <cellStyle name="汇总 2 3 5 2 2" xfId="46884"/>
    <cellStyle name="汇总 2 3 5 2 2 2" xfId="46885"/>
    <cellStyle name="汇总 2 3 5 2 2 2 2" xfId="46886"/>
    <cellStyle name="汇总 2 3 5 2 3" xfId="46887"/>
    <cellStyle name="汇总 2 3 5 2 3 2" xfId="46888"/>
    <cellStyle name="汇总 2 3 5 3" xfId="46889"/>
    <cellStyle name="汇总 2 3 5 3 2" xfId="46890"/>
    <cellStyle name="汇总 2 3 5 3 2 2" xfId="46891"/>
    <cellStyle name="汇总 2 3 5 4" xfId="46892"/>
    <cellStyle name="汇总 2 3 5 4 2" xfId="46893"/>
    <cellStyle name="汇总 2 3 6" xfId="46894"/>
    <cellStyle name="汇总 2 3 6 2" xfId="46895"/>
    <cellStyle name="汇总 2 3 6 2 2" xfId="46896"/>
    <cellStyle name="汇总 2 3 6 2 2 2" xfId="46897"/>
    <cellStyle name="汇总 2 3 6 3" xfId="46898"/>
    <cellStyle name="汇总 2 3 6 3 2" xfId="46899"/>
    <cellStyle name="汇总 2 3 7" xfId="46900"/>
    <cellStyle name="汇总 2 3 7 2" xfId="46901"/>
    <cellStyle name="汇总 2 3 7 2 2" xfId="46902"/>
    <cellStyle name="汇总 2 3 7 2 2 2" xfId="46903"/>
    <cellStyle name="汇总 2 3 7 3" xfId="46904"/>
    <cellStyle name="汇总 2 3 7 3 2" xfId="46905"/>
    <cellStyle name="汇总 2 3 8" xfId="46906"/>
    <cellStyle name="汇总 2 3 9" xfId="46907"/>
    <cellStyle name="汇总 2 4" xfId="46908"/>
    <cellStyle name="汇总 2 4 2" xfId="46909"/>
    <cellStyle name="汇总 2 4 2 2" xfId="46910"/>
    <cellStyle name="汇总 2 4 2 3" xfId="46911"/>
    <cellStyle name="汇总 2 4 2 3 2" xfId="46912"/>
    <cellStyle name="汇总 2 4 2 3 2 2" xfId="46913"/>
    <cellStyle name="汇总 2 4 2 4" xfId="46914"/>
    <cellStyle name="汇总 2 4 2 4 2" xfId="46915"/>
    <cellStyle name="汇总 2 4 3" xfId="46916"/>
    <cellStyle name="汇总 2 4 3 2" xfId="46917"/>
    <cellStyle name="汇总 2 4 3 2 2" xfId="46918"/>
    <cellStyle name="汇总 2 4 3 2 2 2" xfId="46919"/>
    <cellStyle name="汇总 2 4 3 3" xfId="46920"/>
    <cellStyle name="汇总 2 4 3 3 2" xfId="46921"/>
    <cellStyle name="汇总 2 4 4" xfId="46922"/>
    <cellStyle name="汇总 2 4 5" xfId="46923"/>
    <cellStyle name="汇总 2 4 6" xfId="46924"/>
    <cellStyle name="汇总 2 5" xfId="46925"/>
    <cellStyle name="汇总 2 5 2" xfId="46926"/>
    <cellStyle name="汇总 2 5 2 2" xfId="46927"/>
    <cellStyle name="汇总 2 5 2 3" xfId="46928"/>
    <cellStyle name="汇总 2 5 2 3 2" xfId="46929"/>
    <cellStyle name="汇总 2 5 2 3 2 2" xfId="46930"/>
    <cellStyle name="汇总 2 5 2 4" xfId="46931"/>
    <cellStyle name="汇总 2 5 2 4 2" xfId="46932"/>
    <cellStyle name="汇总 2 5 3" xfId="46933"/>
    <cellStyle name="汇总 2 5 4" xfId="46934"/>
    <cellStyle name="汇总 2 5 5" xfId="46935"/>
    <cellStyle name="汇总 2 5 6" xfId="46936"/>
    <cellStyle name="汇总 2 6" xfId="46937"/>
    <cellStyle name="汇总 2 6 2" xfId="46938"/>
    <cellStyle name="汇总 2 6 2 2" xfId="46939"/>
    <cellStyle name="汇总 2 6 2 2 2" xfId="46940"/>
    <cellStyle name="汇总 2 6 2 2 2 2" xfId="46941"/>
    <cellStyle name="汇总 2 6 2 3" xfId="46942"/>
    <cellStyle name="汇总 2 6 2 3 2" xfId="46943"/>
    <cellStyle name="汇总 2 6 3" xfId="46944"/>
    <cellStyle name="汇总 2 6 3 2" xfId="46945"/>
    <cellStyle name="汇总 2 6 3 2 2" xfId="46946"/>
    <cellStyle name="汇总 2 6 4" xfId="46947"/>
    <cellStyle name="汇总 2 6 4 2" xfId="46948"/>
    <cellStyle name="汇总 2 7" xfId="46949"/>
    <cellStyle name="汇总 2 7 2" xfId="46950"/>
    <cellStyle name="汇总 2 7 2 2" xfId="46951"/>
    <cellStyle name="汇总 2 7 2 2 2" xfId="46952"/>
    <cellStyle name="汇总 2 7 2 2 2 2" xfId="46953"/>
    <cellStyle name="汇总 2 7 2 3" xfId="46954"/>
    <cellStyle name="汇总 2 7 2 3 2" xfId="46955"/>
    <cellStyle name="汇总 2 7 3" xfId="46956"/>
    <cellStyle name="汇总 2 7 3 2" xfId="46957"/>
    <cellStyle name="汇总 2 7 3 2 2" xfId="46958"/>
    <cellStyle name="汇总 2 7 4" xfId="46959"/>
    <cellStyle name="汇总 2 7 4 2" xfId="46960"/>
    <cellStyle name="汇总 2 8" xfId="46961"/>
    <cellStyle name="汇总 2 8 2" xfId="46962"/>
    <cellStyle name="汇总 2 8 2 2" xfId="46963"/>
    <cellStyle name="汇总 2 8 2 2 2" xfId="46964"/>
    <cellStyle name="汇总 2 8 2 2 2 2" xfId="46965"/>
    <cellStyle name="汇总 2 8 2 3" xfId="46966"/>
    <cellStyle name="汇总 2 8 2 3 2" xfId="46967"/>
    <cellStyle name="汇总 2 8 3" xfId="46968"/>
    <cellStyle name="汇总 2 8 3 2" xfId="46969"/>
    <cellStyle name="汇总 2 8 3 2 2" xfId="46970"/>
    <cellStyle name="汇总 2 8 4" xfId="46971"/>
    <cellStyle name="汇总 2 8 4 2" xfId="46972"/>
    <cellStyle name="汇总 2 9" xfId="46973"/>
    <cellStyle name="汇总 2 9 2" xfId="46974"/>
    <cellStyle name="汇总 2 9 2 2" xfId="46975"/>
    <cellStyle name="汇总 2 9 2 2 2" xfId="46976"/>
    <cellStyle name="汇总 2 9 3" xfId="46977"/>
    <cellStyle name="汇总 2 9 3 2" xfId="46978"/>
    <cellStyle name="汇总 3" xfId="46979"/>
    <cellStyle name="汇总 3 2" xfId="46980"/>
    <cellStyle name="汇总 3 2 2" xfId="46981"/>
    <cellStyle name="汇总 3 2 2 2" xfId="46982"/>
    <cellStyle name="汇总 3 2 2 2 2" xfId="46983"/>
    <cellStyle name="汇总 3 2 2 2 3" xfId="46984"/>
    <cellStyle name="汇总 3 2 2 2 3 2" xfId="46985"/>
    <cellStyle name="汇总 3 2 2 2 3 2 2" xfId="46986"/>
    <cellStyle name="汇总 3 2 2 2 4" xfId="46987"/>
    <cellStyle name="汇总 3 2 2 2 4 2" xfId="46988"/>
    <cellStyle name="汇总 3 2 2 3" xfId="46989"/>
    <cellStyle name="汇总 3 2 2 3 2" xfId="46990"/>
    <cellStyle name="汇总 3 2 2 3 2 2" xfId="46991"/>
    <cellStyle name="汇总 3 2 2 3 2 2 2" xfId="46992"/>
    <cellStyle name="汇总 3 2 2 3 3" xfId="46993"/>
    <cellStyle name="汇总 3 2 2 3 3 2" xfId="46994"/>
    <cellStyle name="汇总 3 2 2 4" xfId="46995"/>
    <cellStyle name="汇总 3 2 2 5" xfId="46996"/>
    <cellStyle name="汇总 3 2 2 6" xfId="46997"/>
    <cellStyle name="汇总 3 2 3" xfId="46998"/>
    <cellStyle name="汇总 3 2 3 2" xfId="46999"/>
    <cellStyle name="汇总 3 2 3 3" xfId="47000"/>
    <cellStyle name="汇总 3 2 3 3 2" xfId="47001"/>
    <cellStyle name="汇总 3 2 3 3 2 2" xfId="47002"/>
    <cellStyle name="汇总 3 2 3 4" xfId="47003"/>
    <cellStyle name="汇总 3 2 3 4 2" xfId="47004"/>
    <cellStyle name="汇总 3 2 4" xfId="47005"/>
    <cellStyle name="汇总 3 2 4 2" xfId="47006"/>
    <cellStyle name="汇总 3 2 4 2 2" xfId="47007"/>
    <cellStyle name="汇总 3 2 4 2 2 2" xfId="47008"/>
    <cellStyle name="汇总 3 2 4 3" xfId="47009"/>
    <cellStyle name="汇总 3 2 4 3 2" xfId="47010"/>
    <cellStyle name="汇总 3 2 5" xfId="47011"/>
    <cellStyle name="汇总 3 2 6" xfId="47012"/>
    <cellStyle name="汇总 3 2 7" xfId="47013"/>
    <cellStyle name="汇总 3 3" xfId="47014"/>
    <cellStyle name="汇总 3 3 2" xfId="47015"/>
    <cellStyle name="汇总 3 3 2 2" xfId="47016"/>
    <cellStyle name="汇总 3 3 2 3" xfId="47017"/>
    <cellStyle name="汇总 3 3 2 3 2" xfId="47018"/>
    <cellStyle name="汇总 3 3 2 3 2 2" xfId="47019"/>
    <cellStyle name="汇总 3 3 2 4" xfId="47020"/>
    <cellStyle name="汇总 3 3 2 4 2" xfId="47021"/>
    <cellStyle name="汇总 3 3 3" xfId="47022"/>
    <cellStyle name="汇总 3 3 3 2" xfId="47023"/>
    <cellStyle name="汇总 3 3 3 2 2" xfId="47024"/>
    <cellStyle name="汇总 3 3 3 2 2 2" xfId="47025"/>
    <cellStyle name="汇总 3 3 3 3" xfId="47026"/>
    <cellStyle name="汇总 3 3 3 3 2" xfId="47027"/>
    <cellStyle name="汇总 3 3 4" xfId="47028"/>
    <cellStyle name="汇总 3 3 5" xfId="47029"/>
    <cellStyle name="汇总 3 3 6" xfId="47030"/>
    <cellStyle name="汇总 3 4" xfId="47031"/>
    <cellStyle name="汇总 3 4 2" xfId="47032"/>
    <cellStyle name="汇总 3 4 2 2" xfId="47033"/>
    <cellStyle name="汇总 3 4 2 3" xfId="47034"/>
    <cellStyle name="汇总 3 4 2 3 2" xfId="47035"/>
    <cellStyle name="汇总 3 4 2 3 2 2" xfId="47036"/>
    <cellStyle name="汇总 3 4 2 4" xfId="47037"/>
    <cellStyle name="汇总 3 4 2 4 2" xfId="47038"/>
    <cellStyle name="汇总 3 4 3" xfId="47039"/>
    <cellStyle name="汇总 3 4 4" xfId="47040"/>
    <cellStyle name="汇总 3 4 5" xfId="47041"/>
    <cellStyle name="汇总 3 4 6" xfId="47042"/>
    <cellStyle name="汇总 3 5" xfId="47043"/>
    <cellStyle name="汇总 3 5 2" xfId="47044"/>
    <cellStyle name="汇总 3 5 2 2" xfId="47045"/>
    <cellStyle name="汇总 3 5 2 2 2" xfId="47046"/>
    <cellStyle name="汇总 3 5 2 2 2 2" xfId="47047"/>
    <cellStyle name="汇总 3 5 2 3" xfId="47048"/>
    <cellStyle name="汇总 3 5 2 3 2" xfId="47049"/>
    <cellStyle name="汇总 3 5 3" xfId="47050"/>
    <cellStyle name="汇总 3 5 3 2" xfId="47051"/>
    <cellStyle name="汇总 3 5 3 2 2" xfId="47052"/>
    <cellStyle name="汇总 3 5 4" xfId="47053"/>
    <cellStyle name="汇总 3 5 4 2" xfId="47054"/>
    <cellStyle name="汇总 3 6" xfId="47055"/>
    <cellStyle name="汇总 3 6 2" xfId="47056"/>
    <cellStyle name="汇总 3 6 2 2" xfId="47057"/>
    <cellStyle name="汇总 3 6 2 2 2" xfId="47058"/>
    <cellStyle name="汇总 3 6 3" xfId="47059"/>
    <cellStyle name="汇总 3 6 3 2" xfId="47060"/>
    <cellStyle name="汇总 3 7" xfId="47061"/>
    <cellStyle name="汇总 3 8" xfId="47062"/>
    <cellStyle name="注释 2" xfId="47063"/>
    <cellStyle name="注释 2 10" xfId="47064"/>
    <cellStyle name="注释 2 10 2" xfId="47065"/>
    <cellStyle name="注释 2 11" xfId="47066"/>
    <cellStyle name="注释 2 11 2" xfId="47067"/>
    <cellStyle name="注释 2 2" xfId="47068"/>
    <cellStyle name="注释 2 2 10" xfId="47069"/>
    <cellStyle name="注释 2 2 10 2" xfId="47070"/>
    <cellStyle name="注释 2 2 11" xfId="47071"/>
    <cellStyle name="注释 2 2 11 2" xfId="47072"/>
    <cellStyle name="注释 2 2 2" xfId="47073"/>
    <cellStyle name="注释 2 2 2 10" xfId="47074"/>
    <cellStyle name="注释 2 2 2 10 2" xfId="47075"/>
    <cellStyle name="注释 2 2 2 2" xfId="47076"/>
    <cellStyle name="注释 2 2 2 2 2" xfId="47077"/>
    <cellStyle name="注释 2 2 2 2 2 2" xfId="47078"/>
    <cellStyle name="注释 2 2 2 2 2 2 2" xfId="47079"/>
    <cellStyle name="注释 2 2 2 2 2 2 3" xfId="47080"/>
    <cellStyle name="注释 2 2 2 2 2 2 4" xfId="47081"/>
    <cellStyle name="注释 2 2 2 2 2 2 4 2" xfId="47082"/>
    <cellStyle name="注释 2 2 2 2 2 2 5" xfId="47083"/>
    <cellStyle name="注释 2 2 2 2 2 2 5 2" xfId="47084"/>
    <cellStyle name="注释 2 2 2 2 2 3" xfId="47085"/>
    <cellStyle name="注释 2 2 2 2 2 3 2" xfId="47086"/>
    <cellStyle name="注释 2 2 2 2 2 3 2 2" xfId="47087"/>
    <cellStyle name="注释 2 2 2 2 2 3 2 2 2" xfId="47088"/>
    <cellStyle name="注释 2 2 2 2 2 3 3" xfId="47089"/>
    <cellStyle name="注释 2 2 2 2 2 3 3 2" xfId="47090"/>
    <cellStyle name="注释 2 2 2 2 2 3 4" xfId="47091"/>
    <cellStyle name="注释 2 2 2 2 2 3 4 2" xfId="47092"/>
    <cellStyle name="注释 2 2 2 2 2 3 5" xfId="47093"/>
    <cellStyle name="注释 2 2 2 2 2 4" xfId="47094"/>
    <cellStyle name="注释 2 2 2 2 2 5" xfId="47095"/>
    <cellStyle name="注释 2 2 2 2 2 6" xfId="47096"/>
    <cellStyle name="注释 2 2 2 2 2 7" xfId="47097"/>
    <cellStyle name="注释 2 2 2 2 2 7 2" xfId="47098"/>
    <cellStyle name="注释 2 2 2 2 2 8" xfId="47099"/>
    <cellStyle name="注释 2 2 2 2 2 8 2" xfId="47100"/>
    <cellStyle name="注释 2 2 2 2 3" xfId="47101"/>
    <cellStyle name="注释 2 2 2 2 3 2" xfId="47102"/>
    <cellStyle name="注释 2 2 2 2 3 3" xfId="47103"/>
    <cellStyle name="注释 2 2 2 2 3 4" xfId="47104"/>
    <cellStyle name="注释 2 2 2 2 3 4 2" xfId="47105"/>
    <cellStyle name="注释 2 2 2 2 3 5" xfId="47106"/>
    <cellStyle name="注释 2 2 2 2 3 5 2" xfId="47107"/>
    <cellStyle name="注释 2 2 2 2 4" xfId="47108"/>
    <cellStyle name="注释 2 2 2 2 5" xfId="47109"/>
    <cellStyle name="注释 2 2 2 2 6" xfId="47110"/>
    <cellStyle name="注释 2 2 2 2 7" xfId="47111"/>
    <cellStyle name="注释 2 2 2 2 8" xfId="47112"/>
    <cellStyle name="注释 2 2 2 2 8 2" xfId="47113"/>
    <cellStyle name="注释 2 2 2 2 9" xfId="47114"/>
    <cellStyle name="注释 2 2 2 2 9 2" xfId="47115"/>
    <cellStyle name="注释 2 2 2 3" xfId="47116"/>
    <cellStyle name="注释 2 2 2 3 2" xfId="47117"/>
    <cellStyle name="注释 2 2 2 3 2 2" xfId="47118"/>
    <cellStyle name="注释 2 2 2 3 2 3" xfId="47119"/>
    <cellStyle name="注释 2 2 2 3 2 4" xfId="47120"/>
    <cellStyle name="注释 2 2 2 3 2 4 2" xfId="47121"/>
    <cellStyle name="注释 2 2 2 3 2 5" xfId="47122"/>
    <cellStyle name="注释 2 2 2 3 2 5 2" xfId="47123"/>
    <cellStyle name="注释 2 2 2 3 3" xfId="47124"/>
    <cellStyle name="注释 2 2 2 3 3 2" xfId="47125"/>
    <cellStyle name="注释 2 2 2 3 3 2 2" xfId="47126"/>
    <cellStyle name="注释 2 2 2 3 3 2 2 2" xfId="47127"/>
    <cellStyle name="注释 2 2 2 3 3 3" xfId="47128"/>
    <cellStyle name="注释 2 2 2 3 3 3 2" xfId="47129"/>
    <cellStyle name="注释 2 2 2 3 3 4" xfId="47130"/>
    <cellStyle name="注释 2 2 2 3 3 4 2" xfId="47131"/>
    <cellStyle name="注释 2 2 2 3 3 5" xfId="47132"/>
    <cellStyle name="注释 2 2 2 3 4" xfId="47133"/>
    <cellStyle name="注释 2 2 2 3 5" xfId="47134"/>
    <cellStyle name="注释 2 2 2 3 6" xfId="47135"/>
    <cellStyle name="注释 2 2 2 3 7" xfId="47136"/>
    <cellStyle name="注释 2 2 2 3 7 2" xfId="47137"/>
    <cellStyle name="注释 2 2 2 3 8" xfId="47138"/>
    <cellStyle name="注释 2 2 2 3 8 2" xfId="47139"/>
    <cellStyle name="注释 2 2 2 4" xfId="47140"/>
    <cellStyle name="注释 2 2 2 4 2" xfId="47141"/>
    <cellStyle name="注释 2 2 2 4 3" xfId="47142"/>
    <cellStyle name="注释 2 2 2 4 4" xfId="47143"/>
    <cellStyle name="注释 2 2 2 4 4 2" xfId="47144"/>
    <cellStyle name="注释 2 2 2 4 5" xfId="47145"/>
    <cellStyle name="注释 2 2 2 4 5 2" xfId="47146"/>
    <cellStyle name="注释 2 2 2 5" xfId="47147"/>
    <cellStyle name="注释 2 2 2 6" xfId="47148"/>
    <cellStyle name="注释 2 2 2 7" xfId="47149"/>
    <cellStyle name="注释 2 2 2 8" xfId="47150"/>
    <cellStyle name="注释 2 2 2 9" xfId="47151"/>
    <cellStyle name="注释 2 2 2 9 2" xfId="47152"/>
    <cellStyle name="注释 2 2 3" xfId="47153"/>
    <cellStyle name="注释 2 2 3 2" xfId="47154"/>
    <cellStyle name="注释 2 2 3 2 2" xfId="47155"/>
    <cellStyle name="注释 2 2 3 2 3" xfId="47156"/>
    <cellStyle name="注释 2 2 3 2 4" xfId="47157"/>
    <cellStyle name="注释 2 2 3 2 4 2" xfId="47158"/>
    <cellStyle name="注释 2 2 3 2 5" xfId="47159"/>
    <cellStyle name="注释 2 2 3 2 5 2" xfId="47160"/>
    <cellStyle name="注释 2 2 3 3" xfId="47161"/>
    <cellStyle name="注释 2 2 3 3 2" xfId="47162"/>
    <cellStyle name="注释 2 2 3 3 2 2" xfId="47163"/>
    <cellStyle name="注释 2 2 3 3 2 2 2" xfId="47164"/>
    <cellStyle name="注释 2 2 3 3 3" xfId="47165"/>
    <cellStyle name="注释 2 2 3 3 3 2" xfId="47166"/>
    <cellStyle name="注释 2 2 3 3 4" xfId="47167"/>
    <cellStyle name="注释 2 2 3 3 4 2" xfId="47168"/>
    <cellStyle name="注释 2 2 3 3 5" xfId="47169"/>
    <cellStyle name="注释 2 2 3 4" xfId="47170"/>
    <cellStyle name="注释 2 2 3 5" xfId="47171"/>
    <cellStyle name="注释 2 2 3 6" xfId="47172"/>
    <cellStyle name="注释 2 2 3 7" xfId="47173"/>
    <cellStyle name="注释 2 2 3 7 2" xfId="47174"/>
    <cellStyle name="注释 2 2 3 8" xfId="47175"/>
    <cellStyle name="注释 2 2 3 8 2" xfId="47176"/>
    <cellStyle name="注释 2 2 4" xfId="47177"/>
    <cellStyle name="注释 2 2 4 2" xfId="47178"/>
    <cellStyle name="注释 2 2 4 2 2" xfId="47179"/>
    <cellStyle name="注释 2 2 4 2 3" xfId="47180"/>
    <cellStyle name="注释 2 2 4 2 4" xfId="47181"/>
    <cellStyle name="注释 2 2 4 2 4 2" xfId="47182"/>
    <cellStyle name="注释 2 2 4 2 5" xfId="47183"/>
    <cellStyle name="注释 2 2 4 2 5 2" xfId="47184"/>
    <cellStyle name="注释 2 2 4 3" xfId="47185"/>
    <cellStyle name="注释 2 2 4 4" xfId="47186"/>
    <cellStyle name="注释 2 2 4 5" xfId="47187"/>
    <cellStyle name="注释 2 2 4 6" xfId="47188"/>
    <cellStyle name="注释 2 2 4 7" xfId="47189"/>
    <cellStyle name="注释 2 2 4 7 2" xfId="47190"/>
    <cellStyle name="注释 2 2 4 8" xfId="47191"/>
    <cellStyle name="注释 2 2 4 8 2" xfId="47192"/>
    <cellStyle name="注释 2 2 5" xfId="47193"/>
    <cellStyle name="注释 2 2 5 2" xfId="47194"/>
    <cellStyle name="注释 2 2 5 2 2" xfId="47195"/>
    <cellStyle name="注释 2 2 5 2 2 2" xfId="47196"/>
    <cellStyle name="注释 2 2 5 2 2 2 2" xfId="47197"/>
    <cellStyle name="注释 2 2 5 2 3" xfId="47198"/>
    <cellStyle name="注释 2 2 5 2 3 2" xfId="47199"/>
    <cellStyle name="注释 2 2 5 2 4" xfId="47200"/>
    <cellStyle name="注释 2 2 5 2 4 2" xfId="47201"/>
    <cellStyle name="注释 2 2 5 2 5" xfId="47202"/>
    <cellStyle name="注释 2 2 5 3" xfId="47203"/>
    <cellStyle name="注释 2 2 5 4" xfId="47204"/>
    <cellStyle name="注释 2 2 5 4 2" xfId="47205"/>
    <cellStyle name="注释 2 2 5 5" xfId="47206"/>
    <cellStyle name="注释 2 2 5 5 2" xfId="47207"/>
    <cellStyle name="注释 2 2 6" xfId="47208"/>
    <cellStyle name="注释 2 2 6 2" xfId="47209"/>
    <cellStyle name="注释 2 2 6 2 2" xfId="47210"/>
    <cellStyle name="注释 2 2 6 2 2 2" xfId="47211"/>
    <cellStyle name="注释 2 2 6 2 2 2 2" xfId="47212"/>
    <cellStyle name="注释 2 2 6 2 3" xfId="47213"/>
    <cellStyle name="注释 2 2 6 2 3 2" xfId="47214"/>
    <cellStyle name="注释 2 2 6 2 4" xfId="47215"/>
    <cellStyle name="注释 2 2 6 2 4 2" xfId="47216"/>
    <cellStyle name="注释 2 2 6 2 5" xfId="47217"/>
    <cellStyle name="注释 2 2 6 3" xfId="47218"/>
    <cellStyle name="注释 2 2 6 3 2" xfId="47219"/>
    <cellStyle name="注释 2 2 6 3 2 2" xfId="47220"/>
    <cellStyle name="注释 2 2 6 4" xfId="47221"/>
    <cellStyle name="注释 2 2 6 4 2" xfId="47222"/>
    <cellStyle name="注释 2 2 6 5" xfId="47223"/>
    <cellStyle name="注释 2 2 6 5 2" xfId="47224"/>
    <cellStyle name="注释 2 2 6 6" xfId="47225"/>
    <cellStyle name="注释 2 2 7" xfId="47226"/>
    <cellStyle name="注释 2 2 7 2" xfId="47227"/>
    <cellStyle name="注释 2 2 7 2 2" xfId="47228"/>
    <cellStyle name="注释 2 2 7 2 2 2" xfId="47229"/>
    <cellStyle name="注释 2 2 7 2 2 2 2" xfId="47230"/>
    <cellStyle name="注释 2 2 7 2 3" xfId="47231"/>
    <cellStyle name="注释 2 2 7 2 3 2" xfId="47232"/>
    <cellStyle name="注释 2 2 7 2 4" xfId="47233"/>
    <cellStyle name="注释 2 2 7 2 4 2" xfId="47234"/>
    <cellStyle name="注释 2 2 7 2 5" xfId="47235"/>
    <cellStyle name="注释 2 2 7 3" xfId="47236"/>
    <cellStyle name="注释 2 2 7 3 2" xfId="47237"/>
    <cellStyle name="注释 2 2 7 3 2 2" xfId="47238"/>
    <cellStyle name="注释 2 2 7 4" xfId="47239"/>
    <cellStyle name="注释 2 2 7 4 2" xfId="47240"/>
    <cellStyle name="注释 2 2 7 5" xfId="47241"/>
    <cellStyle name="注释 2 2 7 5 2" xfId="47242"/>
    <cellStyle name="注释 2 2 7 6" xfId="47243"/>
    <cellStyle name="注释 2 2 8" xfId="47244"/>
    <cellStyle name="注释 2 2 8 2" xfId="47245"/>
    <cellStyle name="注释 2 2 8 2 2" xfId="47246"/>
    <cellStyle name="注释 2 2 8 2 2 2" xfId="47247"/>
    <cellStyle name="注释 2 2 8 3" xfId="47248"/>
    <cellStyle name="注释 2 2 8 3 2" xfId="47249"/>
    <cellStyle name="注释 2 2 8 4" xfId="47250"/>
    <cellStyle name="注释 2 2 8 4 2" xfId="47251"/>
    <cellStyle name="注释 2 2 8 5" xfId="47252"/>
    <cellStyle name="注释 2 2 9" xfId="47253"/>
    <cellStyle name="注释 2 3" xfId="47254"/>
    <cellStyle name="注释 2 3 10" xfId="47255"/>
    <cellStyle name="注释 2 3 10 2" xfId="47256"/>
    <cellStyle name="注释 2 3 2" xfId="47257"/>
    <cellStyle name="注释 2 3 2 10" xfId="47258"/>
    <cellStyle name="注释 2 3 2 10 2" xfId="47259"/>
    <cellStyle name="注释 2 3 2 2" xfId="47260"/>
    <cellStyle name="注释 2 3 2 2 2" xfId="47261"/>
    <cellStyle name="注释 2 3 2 2 2 2" xfId="47262"/>
    <cellStyle name="注释 2 3 2 2 2 2 2" xfId="47263"/>
    <cellStyle name="注释 2 3 2 2 2 2 3" xfId="47264"/>
    <cellStyle name="注释 2 3 2 2 2 2 4" xfId="47265"/>
    <cellStyle name="注释 2 3 2 2 2 2 4 2" xfId="47266"/>
    <cellStyle name="注释 2 3 2 2 2 2 5" xfId="47267"/>
    <cellStyle name="注释 2 3 2 2 2 2 5 2" xfId="47268"/>
    <cellStyle name="注释 2 3 2 2 2 3" xfId="47269"/>
    <cellStyle name="注释 2 3 2 2 2 3 2" xfId="47270"/>
    <cellStyle name="注释 2 3 2 2 2 3 2 2" xfId="47271"/>
    <cellStyle name="注释 2 3 2 2 2 3 2 2 2" xfId="47272"/>
    <cellStyle name="注释 2 3 2 2 2 3 3" xfId="47273"/>
    <cellStyle name="注释 2 3 2 2 2 3 3 2" xfId="47274"/>
    <cellStyle name="注释 2 3 2 2 2 3 4" xfId="47275"/>
    <cellStyle name="注释 2 3 2 2 2 3 4 2" xfId="47276"/>
    <cellStyle name="注释 2 3 2 2 2 3 5" xfId="47277"/>
    <cellStyle name="注释 2 3 2 2 2 4" xfId="47278"/>
    <cellStyle name="注释 2 3 2 2 2 5" xfId="47279"/>
    <cellStyle name="注释 2 3 2 2 2 6" xfId="47280"/>
    <cellStyle name="注释 2 3 2 2 2 7" xfId="47281"/>
    <cellStyle name="注释 2 3 2 2 2 7 2" xfId="47282"/>
    <cellStyle name="注释 2 3 2 2 2 8" xfId="47283"/>
    <cellStyle name="注释 2 3 2 2 2 8 2" xfId="47284"/>
    <cellStyle name="注释 2 3 2 2 3" xfId="47285"/>
    <cellStyle name="注释 2 3 2 2 3 2" xfId="47286"/>
    <cellStyle name="注释 2 3 2 2 3 3" xfId="47287"/>
    <cellStyle name="注释 2 3 2 2 3 4" xfId="47288"/>
    <cellStyle name="注释 2 3 2 2 3 4 2" xfId="47289"/>
    <cellStyle name="注释 2 3 2 2 3 5" xfId="47290"/>
    <cellStyle name="注释 2 3 2 2 3 5 2" xfId="47291"/>
    <cellStyle name="注释 2 3 2 2 4" xfId="47292"/>
    <cellStyle name="注释 2 3 2 2 5" xfId="47293"/>
    <cellStyle name="注释 2 3 2 2 6" xfId="47294"/>
    <cellStyle name="注释 2 3 2 2 7" xfId="47295"/>
    <cellStyle name="注释 2 3 2 2 8" xfId="47296"/>
    <cellStyle name="注释 2 3 2 2 8 2" xfId="47297"/>
    <cellStyle name="注释 2 3 2 2 9" xfId="47298"/>
    <cellStyle name="注释 2 3 2 2 9 2" xfId="47299"/>
    <cellStyle name="注释 2 3 2 3" xfId="47300"/>
    <cellStyle name="注释 2 3 2 3 2" xfId="47301"/>
    <cellStyle name="注释 2 3 2 3 2 2" xfId="47302"/>
    <cellStyle name="注释 2 3 2 3 2 3" xfId="47303"/>
    <cellStyle name="注释 2 3 2 3 2 4" xfId="47304"/>
    <cellStyle name="注释 2 3 2 3 2 4 2" xfId="47305"/>
    <cellStyle name="注释 2 3 2 3 2 5" xfId="47306"/>
    <cellStyle name="注释 2 3 2 3 2 5 2" xfId="47307"/>
    <cellStyle name="注释 2 3 2 3 3" xfId="47308"/>
    <cellStyle name="注释 2 3 2 3 3 2" xfId="47309"/>
    <cellStyle name="注释 2 3 2 3 3 2 2" xfId="47310"/>
    <cellStyle name="注释 2 3 2 3 3 2 2 2" xfId="47311"/>
    <cellStyle name="注释 2 3 2 3 3 3" xfId="47312"/>
    <cellStyle name="注释 2 3 2 3 3 3 2" xfId="47313"/>
    <cellStyle name="注释 2 3 2 3 3 4" xfId="47314"/>
    <cellStyle name="注释 2 3 2 3 3 4 2" xfId="47315"/>
    <cellStyle name="注释 2 3 2 3 3 5" xfId="47316"/>
    <cellStyle name="注释 2 3 2 3 4" xfId="47317"/>
    <cellStyle name="注释 2 3 2 3 5" xfId="47318"/>
    <cellStyle name="注释 2 3 2 3 6" xfId="47319"/>
    <cellStyle name="注释 2 3 2 3 7" xfId="47320"/>
    <cellStyle name="注释 2 3 2 3 7 2" xfId="47321"/>
    <cellStyle name="注释 2 3 2 3 8" xfId="47322"/>
    <cellStyle name="注释 2 3 2 3 8 2" xfId="47323"/>
    <cellStyle name="注释 2 3 2 4" xfId="47324"/>
    <cellStyle name="注释 2 3 2 4 2" xfId="47325"/>
    <cellStyle name="注释 2 3 2 4 3" xfId="47326"/>
    <cellStyle name="注释 2 3 2 4 4" xfId="47327"/>
    <cellStyle name="注释 2 3 2 4 4 2" xfId="47328"/>
    <cellStyle name="注释 2 3 2 4 5" xfId="47329"/>
    <cellStyle name="注释 2 3 2 4 5 2" xfId="47330"/>
    <cellStyle name="注释 2 3 2 5" xfId="47331"/>
    <cellStyle name="注释 2 3 2 6" xfId="47332"/>
    <cellStyle name="注释 2 3 2 7" xfId="47333"/>
    <cellStyle name="注释 2 3 2 8" xfId="47334"/>
    <cellStyle name="注释 2 3 2 9" xfId="47335"/>
    <cellStyle name="注释 2 3 2 9 2" xfId="47336"/>
    <cellStyle name="注释 2 3 3" xfId="47337"/>
    <cellStyle name="注释 2 3 3 2" xfId="47338"/>
    <cellStyle name="注释 2 3 3 2 2" xfId="47339"/>
    <cellStyle name="注释 2 3 3 2 3" xfId="47340"/>
    <cellStyle name="注释 2 3 3 2 4" xfId="47341"/>
    <cellStyle name="注释 2 3 3 2 4 2" xfId="47342"/>
    <cellStyle name="注释 2 3 3 2 5" xfId="47343"/>
    <cellStyle name="注释 2 3 3 2 5 2" xfId="47344"/>
    <cellStyle name="注释 2 3 3 3" xfId="47345"/>
    <cellStyle name="注释 2 3 3 3 2" xfId="47346"/>
    <cellStyle name="注释 2 3 3 3 2 2" xfId="47347"/>
    <cellStyle name="注释 2 3 3 3 2 2 2" xfId="47348"/>
    <cellStyle name="注释 2 3 3 3 3" xfId="47349"/>
    <cellStyle name="注释 2 3 3 3 3 2" xfId="47350"/>
    <cellStyle name="注释 2 3 3 3 4" xfId="47351"/>
    <cellStyle name="注释 2 3 3 3 4 2" xfId="47352"/>
    <cellStyle name="注释 2 3 3 3 5" xfId="47353"/>
    <cellStyle name="注释 2 3 3 4" xfId="47354"/>
    <cellStyle name="注释 2 3 3 5" xfId="47355"/>
    <cellStyle name="注释 2 3 3 6" xfId="47356"/>
    <cellStyle name="注释 2 3 3 7" xfId="47357"/>
    <cellStyle name="注释 2 3 3 7 2" xfId="47358"/>
    <cellStyle name="注释 2 3 3 8" xfId="47359"/>
    <cellStyle name="注释 2 3 3 8 2" xfId="47360"/>
    <cellStyle name="注释 2 3 4" xfId="47361"/>
    <cellStyle name="注释 2 3 4 2" xfId="47362"/>
    <cellStyle name="注释 2 3 4 2 2" xfId="47363"/>
    <cellStyle name="注释 2 3 4 2 3" xfId="47364"/>
    <cellStyle name="注释 2 3 4 2 4" xfId="47365"/>
    <cellStyle name="注释 2 3 4 2 4 2" xfId="47366"/>
    <cellStyle name="注释 2 3 4 2 5" xfId="47367"/>
    <cellStyle name="注释 2 3 4 2 5 2" xfId="47368"/>
    <cellStyle name="注释 2 3 4 3" xfId="47369"/>
    <cellStyle name="注释 2 3 4 4" xfId="47370"/>
    <cellStyle name="注释 2 3 4 5" xfId="47371"/>
    <cellStyle name="注释 2 3 4 6" xfId="47372"/>
    <cellStyle name="注释 2 3 4 7" xfId="47373"/>
    <cellStyle name="注释 2 3 4 7 2" xfId="47374"/>
    <cellStyle name="注释 2 3 4 8" xfId="47375"/>
    <cellStyle name="注释 2 3 4 8 2" xfId="47376"/>
    <cellStyle name="注释 2 3 5" xfId="47377"/>
    <cellStyle name="注释 2 3 5 2" xfId="47378"/>
    <cellStyle name="注释 2 3 5 2 2" xfId="47379"/>
    <cellStyle name="注释 2 3 5 2 2 2" xfId="47380"/>
    <cellStyle name="注释 2 3 5 2 2 2 2" xfId="47381"/>
    <cellStyle name="注释 2 3 5 2 3" xfId="47382"/>
    <cellStyle name="注释 2 3 5 2 3 2" xfId="47383"/>
    <cellStyle name="注释 2 3 5 2 4" xfId="47384"/>
    <cellStyle name="注释 2 3 5 2 4 2" xfId="47385"/>
    <cellStyle name="注释 2 3 5 2 5" xfId="47386"/>
    <cellStyle name="注释 2 3 5 3" xfId="47387"/>
    <cellStyle name="注释 2 3 5 4" xfId="47388"/>
    <cellStyle name="注释 2 3 5 4 2" xfId="47389"/>
    <cellStyle name="注释 2 3 5 5" xfId="47390"/>
    <cellStyle name="注释 2 3 5 5 2" xfId="47391"/>
    <cellStyle name="注释 2 3 6" xfId="47392"/>
    <cellStyle name="注释 2 3 6 2" xfId="47393"/>
    <cellStyle name="注释 2 3 6 2 2" xfId="47394"/>
    <cellStyle name="注释 2 3 6 2 2 2" xfId="47395"/>
    <cellStyle name="注释 2 3 6 3" xfId="47396"/>
    <cellStyle name="注释 2 3 6 3 2" xfId="47397"/>
    <cellStyle name="注释 2 3 6 4" xfId="47398"/>
    <cellStyle name="注释 2 3 6 4 2" xfId="47399"/>
    <cellStyle name="注释 2 3 6 5" xfId="47400"/>
    <cellStyle name="注释 2 3 7" xfId="47401"/>
    <cellStyle name="注释 2 3 8" xfId="47402"/>
    <cellStyle name="注释 2 3 9" xfId="47403"/>
    <cellStyle name="注释 2 3 9 2" xfId="47404"/>
    <cellStyle name="注释 2 4" xfId="47405"/>
    <cellStyle name="注释 2 4 2" xfId="47406"/>
    <cellStyle name="注释 2 4 2 2" xfId="47407"/>
    <cellStyle name="注释 2 4 2 3" xfId="47408"/>
    <cellStyle name="注释 2 4 2 4" xfId="47409"/>
    <cellStyle name="注释 2 4 2 4 2" xfId="47410"/>
    <cellStyle name="注释 2 4 2 5" xfId="47411"/>
    <cellStyle name="注释 2 4 2 5 2" xfId="47412"/>
    <cellStyle name="注释 2 4 3" xfId="47413"/>
    <cellStyle name="注释 2 4 3 2" xfId="47414"/>
    <cellStyle name="注释 2 4 3 2 2" xfId="47415"/>
    <cellStyle name="注释 2 4 3 2 2 2" xfId="47416"/>
    <cellStyle name="注释 2 4 3 3" xfId="47417"/>
    <cellStyle name="注释 2 4 3 3 2" xfId="47418"/>
    <cellStyle name="注释 2 4 3 4" xfId="47419"/>
    <cellStyle name="注释 2 4 3 4 2" xfId="47420"/>
    <cellStyle name="注释 2 4 3 5" xfId="47421"/>
    <cellStyle name="注释 2 4 4" xfId="47422"/>
    <cellStyle name="注释 2 4 5" xfId="47423"/>
    <cellStyle name="注释 2 4 6" xfId="47424"/>
    <cellStyle name="注释 2 4 7" xfId="47425"/>
    <cellStyle name="注释 2 4 7 2" xfId="47426"/>
    <cellStyle name="注释 2 4 8" xfId="47427"/>
    <cellStyle name="注释 2 4 8 2" xfId="47428"/>
    <cellStyle name="注释 2 5" xfId="47429"/>
    <cellStyle name="注释 2 5 2" xfId="47430"/>
    <cellStyle name="注释 2 5 2 2" xfId="47431"/>
    <cellStyle name="注释 2 5 2 3" xfId="47432"/>
    <cellStyle name="注释 2 5 2 4" xfId="47433"/>
    <cellStyle name="注释 2 5 2 4 2" xfId="47434"/>
    <cellStyle name="注释 2 5 2 5" xfId="47435"/>
    <cellStyle name="注释 2 5 2 5 2" xfId="47436"/>
    <cellStyle name="注释 2 5 3" xfId="47437"/>
    <cellStyle name="注释 2 5 4" xfId="47438"/>
    <cellStyle name="注释 2 5 5" xfId="47439"/>
    <cellStyle name="注释 2 5 6" xfId="47440"/>
    <cellStyle name="注释 2 5 7" xfId="47441"/>
    <cellStyle name="注释 2 5 7 2" xfId="47442"/>
    <cellStyle name="注释 2 5 8" xfId="47443"/>
    <cellStyle name="注释 2 5 8 2" xfId="47444"/>
    <cellStyle name="注释 2 6" xfId="47445"/>
    <cellStyle name="注释 2 6 2" xfId="47446"/>
    <cellStyle name="注释 2 6 2 2" xfId="47447"/>
    <cellStyle name="注释 2 6 2 2 2" xfId="47448"/>
    <cellStyle name="注释 2 6 2 2 2 2" xfId="47449"/>
    <cellStyle name="注释 2 6 2 3" xfId="47450"/>
    <cellStyle name="注释 2 6 2 3 2" xfId="47451"/>
    <cellStyle name="注释 2 6 2 4" xfId="47452"/>
    <cellStyle name="注释 2 6 2 4 2" xfId="47453"/>
    <cellStyle name="注释 2 6 2 5" xfId="47454"/>
    <cellStyle name="注释 2 6 3" xfId="47455"/>
    <cellStyle name="注释 2 6 4" xfId="47456"/>
    <cellStyle name="注释 2 6 4 2" xfId="47457"/>
    <cellStyle name="注释 2 6 5" xfId="47458"/>
    <cellStyle name="注释 2 6 5 2" xfId="47459"/>
    <cellStyle name="注释 2 7" xfId="47460"/>
    <cellStyle name="注释 2 7 2" xfId="47461"/>
    <cellStyle name="注释 2 7 2 2" xfId="47462"/>
    <cellStyle name="注释 2 7 2 2 2" xfId="47463"/>
    <cellStyle name="注释 2 7 2 2 2 2" xfId="47464"/>
    <cellStyle name="注释 2 7 2 3" xfId="47465"/>
    <cellStyle name="注释 2 7 2 3 2" xfId="47466"/>
    <cellStyle name="注释 2 7 2 4" xfId="47467"/>
    <cellStyle name="注释 2 7 2 4 2" xfId="47468"/>
    <cellStyle name="注释 2 7 2 5" xfId="47469"/>
    <cellStyle name="注释 2 7 3" xfId="47470"/>
    <cellStyle name="注释 2 7 3 2" xfId="47471"/>
    <cellStyle name="注释 2 7 3 2 2" xfId="47472"/>
    <cellStyle name="注释 2 7 4" xfId="47473"/>
    <cellStyle name="注释 2 7 4 2" xfId="47474"/>
    <cellStyle name="注释 2 7 5" xfId="47475"/>
    <cellStyle name="注释 2 7 5 2" xfId="47476"/>
    <cellStyle name="注释 2 7 6" xfId="47477"/>
    <cellStyle name="注释 2 8" xfId="47478"/>
    <cellStyle name="注释 2 8 2" xfId="47479"/>
    <cellStyle name="注释 2 8 2 2" xfId="47480"/>
    <cellStyle name="注释 2 8 2 2 2" xfId="47481"/>
    <cellStyle name="注释 2 8 3" xfId="47482"/>
    <cellStyle name="注释 2 8 3 2" xfId="47483"/>
    <cellStyle name="注释 2 8 4" xfId="47484"/>
    <cellStyle name="注释 2 8 4 2" xfId="47485"/>
    <cellStyle name="注释 2 8 5" xfId="47486"/>
    <cellStyle name="注释 2 9" xfId="47487"/>
    <cellStyle name="注释 3" xfId="47488"/>
    <cellStyle name="注释 3 10" xfId="47489"/>
    <cellStyle name="注释 3 10 2" xfId="47490"/>
    <cellStyle name="注释 3 2" xfId="47491"/>
    <cellStyle name="注释 3 2 10" xfId="47492"/>
    <cellStyle name="注释 3 2 10 2" xfId="47493"/>
    <cellStyle name="注释 3 2 2" xfId="47494"/>
    <cellStyle name="注释 3 2 2 2" xfId="47495"/>
    <cellStyle name="注释 3 2 2 2 2" xfId="47496"/>
    <cellStyle name="注释 3 2 2 2 2 2" xfId="47497"/>
    <cellStyle name="注释 3 2 2 2 2 3" xfId="47498"/>
    <cellStyle name="注释 3 2 2 2 2 4" xfId="47499"/>
    <cellStyle name="注释 3 2 2 2 2 4 2" xfId="47500"/>
    <cellStyle name="注释 3 2 2 2 2 5" xfId="47501"/>
    <cellStyle name="注释 3 2 2 2 2 5 2" xfId="47502"/>
    <cellStyle name="注释 3 2 2 2 3" xfId="47503"/>
    <cellStyle name="注释 3 2 2 2 3 2" xfId="47504"/>
    <cellStyle name="注释 3 2 2 2 3 2 2" xfId="47505"/>
    <cellStyle name="注释 3 2 2 2 3 2 2 2" xfId="47506"/>
    <cellStyle name="注释 3 2 2 2 3 3" xfId="47507"/>
    <cellStyle name="注释 3 2 2 2 3 3 2" xfId="47508"/>
    <cellStyle name="注释 3 2 2 2 3 4" xfId="47509"/>
    <cellStyle name="注释 3 2 2 2 3 4 2" xfId="47510"/>
    <cellStyle name="注释 3 2 2 2 3 5" xfId="47511"/>
    <cellStyle name="注释 3 2 2 2 4" xfId="47512"/>
    <cellStyle name="注释 3 2 2 2 5" xfId="47513"/>
    <cellStyle name="注释 3 2 2 2 6" xfId="47514"/>
    <cellStyle name="注释 3 2 2 2 7" xfId="47515"/>
    <cellStyle name="注释 3 2 2 2 7 2" xfId="47516"/>
    <cellStyle name="注释 3 2 2 2 8" xfId="47517"/>
    <cellStyle name="注释 3 2 2 2 8 2" xfId="47518"/>
    <cellStyle name="注释 3 2 2 3" xfId="47519"/>
    <cellStyle name="注释 3 2 2 3 2" xfId="47520"/>
    <cellStyle name="注释 3 2 2 3 3" xfId="47521"/>
    <cellStyle name="注释 3 2 2 3 4" xfId="47522"/>
    <cellStyle name="注释 3 2 2 3 4 2" xfId="47523"/>
    <cellStyle name="注释 3 2 2 3 5" xfId="47524"/>
    <cellStyle name="注释 3 2 2 3 5 2" xfId="47525"/>
    <cellStyle name="注释 3 2 2 4" xfId="47526"/>
    <cellStyle name="注释 3 2 2 5" xfId="47527"/>
    <cellStyle name="注释 3 2 2 6" xfId="47528"/>
    <cellStyle name="注释 3 2 2 7" xfId="47529"/>
    <cellStyle name="注释 3 2 2 8" xfId="47530"/>
    <cellStyle name="注释 3 2 2 8 2" xfId="47531"/>
    <cellStyle name="注释 3 2 2 9" xfId="47532"/>
    <cellStyle name="注释 3 2 2 9 2" xfId="47533"/>
    <cellStyle name="注释 3 2 3" xfId="47534"/>
    <cellStyle name="注释 3 2 3 2" xfId="47535"/>
    <cellStyle name="注释 3 2 3 2 2" xfId="47536"/>
    <cellStyle name="注释 3 2 3 2 3" xfId="47537"/>
    <cellStyle name="注释 3 2 3 2 4" xfId="47538"/>
    <cellStyle name="注释 3 2 3 2 4 2" xfId="47539"/>
    <cellStyle name="注释 3 2 3 2 5" xfId="47540"/>
    <cellStyle name="注释 3 2 3 2 5 2" xfId="47541"/>
    <cellStyle name="注释 3 2 3 3" xfId="47542"/>
    <cellStyle name="注释 3 2 3 3 2" xfId="47543"/>
    <cellStyle name="注释 3 2 3 3 2 2" xfId="47544"/>
    <cellStyle name="注释 3 2 3 3 2 2 2" xfId="47545"/>
    <cellStyle name="注释 3 2 3 3 3" xfId="47546"/>
    <cellStyle name="注释 3 2 3 3 3 2" xfId="47547"/>
    <cellStyle name="注释 3 2 3 3 4" xfId="47548"/>
    <cellStyle name="注释 3 2 3 3 4 2" xfId="47549"/>
    <cellStyle name="注释 3 2 3 3 5" xfId="47550"/>
    <cellStyle name="注释 3 2 3 4" xfId="47551"/>
    <cellStyle name="注释 3 2 3 5" xfId="47552"/>
    <cellStyle name="注释 3 2 3 6" xfId="47553"/>
    <cellStyle name="注释 3 2 3 7" xfId="47554"/>
    <cellStyle name="注释 3 2 3 7 2" xfId="47555"/>
    <cellStyle name="注释 3 2 3 8" xfId="47556"/>
    <cellStyle name="注释 3 2 3 8 2" xfId="47557"/>
    <cellStyle name="注释 3 2 4" xfId="47558"/>
    <cellStyle name="注释 3 2 4 2" xfId="47559"/>
    <cellStyle name="注释 3 2 4 3" xfId="47560"/>
    <cellStyle name="注释 3 2 4 4" xfId="47561"/>
    <cellStyle name="注释 3 2 4 4 2" xfId="47562"/>
    <cellStyle name="注释 3 2 4 5" xfId="47563"/>
    <cellStyle name="注释 3 2 4 5 2" xfId="47564"/>
    <cellStyle name="注释 3 2 5" xfId="47565"/>
    <cellStyle name="注释 3 2 6" xfId="47566"/>
    <cellStyle name="注释 3 2 7" xfId="47567"/>
    <cellStyle name="注释 3 2 8" xfId="47568"/>
    <cellStyle name="注释 3 2 9" xfId="47569"/>
    <cellStyle name="注释 3 2 9 2" xfId="47570"/>
    <cellStyle name="注释 3 3" xfId="47571"/>
    <cellStyle name="注释 3 3 2" xfId="47572"/>
    <cellStyle name="注释 3 3 2 2" xfId="47573"/>
    <cellStyle name="注释 3 3 2 3" xfId="47574"/>
    <cellStyle name="注释 3 3 2 4" xfId="47575"/>
    <cellStyle name="注释 3 3 2 4 2" xfId="47576"/>
    <cellStyle name="注释 3 3 2 5" xfId="47577"/>
    <cellStyle name="注释 3 3 2 5 2" xfId="47578"/>
    <cellStyle name="注释 3 3 3" xfId="47579"/>
    <cellStyle name="注释 3 3 3 2" xfId="47580"/>
    <cellStyle name="注释 3 3 3 2 2" xfId="47581"/>
    <cellStyle name="注释 3 3 3 2 2 2" xfId="47582"/>
    <cellStyle name="注释 3 3 3 3" xfId="47583"/>
    <cellStyle name="注释 3 3 3 3 2" xfId="47584"/>
    <cellStyle name="注释 3 3 3 4" xfId="47585"/>
    <cellStyle name="注释 3 3 3 4 2" xfId="47586"/>
    <cellStyle name="注释 3 3 3 5" xfId="47587"/>
    <cellStyle name="注释 3 3 4" xfId="47588"/>
    <cellStyle name="注释 3 3 5" xfId="47589"/>
    <cellStyle name="注释 3 3 6" xfId="47590"/>
    <cellStyle name="注释 3 3 7" xfId="47591"/>
    <cellStyle name="注释 3 3 7 2" xfId="47592"/>
    <cellStyle name="注释 3 3 8" xfId="47593"/>
    <cellStyle name="注释 3 3 8 2" xfId="47594"/>
    <cellStyle name="注释 3 4" xfId="47595"/>
    <cellStyle name="注释 3 4 2" xfId="47596"/>
    <cellStyle name="注释 3 4 2 2" xfId="47597"/>
    <cellStyle name="注释 3 4 2 3" xfId="47598"/>
    <cellStyle name="注释 3 4 2 4" xfId="47599"/>
    <cellStyle name="注释 3 4 2 4 2" xfId="47600"/>
    <cellStyle name="注释 3 4 2 5" xfId="47601"/>
    <cellStyle name="注释 3 4 2 5 2" xfId="47602"/>
    <cellStyle name="注释 3 4 3" xfId="47603"/>
    <cellStyle name="注释 3 4 4" xfId="47604"/>
    <cellStyle name="注释 3 4 5" xfId="47605"/>
    <cellStyle name="注释 3 4 6" xfId="47606"/>
    <cellStyle name="注释 3 4 7" xfId="47607"/>
    <cellStyle name="注释 3 4 7 2" xfId="47608"/>
    <cellStyle name="注释 3 4 8" xfId="47609"/>
    <cellStyle name="注释 3 4 8 2" xfId="47610"/>
    <cellStyle name="注释 3 5" xfId="47611"/>
    <cellStyle name="注释 3 5 2" xfId="47612"/>
    <cellStyle name="注释 3 5 2 2" xfId="47613"/>
    <cellStyle name="注释 3 5 2 2 2" xfId="47614"/>
    <cellStyle name="注释 3 5 2 2 2 2" xfId="47615"/>
    <cellStyle name="注释 3 5 2 3" xfId="47616"/>
    <cellStyle name="注释 3 5 2 3 2" xfId="47617"/>
    <cellStyle name="注释 3 5 2 4" xfId="47618"/>
    <cellStyle name="注释 3 5 2 4 2" xfId="47619"/>
    <cellStyle name="注释 3 5 2 5" xfId="47620"/>
    <cellStyle name="注释 3 5 3" xfId="47621"/>
    <cellStyle name="注释 3 5 4" xfId="47622"/>
    <cellStyle name="注释 3 5 4 2" xfId="47623"/>
    <cellStyle name="注释 3 5 5" xfId="47624"/>
    <cellStyle name="注释 3 5 5 2" xfId="47625"/>
    <cellStyle name="注释 3 6" xfId="47626"/>
    <cellStyle name="注释 3 6 2" xfId="47627"/>
    <cellStyle name="注释 3 6 2 2" xfId="47628"/>
    <cellStyle name="注释 3 6 2 2 2" xfId="47629"/>
    <cellStyle name="注释 3 6 3" xfId="47630"/>
    <cellStyle name="注释 3 6 3 2" xfId="47631"/>
    <cellStyle name="注释 3 6 4" xfId="47632"/>
    <cellStyle name="注释 3 6 4 2" xfId="47633"/>
    <cellStyle name="注释 3 6 5" xfId="47634"/>
    <cellStyle name="注释 3 7" xfId="47635"/>
    <cellStyle name="注释 3 8" xfId="47636"/>
    <cellStyle name="注释 3 9" xfId="47637"/>
    <cellStyle name="注释 3 9 2" xfId="47638"/>
    <cellStyle name="百分比 10" xfId="47639"/>
    <cellStyle name="百分比 2" xfId="47640"/>
    <cellStyle name="百分比 2 10" xfId="47641"/>
    <cellStyle name="百分比 2 10 2" xfId="47642"/>
    <cellStyle name="百分比 2 10 2 2" xfId="47643"/>
    <cellStyle name="百分比 2 10 2 3" xfId="47644"/>
    <cellStyle name="百分比 2 10 2 4" xfId="47645"/>
    <cellStyle name="百分比 2 10 3" xfId="47646"/>
    <cellStyle name="百分比 2 10 4" xfId="47647"/>
    <cellStyle name="百分比 2 10 5" xfId="47648"/>
    <cellStyle name="百分比 2 10 6" xfId="47649"/>
    <cellStyle name="百分比 2 11" xfId="47650"/>
    <cellStyle name="百分比 2 11 2" xfId="47651"/>
    <cellStyle name="百分比 2 11 2 2" xfId="47652"/>
    <cellStyle name="百分比 2 11 2 3" xfId="47653"/>
    <cellStyle name="百分比 2 11 2 4" xfId="47654"/>
    <cellStyle name="百分比 2 11 3" xfId="47655"/>
    <cellStyle name="百分比 2 11 4" xfId="47656"/>
    <cellStyle name="百分比 2 11 5" xfId="47657"/>
    <cellStyle name="百分比 2 12" xfId="47658"/>
    <cellStyle name="百分比 2 12 2" xfId="47659"/>
    <cellStyle name="百分比 2 12 2 2" xfId="47660"/>
    <cellStyle name="百分比 2 12 2 3" xfId="47661"/>
    <cellStyle name="百分比 2 12 2 4" xfId="47662"/>
    <cellStyle name="百分比 2 12 3" xfId="47663"/>
    <cellStyle name="百分比 2 12 4" xfId="47664"/>
    <cellStyle name="百分比 2 12 5" xfId="47665"/>
    <cellStyle name="百分比 2 13" xfId="47666"/>
    <cellStyle name="百分比 2 13 2" xfId="47667"/>
    <cellStyle name="百分比 2 13 3" xfId="47668"/>
    <cellStyle name="百分比 2 13 4" xfId="47669"/>
    <cellStyle name="百分比 2 14" xfId="47670"/>
    <cellStyle name="百分比 2 15" xfId="47671"/>
    <cellStyle name="百分比 2 16" xfId="47672"/>
    <cellStyle name="百分比 2 17" xfId="47673"/>
    <cellStyle name="百分比 2 18" xfId="47674"/>
    <cellStyle name="百分比 2 19" xfId="47675"/>
    <cellStyle name="百分比 2 19 2" xfId="47676"/>
    <cellStyle name="百分比 2 2" xfId="47677"/>
    <cellStyle name="百分比 2 2 10" xfId="47678"/>
    <cellStyle name="百分比 2 2 11" xfId="47679"/>
    <cellStyle name="百分比 2 2 2" xfId="47680"/>
    <cellStyle name="百分比 2 2 2 10" xfId="47681"/>
    <cellStyle name="百分比 2 2 2 2" xfId="47682"/>
    <cellStyle name="百分比 2 2 2 2 2" xfId="47683"/>
    <cellStyle name="百分比 2 2 2 2 2 2" xfId="47684"/>
    <cellStyle name="百分比 2 2 2 2 2 2 2" xfId="47685"/>
    <cellStyle name="百分比 2 2 2 2 2 2 3" xfId="47686"/>
    <cellStyle name="百分比 2 2 2 2 2 2 4" xfId="47687"/>
    <cellStyle name="百分比 2 2 2 2 2 3" xfId="47688"/>
    <cellStyle name="百分比 2 2 2 2 2 4" xfId="47689"/>
    <cellStyle name="百分比 2 2 2 2 2 5" xfId="47690"/>
    <cellStyle name="百分比 2 2 2 2 3" xfId="47691"/>
    <cellStyle name="百分比 2 2 2 2 3 2" xfId="47692"/>
    <cellStyle name="百分比 2 2 2 2 3 2 2" xfId="47693"/>
    <cellStyle name="百分比 2 2 2 2 3 2 3" xfId="47694"/>
    <cellStyle name="百分比 2 2 2 2 3 2 4" xfId="47695"/>
    <cellStyle name="百分比 2 2 2 2 3 3" xfId="47696"/>
    <cellStyle name="百分比 2 2 2 2 3 4" xfId="47697"/>
    <cellStyle name="百分比 2 2 2 2 3 5" xfId="47698"/>
    <cellStyle name="百分比 2 2 2 2 4" xfId="47699"/>
    <cellStyle name="百分比 2 2 2 2 4 2" xfId="47700"/>
    <cellStyle name="百分比 2 2 2 2 4 3" xfId="47701"/>
    <cellStyle name="百分比 2 2 2 2 4 4" xfId="47702"/>
    <cellStyle name="百分比 2 2 2 2 5" xfId="47703"/>
    <cellStyle name="百分比 2 2 2 2 6" xfId="47704"/>
    <cellStyle name="百分比 2 2 2 2 7" xfId="47705"/>
    <cellStyle name="百分比 2 2 2 2 8" xfId="47706"/>
    <cellStyle name="百分比 2 2 2 2 8 2" xfId="47707"/>
    <cellStyle name="百分比 2 2 2 3" xfId="47708"/>
    <cellStyle name="百分比 2 2 2 3 2" xfId="47709"/>
    <cellStyle name="百分比 2 2 2 3 2 2" xfId="47710"/>
    <cellStyle name="百分比 2 2 2 3 2 3" xfId="47711"/>
    <cellStyle name="百分比 2 2 2 3 2 4" xfId="47712"/>
    <cellStyle name="百分比 2 2 2 3 3" xfId="47713"/>
    <cellStyle name="百分比 2 2 2 3 4" xfId="47714"/>
    <cellStyle name="百分比 2 2 2 3 5" xfId="47715"/>
    <cellStyle name="百分比 2 2 2 3 6" xfId="47716"/>
    <cellStyle name="百分比 2 2 2 3 6 2" xfId="47717"/>
    <cellStyle name="百分比 2 2 2 4" xfId="47718"/>
    <cellStyle name="百分比 2 2 2 4 2" xfId="47719"/>
    <cellStyle name="百分比 2 2 2 4 2 2" xfId="47720"/>
    <cellStyle name="百分比 2 2 2 4 2 3" xfId="47721"/>
    <cellStyle name="百分比 2 2 2 4 2 4" xfId="47722"/>
    <cellStyle name="百分比 2 2 2 4 2 5" xfId="47723"/>
    <cellStyle name="百分比 2 2 2 4 3" xfId="47724"/>
    <cellStyle name="百分比 2 2 2 4 4" xfId="47725"/>
    <cellStyle name="百分比 2 2 2 4 5" xfId="47726"/>
    <cellStyle name="百分比 2 2 2 4 6" xfId="47727"/>
    <cellStyle name="百分比 2 2 2 5" xfId="47728"/>
    <cellStyle name="百分比 2 2 2 5 2" xfId="47729"/>
    <cellStyle name="百分比 2 2 2 5 2 2" xfId="47730"/>
    <cellStyle name="百分比 2 2 2 5 3" xfId="47731"/>
    <cellStyle name="百分比 2 2 2 5 4" xfId="47732"/>
    <cellStyle name="百分比 2 2 2 5 5" xfId="47733"/>
    <cellStyle name="百分比 2 2 2 6" xfId="47734"/>
    <cellStyle name="百分比 2 2 2 7" xfId="47735"/>
    <cellStyle name="百分比 2 2 2 8" xfId="47736"/>
    <cellStyle name="百分比 2 2 2 9" xfId="47737"/>
    <cellStyle name="百分比 2 2 2 9 2" xfId="47738"/>
    <cellStyle name="百分比 2 2 3" xfId="47739"/>
    <cellStyle name="百分比 2 2 3 2" xfId="47740"/>
    <cellStyle name="百分比 2 2 3 2 2" xfId="47741"/>
    <cellStyle name="百分比 2 2 3 2 3" xfId="47742"/>
    <cellStyle name="百分比 2 2 3 2 4" xfId="47743"/>
    <cellStyle name="百分比 2 2 3 3" xfId="47744"/>
    <cellStyle name="百分比 2 2 3 4" xfId="47745"/>
    <cellStyle name="百分比 2 2 3 5" xfId="47746"/>
    <cellStyle name="百分比 2 2 3 6" xfId="47747"/>
    <cellStyle name="百分比 2 2 3 6 2" xfId="47748"/>
    <cellStyle name="百分比 2 2 4" xfId="47749"/>
    <cellStyle name="百分比 2 2 4 2" xfId="47750"/>
    <cellStyle name="百分比 2 2 4 2 2" xfId="47751"/>
    <cellStyle name="百分比 2 2 4 2 3" xfId="47752"/>
    <cellStyle name="百分比 2 2 4 2 4" xfId="47753"/>
    <cellStyle name="百分比 2 2 4 3" xfId="47754"/>
    <cellStyle name="百分比 2 2 4 4" xfId="47755"/>
    <cellStyle name="百分比 2 2 4 5" xfId="47756"/>
    <cellStyle name="百分比 2 2 4 6" xfId="47757"/>
    <cellStyle name="百分比 2 2 4 6 2" xfId="47758"/>
    <cellStyle name="百分比 2 2 5" xfId="47759"/>
    <cellStyle name="百分比 2 2 5 2" xfId="47760"/>
    <cellStyle name="百分比 2 2 5 3" xfId="47761"/>
    <cellStyle name="百分比 2 2 5 4" xfId="47762"/>
    <cellStyle name="百分比 2 2 5 5" xfId="47763"/>
    <cellStyle name="百分比 2 2 5 5 2" xfId="47764"/>
    <cellStyle name="百分比 2 2 6" xfId="47765"/>
    <cellStyle name="百分比 2 2 6 2" xfId="47766"/>
    <cellStyle name="百分比 2 2 6 2 2" xfId="47767"/>
    <cellStyle name="百分比 2 2 7" xfId="47768"/>
    <cellStyle name="百分比 2 2 7 2" xfId="47769"/>
    <cellStyle name="百分比 2 2 7 3" xfId="47770"/>
    <cellStyle name="百分比 2 2 8" xfId="47771"/>
    <cellStyle name="百分比 2 2 9" xfId="47772"/>
    <cellStyle name="百分比 2 2 9 2" xfId="47773"/>
    <cellStyle name="百分比 2 20" xfId="47774"/>
    <cellStyle name="百分比 2 3" xfId="47775"/>
    <cellStyle name="百分比 2 3 10" xfId="47776"/>
    <cellStyle name="百分比 2 3 2" xfId="47777"/>
    <cellStyle name="百分比 2 3 2 2" xfId="47778"/>
    <cellStyle name="百分比 2 3 2 2 2" xfId="47779"/>
    <cellStyle name="百分比 2 3 2 2 2 2" xfId="47780"/>
    <cellStyle name="百分比 2 3 2 2 2 2 2" xfId="47781"/>
    <cellStyle name="百分比 2 3 2 2 2 2 3" xfId="47782"/>
    <cellStyle name="百分比 2 3 2 2 2 2 4" xfId="47783"/>
    <cellStyle name="百分比 2 3 2 2 2 3" xfId="47784"/>
    <cellStyle name="百分比 2 3 2 2 2 4" xfId="47785"/>
    <cellStyle name="百分比 2 3 2 2 2 5" xfId="47786"/>
    <cellStyle name="百分比 2 3 2 2 3" xfId="47787"/>
    <cellStyle name="百分比 2 3 2 2 3 2" xfId="47788"/>
    <cellStyle name="百分比 2 3 2 2 3 2 2" xfId="47789"/>
    <cellStyle name="百分比 2 3 2 2 3 2 3" xfId="47790"/>
    <cellStyle name="百分比 2 3 2 2 3 2 4" xfId="47791"/>
    <cellStyle name="百分比 2 3 2 2 3 3" xfId="47792"/>
    <cellStyle name="百分比 2 3 2 2 3 4" xfId="47793"/>
    <cellStyle name="百分比 2 3 2 2 3 5" xfId="47794"/>
    <cellStyle name="百分比 2 3 2 2 4" xfId="47795"/>
    <cellStyle name="百分比 2 3 2 2 4 2" xfId="47796"/>
    <cellStyle name="百分比 2 3 2 2 4 3" xfId="47797"/>
    <cellStyle name="百分比 2 3 2 2 4 4" xfId="47798"/>
    <cellStyle name="百分比 2 3 2 2 5" xfId="47799"/>
    <cellStyle name="百分比 2 3 2 2 6" xfId="47800"/>
    <cellStyle name="百分比 2 3 2 2 7" xfId="47801"/>
    <cellStyle name="百分比 2 3 2 3" xfId="47802"/>
    <cellStyle name="百分比 2 3 2 3 2" xfId="47803"/>
    <cellStyle name="百分比 2 3 2 3 2 2" xfId="47804"/>
    <cellStyle name="百分比 2 3 2 3 2 3" xfId="47805"/>
    <cellStyle name="百分比 2 3 2 3 2 4" xfId="47806"/>
    <cellStyle name="百分比 2 3 2 3 3" xfId="47807"/>
    <cellStyle name="百分比 2 3 2 3 4" xfId="47808"/>
    <cellStyle name="百分比 2 3 2 3 5" xfId="47809"/>
    <cellStyle name="百分比 2 3 2 4" xfId="47810"/>
    <cellStyle name="百分比 2 3 2 4 2" xfId="47811"/>
    <cellStyle name="百分比 2 3 2 4 2 2" xfId="47812"/>
    <cellStyle name="百分比 2 3 2 4 2 3" xfId="47813"/>
    <cellStyle name="百分比 2 3 2 4 2 4" xfId="47814"/>
    <cellStyle name="百分比 2 3 2 4 3" xfId="47815"/>
    <cellStyle name="百分比 2 3 2 4 4" xfId="47816"/>
    <cellStyle name="百分比 2 3 2 4 5" xfId="47817"/>
    <cellStyle name="百分比 2 3 2 5" xfId="47818"/>
    <cellStyle name="百分比 2 3 2 5 2" xfId="47819"/>
    <cellStyle name="百分比 2 3 2 5 3" xfId="47820"/>
    <cellStyle name="百分比 2 3 2 5 4" xfId="47821"/>
    <cellStyle name="百分比 2 3 2 6" xfId="47822"/>
    <cellStyle name="百分比 2 3 2 7" xfId="47823"/>
    <cellStyle name="百分比 2 3 2 8" xfId="47824"/>
    <cellStyle name="百分比 2 3 2 9" xfId="47825"/>
    <cellStyle name="百分比 2 3 2 9 2" xfId="47826"/>
    <cellStyle name="百分比 2 3 3" xfId="47827"/>
    <cellStyle name="百分比 2 3 3 2" xfId="47828"/>
    <cellStyle name="百分比 2 3 3 2 2" xfId="47829"/>
    <cellStyle name="百分比 2 3 3 2 3" xfId="47830"/>
    <cellStyle name="百分比 2 3 3 2 4" xfId="47831"/>
    <cellStyle name="百分比 2 3 3 3" xfId="47832"/>
    <cellStyle name="百分比 2 3 3 4" xfId="47833"/>
    <cellStyle name="百分比 2 3 3 5" xfId="47834"/>
    <cellStyle name="百分比 2 3 3 6" xfId="47835"/>
    <cellStyle name="百分比 2 3 3 6 2" xfId="47836"/>
    <cellStyle name="百分比 2 3 4" xfId="47837"/>
    <cellStyle name="百分比 2 3 4 2" xfId="47838"/>
    <cellStyle name="百分比 2 3 4 2 2" xfId="47839"/>
    <cellStyle name="百分比 2 3 4 2 3" xfId="47840"/>
    <cellStyle name="百分比 2 3 4 2 4" xfId="47841"/>
    <cellStyle name="百分比 2 3 4 2 5" xfId="47842"/>
    <cellStyle name="百分比 2 3 4 3" xfId="47843"/>
    <cellStyle name="百分比 2 3 4 4" xfId="47844"/>
    <cellStyle name="百分比 2 3 4 5" xfId="47845"/>
    <cellStyle name="百分比 2 3 4 6" xfId="47846"/>
    <cellStyle name="百分比 2 3 5" xfId="47847"/>
    <cellStyle name="百分比 2 3 5 2" xfId="47848"/>
    <cellStyle name="百分比 2 3 5 2 2" xfId="47849"/>
    <cellStyle name="百分比 2 3 5 3" xfId="47850"/>
    <cellStyle name="百分比 2 3 5 4" xfId="47851"/>
    <cellStyle name="百分比 2 3 5 5" xfId="47852"/>
    <cellStyle name="百分比 2 3 6" xfId="47853"/>
    <cellStyle name="百分比 2 3 7" xfId="47854"/>
    <cellStyle name="百分比 2 3 8" xfId="47855"/>
    <cellStyle name="百分比 2 3 9" xfId="47856"/>
    <cellStyle name="百分比 2 3 9 2" xfId="47857"/>
    <cellStyle name="百分比 2 4" xfId="47858"/>
    <cellStyle name="百分比 2 4 2" xfId="47859"/>
    <cellStyle name="百分比 2 4 2 2" xfId="47860"/>
    <cellStyle name="百分比 2 4 2 2 2" xfId="47861"/>
    <cellStyle name="百分比 2 4 2 2 2 2" xfId="47862"/>
    <cellStyle name="百分比 2 4 2 2 2 2 2" xfId="47863"/>
    <cellStyle name="百分比 2 4 2 2 2 2 3" xfId="47864"/>
    <cellStyle name="百分比 2 4 2 2 2 2 4" xfId="47865"/>
    <cellStyle name="百分比 2 4 2 2 2 3" xfId="47866"/>
    <cellStyle name="百分比 2 4 2 2 2 4" xfId="47867"/>
    <cellStyle name="百分比 2 4 2 2 2 5" xfId="47868"/>
    <cellStyle name="百分比 2 4 2 2 3" xfId="47869"/>
    <cellStyle name="百分比 2 4 2 2 3 2" xfId="47870"/>
    <cellStyle name="百分比 2 4 2 2 3 2 2" xfId="47871"/>
    <cellStyle name="百分比 2 4 2 2 3 2 3" xfId="47872"/>
    <cellStyle name="百分比 2 4 2 2 3 2 4" xfId="47873"/>
    <cellStyle name="百分比 2 4 2 2 3 3" xfId="47874"/>
    <cellStyle name="百分比 2 4 2 2 3 4" xfId="47875"/>
    <cellStyle name="百分比 2 4 2 2 3 5" xfId="47876"/>
    <cellStyle name="百分比 2 4 2 2 4" xfId="47877"/>
    <cellStyle name="百分比 2 4 2 2 4 2" xfId="47878"/>
    <cellStyle name="百分比 2 4 2 2 4 3" xfId="47879"/>
    <cellStyle name="百分比 2 4 2 2 4 4" xfId="47880"/>
    <cellStyle name="百分比 2 4 2 2 5" xfId="47881"/>
    <cellStyle name="百分比 2 4 2 2 6" xfId="47882"/>
    <cellStyle name="百分比 2 4 2 2 7" xfId="47883"/>
    <cellStyle name="百分比 2 4 2 3" xfId="47884"/>
    <cellStyle name="百分比 2 4 2 3 2" xfId="47885"/>
    <cellStyle name="百分比 2 4 2 3 2 2" xfId="47886"/>
    <cellStyle name="百分比 2 4 2 3 2 3" xfId="47887"/>
    <cellStyle name="百分比 2 4 2 3 2 4" xfId="47888"/>
    <cellStyle name="百分比 2 4 2 3 3" xfId="47889"/>
    <cellStyle name="百分比 2 4 2 3 4" xfId="47890"/>
    <cellStyle name="百分比 2 4 2 3 5" xfId="47891"/>
    <cellStyle name="百分比 2 4 2 4" xfId="47892"/>
    <cellStyle name="百分比 2 4 2 4 2" xfId="47893"/>
    <cellStyle name="百分比 2 4 2 4 2 2" xfId="47894"/>
    <cellStyle name="百分比 2 4 2 4 2 3" xfId="47895"/>
    <cellStyle name="百分比 2 4 2 4 2 4" xfId="47896"/>
    <cellStyle name="百分比 2 4 2 4 3" xfId="47897"/>
    <cellStyle name="百分比 2 4 2 4 4" xfId="47898"/>
    <cellStyle name="百分比 2 4 2 4 5" xfId="47899"/>
    <cellStyle name="百分比 2 4 2 5" xfId="47900"/>
    <cellStyle name="百分比 2 4 2 5 2" xfId="47901"/>
    <cellStyle name="百分比 2 4 2 5 3" xfId="47902"/>
    <cellStyle name="百分比 2 4 2 5 4" xfId="47903"/>
    <cellStyle name="百分比 2 4 2 6" xfId="47904"/>
    <cellStyle name="百分比 2 4 2 7" xfId="47905"/>
    <cellStyle name="百分比 2 4 2 8" xfId="47906"/>
    <cellStyle name="百分比 2 4 3" xfId="47907"/>
    <cellStyle name="百分比 2 4 3 2" xfId="47908"/>
    <cellStyle name="百分比 2 4 3 2 2" xfId="47909"/>
    <cellStyle name="百分比 2 4 3 2 3" xfId="47910"/>
    <cellStyle name="百分比 2 4 3 2 4" xfId="47911"/>
    <cellStyle name="百分比 2 4 3 3" xfId="47912"/>
    <cellStyle name="百分比 2 4 3 4" xfId="47913"/>
    <cellStyle name="百分比 2 4 3 5" xfId="47914"/>
    <cellStyle name="百分比 2 4 4" xfId="47915"/>
    <cellStyle name="百分比 2 4 4 2" xfId="47916"/>
    <cellStyle name="百分比 2 4 4 2 2" xfId="47917"/>
    <cellStyle name="百分比 2 4 4 2 3" xfId="47918"/>
    <cellStyle name="百分比 2 4 4 2 4" xfId="47919"/>
    <cellStyle name="百分比 2 4 4 3" xfId="47920"/>
    <cellStyle name="百分比 2 4 4 4" xfId="47921"/>
    <cellStyle name="百分比 2 4 4 5" xfId="47922"/>
    <cellStyle name="百分比 2 4 5" xfId="47923"/>
    <cellStyle name="百分比 2 4 5 2" xfId="47924"/>
    <cellStyle name="百分比 2 4 5 3" xfId="47925"/>
    <cellStyle name="百分比 2 4 5 4" xfId="47926"/>
    <cellStyle name="百分比 2 4 6" xfId="47927"/>
    <cellStyle name="百分比 2 4 7" xfId="47928"/>
    <cellStyle name="百分比 2 4 8" xfId="47929"/>
    <cellStyle name="百分比 2 4 9" xfId="47930"/>
    <cellStyle name="百分比 2 4 9 2" xfId="47931"/>
    <cellStyle name="百分比 2 5" xfId="47932"/>
    <cellStyle name="百分比 2 5 2" xfId="47933"/>
    <cellStyle name="百分比 2 5 2 2" xfId="47934"/>
    <cellStyle name="百分比 2 5 2 2 2" xfId="47935"/>
    <cellStyle name="百分比 2 5 2 2 2 2" xfId="47936"/>
    <cellStyle name="百分比 2 5 2 2 2 2 2" xfId="47937"/>
    <cellStyle name="百分比 2 5 2 2 2 2 3" xfId="47938"/>
    <cellStyle name="百分比 2 5 2 2 2 2 4" xfId="47939"/>
    <cellStyle name="百分比 2 5 2 2 2 3" xfId="47940"/>
    <cellStyle name="百分比 2 5 2 2 2 4" xfId="47941"/>
    <cellStyle name="百分比 2 5 2 2 2 5" xfId="47942"/>
    <cellStyle name="百分比 2 5 2 2 3" xfId="47943"/>
    <cellStyle name="百分比 2 5 2 2 3 2" xfId="47944"/>
    <cellStyle name="百分比 2 5 2 2 3 2 2" xfId="47945"/>
    <cellStyle name="百分比 2 5 2 2 3 2 3" xfId="47946"/>
    <cellStyle name="百分比 2 5 2 2 3 2 4" xfId="47947"/>
    <cellStyle name="百分比 2 5 2 2 3 3" xfId="47948"/>
    <cellStyle name="百分比 2 5 2 2 3 4" xfId="47949"/>
    <cellStyle name="百分比 2 5 2 2 3 5" xfId="47950"/>
    <cellStyle name="百分比 2 5 2 2 4" xfId="47951"/>
    <cellStyle name="百分比 2 5 2 2 4 2" xfId="47952"/>
    <cellStyle name="百分比 2 5 2 2 4 3" xfId="47953"/>
    <cellStyle name="百分比 2 5 2 2 4 4" xfId="47954"/>
    <cellStyle name="百分比 2 5 2 2 5" xfId="47955"/>
    <cellStyle name="百分比 2 5 2 2 6" xfId="47956"/>
    <cellStyle name="百分比 2 5 2 2 7" xfId="47957"/>
    <cellStyle name="百分比 2 5 2 3" xfId="47958"/>
    <cellStyle name="百分比 2 5 2 3 2" xfId="47959"/>
    <cellStyle name="百分比 2 5 2 3 2 2" xfId="47960"/>
    <cellStyle name="百分比 2 5 2 3 2 3" xfId="47961"/>
    <cellStyle name="百分比 2 5 2 3 2 4" xfId="47962"/>
    <cellStyle name="百分比 2 5 2 3 3" xfId="47963"/>
    <cellStyle name="百分比 2 5 2 3 4" xfId="47964"/>
    <cellStyle name="百分比 2 5 2 3 5" xfId="47965"/>
    <cellStyle name="百分比 2 5 2 4" xfId="47966"/>
    <cellStyle name="百分比 2 5 2 4 2" xfId="47967"/>
    <cellStyle name="百分比 2 5 2 4 2 2" xfId="47968"/>
    <cellStyle name="百分比 2 5 2 4 2 3" xfId="47969"/>
    <cellStyle name="百分比 2 5 2 4 2 4" xfId="47970"/>
    <cellStyle name="百分比 2 5 2 4 3" xfId="47971"/>
    <cellStyle name="百分比 2 5 2 4 4" xfId="47972"/>
    <cellStyle name="百分比 2 5 2 4 5" xfId="47973"/>
    <cellStyle name="百分比 2 5 2 5" xfId="47974"/>
    <cellStyle name="百分比 2 5 2 5 2" xfId="47975"/>
    <cellStyle name="百分比 2 5 2 5 3" xfId="47976"/>
    <cellStyle name="百分比 2 5 2 5 4" xfId="47977"/>
    <cellStyle name="百分比 2 5 2 6" xfId="47978"/>
    <cellStyle name="百分比 2 5 2 7" xfId="47979"/>
    <cellStyle name="百分比 2 5 2 8" xfId="47980"/>
    <cellStyle name="百分比 2 5 3" xfId="47981"/>
    <cellStyle name="百分比 2 5 3 2" xfId="47982"/>
    <cellStyle name="百分比 2 5 3 2 2" xfId="47983"/>
    <cellStyle name="百分比 2 5 3 2 3" xfId="47984"/>
    <cellStyle name="百分比 2 5 3 2 4" xfId="47985"/>
    <cellStyle name="百分比 2 5 3 3" xfId="47986"/>
    <cellStyle name="百分比 2 5 3 4" xfId="47987"/>
    <cellStyle name="百分比 2 5 3 5" xfId="47988"/>
    <cellStyle name="百分比 2 5 4" xfId="47989"/>
    <cellStyle name="百分比 2 5 4 2" xfId="47990"/>
    <cellStyle name="百分比 2 5 4 2 2" xfId="47991"/>
    <cellStyle name="百分比 2 5 4 2 3" xfId="47992"/>
    <cellStyle name="百分比 2 5 4 2 4" xfId="47993"/>
    <cellStyle name="百分比 2 5 4 3" xfId="47994"/>
    <cellStyle name="百分比 2 5 4 4" xfId="47995"/>
    <cellStyle name="百分比 2 5 4 5" xfId="47996"/>
    <cellStyle name="百分比 2 5 5" xfId="47997"/>
    <cellStyle name="百分比 2 5 5 2" xfId="47998"/>
    <cellStyle name="百分比 2 5 5 3" xfId="47999"/>
    <cellStyle name="百分比 2 5 5 4" xfId="48000"/>
    <cellStyle name="百分比 2 5 6" xfId="48001"/>
    <cellStyle name="百分比 2 5 7" xfId="48002"/>
    <cellStyle name="百分比 2 5 8" xfId="48003"/>
    <cellStyle name="百分比 2 5 9" xfId="48004"/>
    <cellStyle name="百分比 2 5 9 2" xfId="48005"/>
    <cellStyle name="百分比 2 6" xfId="48006"/>
    <cellStyle name="百分比 2 6 2" xfId="48007"/>
    <cellStyle name="百分比 2 6 2 2" xfId="48008"/>
    <cellStyle name="百分比 2 6 2 2 2" xfId="48009"/>
    <cellStyle name="百分比 2 6 2 2 2 2" xfId="48010"/>
    <cellStyle name="百分比 2 6 2 2 2 2 2" xfId="48011"/>
    <cellStyle name="百分比 2 6 2 2 2 2 3" xfId="48012"/>
    <cellStyle name="百分比 2 6 2 2 2 2 4" xfId="48013"/>
    <cellStyle name="百分比 2 6 2 2 2 3" xfId="48014"/>
    <cellStyle name="百分比 2 6 2 2 2 4" xfId="48015"/>
    <cellStyle name="百分比 2 6 2 2 2 5" xfId="48016"/>
    <cellStyle name="百分比 2 6 2 2 3" xfId="48017"/>
    <cellStyle name="百分比 2 6 2 2 3 2" xfId="48018"/>
    <cellStyle name="百分比 2 6 2 2 3 2 2" xfId="48019"/>
    <cellStyle name="百分比 2 6 2 2 3 2 3" xfId="48020"/>
    <cellStyle name="百分比 2 6 2 2 3 2 4" xfId="48021"/>
    <cellStyle name="百分比 2 6 2 2 3 3" xfId="48022"/>
    <cellStyle name="百分比 2 6 2 2 3 4" xfId="48023"/>
    <cellStyle name="百分比 2 6 2 2 3 5" xfId="48024"/>
    <cellStyle name="百分比 2 6 2 2 4" xfId="48025"/>
    <cellStyle name="百分比 2 6 2 2 4 2" xfId="48026"/>
    <cellStyle name="百分比 2 6 2 2 4 3" xfId="48027"/>
    <cellStyle name="百分比 2 6 2 2 4 4" xfId="48028"/>
    <cellStyle name="百分比 2 6 2 2 5" xfId="48029"/>
    <cellStyle name="百分比 2 6 2 2 6" xfId="48030"/>
    <cellStyle name="百分比 2 6 2 2 7" xfId="48031"/>
    <cellStyle name="百分比 2 6 2 3" xfId="48032"/>
    <cellStyle name="百分比 2 6 2 3 2" xfId="48033"/>
    <cellStyle name="百分比 2 6 2 3 2 2" xfId="48034"/>
    <cellStyle name="百分比 2 6 2 3 2 3" xfId="48035"/>
    <cellStyle name="百分比 2 6 2 3 2 4" xfId="48036"/>
    <cellStyle name="百分比 2 6 2 3 3" xfId="48037"/>
    <cellStyle name="百分比 2 6 2 3 4" xfId="48038"/>
    <cellStyle name="百分比 2 6 2 3 5" xfId="48039"/>
    <cellStyle name="百分比 2 6 2 4" xfId="48040"/>
    <cellStyle name="百分比 2 6 2 4 2" xfId="48041"/>
    <cellStyle name="百分比 2 6 2 4 2 2" xfId="48042"/>
    <cellStyle name="百分比 2 6 2 4 2 3" xfId="48043"/>
    <cellStyle name="百分比 2 6 2 4 2 4" xfId="48044"/>
    <cellStyle name="百分比 2 6 2 4 3" xfId="48045"/>
    <cellStyle name="百分比 2 6 2 4 4" xfId="48046"/>
    <cellStyle name="百分比 2 6 2 4 5" xfId="48047"/>
    <cellStyle name="百分比 2 6 2 5" xfId="48048"/>
    <cellStyle name="百分比 2 6 2 5 2" xfId="48049"/>
    <cellStyle name="百分比 2 6 2 5 3" xfId="48050"/>
    <cellStyle name="百分比 2 6 2 5 4" xfId="48051"/>
    <cellStyle name="百分比 2 6 2 6" xfId="48052"/>
    <cellStyle name="百分比 2 6 2 7" xfId="48053"/>
    <cellStyle name="百分比 2 6 2 8" xfId="48054"/>
    <cellStyle name="百分比 2 6 3" xfId="48055"/>
    <cellStyle name="百分比 2 6 3 2" xfId="48056"/>
    <cellStyle name="百分比 2 6 3 2 2" xfId="48057"/>
    <cellStyle name="百分比 2 6 3 2 3" xfId="48058"/>
    <cellStyle name="百分比 2 6 3 2 4" xfId="48059"/>
    <cellStyle name="百分比 2 6 3 3" xfId="48060"/>
    <cellStyle name="百分比 2 6 3 4" xfId="48061"/>
    <cellStyle name="百分比 2 6 3 5" xfId="48062"/>
    <cellStyle name="百分比 2 6 4" xfId="48063"/>
    <cellStyle name="百分比 2 6 4 2" xfId="48064"/>
    <cellStyle name="百分比 2 6 4 2 2" xfId="48065"/>
    <cellStyle name="百分比 2 6 4 2 3" xfId="48066"/>
    <cellStyle name="百分比 2 6 4 2 4" xfId="48067"/>
    <cellStyle name="百分比 2 6 4 3" xfId="48068"/>
    <cellStyle name="百分比 2 6 4 4" xfId="48069"/>
    <cellStyle name="百分比 2 6 4 5" xfId="48070"/>
    <cellStyle name="百分比 2 6 5" xfId="48071"/>
    <cellStyle name="百分比 2 6 5 2" xfId="48072"/>
    <cellStyle name="百分比 2 6 5 3" xfId="48073"/>
    <cellStyle name="百分比 2 6 5 4" xfId="48074"/>
    <cellStyle name="百分比 2 6 6" xfId="48075"/>
    <cellStyle name="百分比 2 6 7" xfId="48076"/>
    <cellStyle name="百分比 2 6 8" xfId="48077"/>
    <cellStyle name="百分比 2 6 9" xfId="48078"/>
    <cellStyle name="百分比 2 6 9 2" xfId="48079"/>
    <cellStyle name="百分比 2 7" xfId="48080"/>
    <cellStyle name="百分比 2 7 2" xfId="48081"/>
    <cellStyle name="百分比 2 7 2 2" xfId="48082"/>
    <cellStyle name="百分比 2 7 2 2 2" xfId="48083"/>
    <cellStyle name="百分比 2 7 2 2 2 2" xfId="48084"/>
    <cellStyle name="百分比 2 7 2 2 2 3" xfId="48085"/>
    <cellStyle name="百分比 2 7 2 2 2 4" xfId="48086"/>
    <cellStyle name="百分比 2 7 2 2 3" xfId="48087"/>
    <cellStyle name="百分比 2 7 2 2 4" xfId="48088"/>
    <cellStyle name="百分比 2 7 2 2 5" xfId="48089"/>
    <cellStyle name="百分比 2 7 2 3" xfId="48090"/>
    <cellStyle name="百分比 2 7 2 3 2" xfId="48091"/>
    <cellStyle name="百分比 2 7 2 3 2 2" xfId="48092"/>
    <cellStyle name="百分比 2 7 2 3 2 3" xfId="48093"/>
    <cellStyle name="百分比 2 7 2 3 2 4" xfId="48094"/>
    <cellStyle name="百分比 2 7 2 3 3" xfId="48095"/>
    <cellStyle name="百分比 2 7 2 3 4" xfId="48096"/>
    <cellStyle name="百分比 2 7 2 3 5" xfId="48097"/>
    <cellStyle name="百分比 2 7 2 4" xfId="48098"/>
    <cellStyle name="百分比 2 7 2 4 2" xfId="48099"/>
    <cellStyle name="百分比 2 7 2 4 3" xfId="48100"/>
    <cellStyle name="百分比 2 7 2 4 4" xfId="48101"/>
    <cellStyle name="百分比 2 7 2 5" xfId="48102"/>
    <cellStyle name="百分比 2 7 2 6" xfId="48103"/>
    <cellStyle name="百分比 2 7 2 7" xfId="48104"/>
    <cellStyle name="百分比 2 7 2 8" xfId="48105"/>
    <cellStyle name="百分比 2 7 3" xfId="48106"/>
    <cellStyle name="百分比 2 7 3 2" xfId="48107"/>
    <cellStyle name="百分比 2 7 3 2 2" xfId="48108"/>
    <cellStyle name="百分比 2 7 3 2 3" xfId="48109"/>
    <cellStyle name="百分比 2 7 3 2 4" xfId="48110"/>
    <cellStyle name="百分比 2 7 3 3" xfId="48111"/>
    <cellStyle name="百分比 2 7 3 4" xfId="48112"/>
    <cellStyle name="百分比 2 7 3 5" xfId="48113"/>
    <cellStyle name="百分比 2 7 4" xfId="48114"/>
    <cellStyle name="百分比 2 7 4 2" xfId="48115"/>
    <cellStyle name="百分比 2 7 4 2 2" xfId="48116"/>
    <cellStyle name="百分比 2 7 4 2 3" xfId="48117"/>
    <cellStyle name="百分比 2 7 4 2 4" xfId="48118"/>
    <cellStyle name="百分比 2 7 4 3" xfId="48119"/>
    <cellStyle name="百分比 2 7 4 4" xfId="48120"/>
    <cellStyle name="百分比 2 7 4 5" xfId="48121"/>
    <cellStyle name="百分比 2 7 5" xfId="48122"/>
    <cellStyle name="百分比 2 7 5 2" xfId="48123"/>
    <cellStyle name="百分比 2 7 5 3" xfId="48124"/>
    <cellStyle name="百分比 2 7 5 4" xfId="48125"/>
    <cellStyle name="百分比 2 7 6" xfId="48126"/>
    <cellStyle name="百分比 2 7 7" xfId="48127"/>
    <cellStyle name="百分比 2 7 8" xfId="48128"/>
    <cellStyle name="百分比 2 7 9" xfId="48129"/>
    <cellStyle name="百分比 2 8" xfId="48130"/>
    <cellStyle name="百分比 2 8 2" xfId="48131"/>
    <cellStyle name="百分比 2 8 2 2" xfId="48132"/>
    <cellStyle name="百分比 2 8 2 3" xfId="48133"/>
    <cellStyle name="百分比 2 8 2 4" xfId="48134"/>
    <cellStyle name="百分比 2 8 2 5" xfId="48135"/>
    <cellStyle name="百分比 2 8 3" xfId="48136"/>
    <cellStyle name="百分比 2 8 4" xfId="48137"/>
    <cellStyle name="百分比 2 8 5" xfId="48138"/>
    <cellStyle name="百分比 2 8 6" xfId="48139"/>
    <cellStyle name="百分比 2 9" xfId="48140"/>
    <cellStyle name="百分比 2 9 2" xfId="48141"/>
    <cellStyle name="百分比 2 9 2 2" xfId="48142"/>
    <cellStyle name="百分比 2 9 2 3" xfId="48143"/>
    <cellStyle name="百分比 2 9 2 4" xfId="48144"/>
    <cellStyle name="百分比 2 9 3" xfId="48145"/>
    <cellStyle name="百分比 2 9 4" xfId="48146"/>
    <cellStyle name="百分比 2 9 5" xfId="48147"/>
    <cellStyle name="百分比 3" xfId="48148"/>
    <cellStyle name="百分比 3 10" xfId="48149"/>
    <cellStyle name="百分比 3 10 2" xfId="48150"/>
    <cellStyle name="百分比 3 10 3" xfId="48151"/>
    <cellStyle name="百分比 3 10 4" xfId="48152"/>
    <cellStyle name="百分比 3 11" xfId="48153"/>
    <cellStyle name="百分比 3 12" xfId="48154"/>
    <cellStyle name="百分比 3 13" xfId="48155"/>
    <cellStyle name="百分比 3 14" xfId="48156"/>
    <cellStyle name="百分比 3 15" xfId="48157"/>
    <cellStyle name="百分比 3 2" xfId="48158"/>
    <cellStyle name="百分比 3 2 2" xfId="48159"/>
    <cellStyle name="百分比 3 2 2 2" xfId="48160"/>
    <cellStyle name="百分比 3 2 2 2 2" xfId="48161"/>
    <cellStyle name="百分比 3 2 2 2 2 2" xfId="48162"/>
    <cellStyle name="百分比 3 2 2 2 2 2 2" xfId="48163"/>
    <cellStyle name="百分比 3 2 2 2 2 2 3" xfId="48164"/>
    <cellStyle name="百分比 3 2 2 2 2 2 4" xfId="48165"/>
    <cellStyle name="百分比 3 2 2 2 2 3" xfId="48166"/>
    <cellStyle name="百分比 3 2 2 2 2 4" xfId="48167"/>
    <cellStyle name="百分比 3 2 2 2 2 5" xfId="48168"/>
    <cellStyle name="百分比 3 2 2 2 3" xfId="48169"/>
    <cellStyle name="百分比 3 2 2 2 3 2" xfId="48170"/>
    <cellStyle name="百分比 3 2 2 2 3 2 2" xfId="48171"/>
    <cellStyle name="百分比 3 2 2 2 3 2 3" xfId="48172"/>
    <cellStyle name="百分比 3 2 2 2 3 2 4" xfId="48173"/>
    <cellStyle name="百分比 3 2 2 2 3 3" xfId="48174"/>
    <cellStyle name="百分比 3 2 2 2 3 4" xfId="48175"/>
    <cellStyle name="百分比 3 2 2 2 3 5" xfId="48176"/>
    <cellStyle name="百分比 3 2 2 2 4" xfId="48177"/>
    <cellStyle name="百分比 3 2 2 2 4 2" xfId="48178"/>
    <cellStyle name="百分比 3 2 2 2 4 3" xfId="48179"/>
    <cellStyle name="百分比 3 2 2 2 4 4" xfId="48180"/>
    <cellStyle name="百分比 3 2 2 2 5" xfId="48181"/>
    <cellStyle name="百分比 3 2 2 2 6" xfId="48182"/>
    <cellStyle name="百分比 3 2 2 2 7" xfId="48183"/>
    <cellStyle name="百分比 3 2 2 3" xfId="48184"/>
    <cellStyle name="百分比 3 2 2 3 2" xfId="48185"/>
    <cellStyle name="百分比 3 2 2 3 2 2" xfId="48186"/>
    <cellStyle name="百分比 3 2 2 3 2 3" xfId="48187"/>
    <cellStyle name="百分比 3 2 2 3 2 4" xfId="48188"/>
    <cellStyle name="百分比 3 2 2 3 3" xfId="48189"/>
    <cellStyle name="百分比 3 2 2 3 4" xfId="48190"/>
    <cellStyle name="百分比 3 2 2 3 5" xfId="48191"/>
    <cellStyle name="百分比 3 2 2 4" xfId="48192"/>
    <cellStyle name="百分比 3 2 2 4 2" xfId="48193"/>
    <cellStyle name="百分比 3 2 2 4 2 2" xfId="48194"/>
    <cellStyle name="百分比 3 2 2 4 2 3" xfId="48195"/>
    <cellStyle name="百分比 3 2 2 4 2 4" xfId="48196"/>
    <cellStyle name="百分比 3 2 2 4 3" xfId="48197"/>
    <cellStyle name="百分比 3 2 2 4 4" xfId="48198"/>
    <cellStyle name="百分比 3 2 2 4 5" xfId="48199"/>
    <cellStyle name="百分比 3 2 2 5" xfId="48200"/>
    <cellStyle name="百分比 3 2 2 5 2" xfId="48201"/>
    <cellStyle name="百分比 3 2 2 5 3" xfId="48202"/>
    <cellStyle name="百分比 3 2 2 5 4" xfId="48203"/>
    <cellStyle name="百分比 3 2 2 6" xfId="48204"/>
    <cellStyle name="百分比 3 2 2 7" xfId="48205"/>
    <cellStyle name="百分比 3 2 2 8" xfId="48206"/>
    <cellStyle name="百分比 3 2 3" xfId="48207"/>
    <cellStyle name="百分比 3 2 3 2" xfId="48208"/>
    <cellStyle name="百分比 3 2 3 2 2" xfId="48209"/>
    <cellStyle name="百分比 3 2 3 2 3" xfId="48210"/>
    <cellStyle name="百分比 3 2 3 2 4" xfId="48211"/>
    <cellStyle name="百分比 3 2 3 3" xfId="48212"/>
    <cellStyle name="百分比 3 2 3 4" xfId="48213"/>
    <cellStyle name="百分比 3 2 3 5" xfId="48214"/>
    <cellStyle name="百分比 3 2 4" xfId="48215"/>
    <cellStyle name="百分比 3 2 4 2" xfId="48216"/>
    <cellStyle name="百分比 3 2 4 2 2" xfId="48217"/>
    <cellStyle name="百分比 3 2 4 2 3" xfId="48218"/>
    <cellStyle name="百分比 3 2 4 2 4" xfId="48219"/>
    <cellStyle name="百分比 3 2 4 3" xfId="48220"/>
    <cellStyle name="百分比 3 2 4 4" xfId="48221"/>
    <cellStyle name="百分比 3 2 4 5" xfId="48222"/>
    <cellStyle name="百分比 3 2 5" xfId="48223"/>
    <cellStyle name="百分比 3 2 5 2" xfId="48224"/>
    <cellStyle name="百分比 3 2 5 3" xfId="48225"/>
    <cellStyle name="百分比 3 2 5 4" xfId="48226"/>
    <cellStyle name="百分比 3 2 6" xfId="48227"/>
    <cellStyle name="百分比 3 2 7" xfId="48228"/>
    <cellStyle name="百分比 3 2 8" xfId="48229"/>
    <cellStyle name="百分比 3 3" xfId="48230"/>
    <cellStyle name="百分比 3 3 2" xfId="48231"/>
    <cellStyle name="百分比 3 3 2 2" xfId="48232"/>
    <cellStyle name="百分比 3 3 2 2 2" xfId="48233"/>
    <cellStyle name="百分比 3 3 2 2 2 2" xfId="48234"/>
    <cellStyle name="百分比 3 3 2 2 2 2 2" xfId="48235"/>
    <cellStyle name="百分比 3 3 2 2 2 2 3" xfId="48236"/>
    <cellStyle name="百分比 3 3 2 2 2 2 4" xfId="48237"/>
    <cellStyle name="百分比 3 3 2 2 2 3" xfId="48238"/>
    <cellStyle name="百分比 3 3 2 2 2 4" xfId="48239"/>
    <cellStyle name="百分比 3 3 2 2 2 5" xfId="48240"/>
    <cellStyle name="百分比 3 3 2 2 3" xfId="48241"/>
    <cellStyle name="百分比 3 3 2 2 3 2" xfId="48242"/>
    <cellStyle name="百分比 3 3 2 2 3 2 2" xfId="48243"/>
    <cellStyle name="百分比 3 3 2 2 3 2 3" xfId="48244"/>
    <cellStyle name="百分比 3 3 2 2 3 2 4" xfId="48245"/>
    <cellStyle name="百分比 3 3 2 2 3 3" xfId="48246"/>
    <cellStyle name="百分比 3 3 2 2 3 4" xfId="48247"/>
    <cellStyle name="百分比 3 3 2 2 3 5" xfId="48248"/>
    <cellStyle name="百分比 3 3 2 2 4" xfId="48249"/>
    <cellStyle name="百分比 3 3 2 2 4 2" xfId="48250"/>
    <cellStyle name="百分比 3 3 2 2 4 3" xfId="48251"/>
    <cellStyle name="百分比 3 3 2 2 4 4" xfId="48252"/>
    <cellStyle name="百分比 3 3 2 2 5" xfId="48253"/>
    <cellStyle name="百分比 3 3 2 2 6" xfId="48254"/>
    <cellStyle name="百分比 3 3 2 2 7" xfId="48255"/>
    <cellStyle name="百分比 3 3 2 3" xfId="48256"/>
    <cellStyle name="百分比 3 3 2 3 2" xfId="48257"/>
    <cellStyle name="百分比 3 3 2 3 2 2" xfId="48258"/>
    <cellStyle name="百分比 3 3 2 3 2 3" xfId="48259"/>
    <cellStyle name="百分比 3 3 2 3 2 4" xfId="48260"/>
    <cellStyle name="百分比 3 3 2 3 3" xfId="48261"/>
    <cellStyle name="百分比 3 3 2 3 4" xfId="48262"/>
    <cellStyle name="百分比 3 3 2 3 5" xfId="48263"/>
    <cellStyle name="百分比 3 3 2 4" xfId="48264"/>
    <cellStyle name="百分比 3 3 2 4 2" xfId="48265"/>
    <cellStyle name="百分比 3 3 2 4 2 2" xfId="48266"/>
    <cellStyle name="百分比 3 3 2 4 2 3" xfId="48267"/>
    <cellStyle name="百分比 3 3 2 4 2 4" xfId="48268"/>
    <cellStyle name="百分比 3 3 2 4 3" xfId="48269"/>
    <cellStyle name="百分比 3 3 2 4 4" xfId="48270"/>
    <cellStyle name="百分比 3 3 2 4 5" xfId="48271"/>
    <cellStyle name="百分比 3 3 2 5" xfId="48272"/>
    <cellStyle name="百分比 3 3 2 5 2" xfId="48273"/>
    <cellStyle name="百分比 3 3 2 5 3" xfId="48274"/>
    <cellStyle name="百分比 3 3 2 5 4" xfId="48275"/>
    <cellStyle name="百分比 3 3 2 6" xfId="48276"/>
    <cellStyle name="百分比 3 3 2 7" xfId="48277"/>
    <cellStyle name="百分比 3 3 2 8" xfId="48278"/>
    <cellStyle name="百分比 3 3 3" xfId="48279"/>
    <cellStyle name="百分比 3 3 3 2" xfId="48280"/>
    <cellStyle name="百分比 3 3 3 2 2" xfId="48281"/>
    <cellStyle name="百分比 3 3 3 2 3" xfId="48282"/>
    <cellStyle name="百分比 3 3 3 2 4" xfId="48283"/>
    <cellStyle name="百分比 3 3 3 3" xfId="48284"/>
    <cellStyle name="百分比 3 3 3 4" xfId="48285"/>
    <cellStyle name="百分比 3 3 3 5" xfId="48286"/>
    <cellStyle name="百分比 3 3 4" xfId="48287"/>
    <cellStyle name="百分比 3 3 4 2" xfId="48288"/>
    <cellStyle name="百分比 3 3 4 2 2" xfId="48289"/>
    <cellStyle name="百分比 3 3 4 2 3" xfId="48290"/>
    <cellStyle name="百分比 3 3 4 2 4" xfId="48291"/>
    <cellStyle name="百分比 3 3 4 3" xfId="48292"/>
    <cellStyle name="百分比 3 3 4 4" xfId="48293"/>
    <cellStyle name="百分比 3 3 4 5" xfId="48294"/>
    <cellStyle name="百分比 3 3 5" xfId="48295"/>
    <cellStyle name="百分比 3 3 5 2" xfId="48296"/>
    <cellStyle name="百分比 3 3 5 3" xfId="48297"/>
    <cellStyle name="百分比 3 3 5 4" xfId="48298"/>
    <cellStyle name="百分比 3 3 6" xfId="48299"/>
    <cellStyle name="百分比 3 3 7" xfId="48300"/>
    <cellStyle name="百分比 3 3 8" xfId="48301"/>
    <cellStyle name="百分比 3 4" xfId="48302"/>
    <cellStyle name="百分比 3 4 2" xfId="48303"/>
    <cellStyle name="百分比 3 4 2 2" xfId="48304"/>
    <cellStyle name="百分比 3 4 2 2 2" xfId="48305"/>
    <cellStyle name="百分比 3 4 2 2 2 2" xfId="48306"/>
    <cellStyle name="百分比 3 4 2 2 2 2 2" xfId="48307"/>
    <cellStyle name="百分比 3 4 2 2 2 2 3" xfId="48308"/>
    <cellStyle name="百分比 3 4 2 2 2 2 4" xfId="48309"/>
    <cellStyle name="百分比 3 4 2 2 2 3" xfId="48310"/>
    <cellStyle name="百分比 3 4 2 2 2 4" xfId="48311"/>
    <cellStyle name="百分比 3 4 2 2 2 5" xfId="48312"/>
    <cellStyle name="百分比 3 4 2 2 3" xfId="48313"/>
    <cellStyle name="百分比 3 4 2 2 3 2" xfId="48314"/>
    <cellStyle name="百分比 3 4 2 2 3 2 2" xfId="48315"/>
    <cellStyle name="百分比 3 4 2 2 3 2 3" xfId="48316"/>
    <cellStyle name="百分比 3 4 2 2 3 2 4" xfId="48317"/>
    <cellStyle name="百分比 3 4 2 2 3 3" xfId="48318"/>
    <cellStyle name="百分比 3 4 2 2 3 4" xfId="48319"/>
    <cellStyle name="百分比 3 4 2 2 3 5" xfId="48320"/>
    <cellStyle name="百分比 3 4 2 2 4" xfId="48321"/>
    <cellStyle name="百分比 3 4 2 2 4 2" xfId="48322"/>
    <cellStyle name="百分比 3 4 2 2 4 3" xfId="48323"/>
    <cellStyle name="百分比 3 4 2 2 4 4" xfId="48324"/>
    <cellStyle name="百分比 3 4 2 2 5" xfId="48325"/>
    <cellStyle name="百分比 3 4 2 2 6" xfId="48326"/>
    <cellStyle name="百分比 3 4 2 2 7" xfId="48327"/>
    <cellStyle name="百分比 3 4 2 3" xfId="48328"/>
    <cellStyle name="百分比 3 4 2 3 2" xfId="48329"/>
    <cellStyle name="百分比 3 4 2 3 2 2" xfId="48330"/>
    <cellStyle name="百分比 3 4 2 3 2 3" xfId="48331"/>
    <cellStyle name="百分比 3 4 2 3 2 4" xfId="48332"/>
    <cellStyle name="百分比 3 4 2 3 3" xfId="48333"/>
    <cellStyle name="百分比 3 4 2 3 4" xfId="48334"/>
    <cellStyle name="百分比 3 4 2 3 5" xfId="48335"/>
    <cellStyle name="百分比 3 4 2 4" xfId="48336"/>
    <cellStyle name="百分比 3 4 2 4 2" xfId="48337"/>
    <cellStyle name="百分比 3 4 2 4 2 2" xfId="48338"/>
    <cellStyle name="百分比 3 4 2 4 2 3" xfId="48339"/>
    <cellStyle name="百分比 3 4 2 4 2 4" xfId="48340"/>
    <cellStyle name="百分比 3 4 2 4 3" xfId="48341"/>
    <cellStyle name="百分比 3 4 2 4 4" xfId="48342"/>
    <cellStyle name="百分比 3 4 2 4 5" xfId="48343"/>
    <cellStyle name="百分比 3 4 2 5" xfId="48344"/>
    <cellStyle name="百分比 3 4 2 5 2" xfId="48345"/>
    <cellStyle name="百分比 3 4 2 5 3" xfId="48346"/>
    <cellStyle name="百分比 3 4 2 5 4" xfId="48347"/>
    <cellStyle name="百分比 3 4 2 6" xfId="48348"/>
    <cellStyle name="百分比 3 4 2 7" xfId="48349"/>
    <cellStyle name="百分比 3 4 2 8" xfId="48350"/>
    <cellStyle name="百分比 3 4 3" xfId="48351"/>
    <cellStyle name="百分比 3 4 3 2" xfId="48352"/>
    <cellStyle name="百分比 3 4 3 2 2" xfId="48353"/>
    <cellStyle name="百分比 3 4 3 2 3" xfId="48354"/>
    <cellStyle name="百分比 3 4 3 2 4" xfId="48355"/>
    <cellStyle name="百分比 3 4 3 3" xfId="48356"/>
    <cellStyle name="百分比 3 4 3 4" xfId="48357"/>
    <cellStyle name="百分比 3 4 3 5" xfId="48358"/>
    <cellStyle name="百分比 3 4 4" xfId="48359"/>
    <cellStyle name="百分比 3 4 4 2" xfId="48360"/>
    <cellStyle name="百分比 3 4 4 2 2" xfId="48361"/>
    <cellStyle name="百分比 3 4 4 2 3" xfId="48362"/>
    <cellStyle name="百分比 3 4 4 2 4" xfId="48363"/>
    <cellStyle name="百分比 3 4 4 3" xfId="48364"/>
    <cellStyle name="百分比 3 4 4 4" xfId="48365"/>
    <cellStyle name="百分比 3 4 4 5" xfId="48366"/>
    <cellStyle name="百分比 3 4 5" xfId="48367"/>
    <cellStyle name="百分比 3 4 5 2" xfId="48368"/>
    <cellStyle name="百分比 3 4 5 3" xfId="48369"/>
    <cellStyle name="百分比 3 4 5 4" xfId="48370"/>
    <cellStyle name="百分比 3 4 6" xfId="48371"/>
    <cellStyle name="百分比 3 4 7" xfId="48372"/>
    <cellStyle name="百分比 3 4 8" xfId="48373"/>
    <cellStyle name="百分比 3 5" xfId="48374"/>
    <cellStyle name="百分比 3 5 2" xfId="48375"/>
    <cellStyle name="百分比 3 5 2 2" xfId="48376"/>
    <cellStyle name="百分比 3 5 2 2 2" xfId="48377"/>
    <cellStyle name="百分比 3 5 2 2 2 2" xfId="48378"/>
    <cellStyle name="百分比 3 5 2 2 2 2 2" xfId="48379"/>
    <cellStyle name="百分比 3 5 2 2 2 2 3" xfId="48380"/>
    <cellStyle name="百分比 3 5 2 2 2 2 4" xfId="48381"/>
    <cellStyle name="百分比 3 5 2 2 2 3" xfId="48382"/>
    <cellStyle name="百分比 3 5 2 2 2 4" xfId="48383"/>
    <cellStyle name="百分比 3 5 2 2 2 5" xfId="48384"/>
    <cellStyle name="百分比 3 5 2 2 3" xfId="48385"/>
    <cellStyle name="百分比 3 5 2 2 3 2" xfId="48386"/>
    <cellStyle name="百分比 3 5 2 2 3 2 2" xfId="48387"/>
    <cellStyle name="百分比 3 5 2 2 3 2 3" xfId="48388"/>
    <cellStyle name="百分比 3 5 2 2 3 2 4" xfId="48389"/>
    <cellStyle name="百分比 3 5 2 2 3 3" xfId="48390"/>
    <cellStyle name="百分比 3 5 2 2 3 4" xfId="48391"/>
    <cellStyle name="百分比 3 5 2 2 3 5" xfId="48392"/>
    <cellStyle name="百分比 3 5 2 2 4" xfId="48393"/>
    <cellStyle name="百分比 3 5 2 2 4 2" xfId="48394"/>
    <cellStyle name="百分比 3 5 2 2 4 3" xfId="48395"/>
    <cellStyle name="百分比 3 5 2 2 4 4" xfId="48396"/>
    <cellStyle name="百分比 3 5 2 2 5" xfId="48397"/>
    <cellStyle name="百分比 3 5 2 2 6" xfId="48398"/>
    <cellStyle name="百分比 3 5 2 2 7" xfId="48399"/>
    <cellStyle name="百分比 3 5 2 3" xfId="48400"/>
    <cellStyle name="百分比 3 5 2 3 2" xfId="48401"/>
    <cellStyle name="百分比 3 5 2 3 2 2" xfId="48402"/>
    <cellStyle name="百分比 3 5 2 3 2 3" xfId="48403"/>
    <cellStyle name="百分比 3 5 2 3 2 4" xfId="48404"/>
    <cellStyle name="百分比 3 5 2 3 3" xfId="48405"/>
    <cellStyle name="百分比 3 5 2 3 4" xfId="48406"/>
    <cellStyle name="百分比 3 5 2 3 5" xfId="48407"/>
    <cellStyle name="百分比 3 5 2 4" xfId="48408"/>
    <cellStyle name="百分比 3 5 2 4 2" xfId="48409"/>
    <cellStyle name="百分比 3 5 2 4 2 2" xfId="48410"/>
    <cellStyle name="百分比 3 5 2 4 2 3" xfId="48411"/>
    <cellStyle name="百分比 3 5 2 4 2 4" xfId="48412"/>
    <cellStyle name="百分比 3 5 2 4 3" xfId="48413"/>
    <cellStyle name="百分比 3 5 2 4 4" xfId="48414"/>
    <cellStyle name="百分比 3 5 2 4 5" xfId="48415"/>
    <cellStyle name="百分比 3 5 2 5" xfId="48416"/>
    <cellStyle name="百分比 3 5 2 5 2" xfId="48417"/>
    <cellStyle name="百分比 3 5 2 5 3" xfId="48418"/>
    <cellStyle name="百分比 3 5 2 5 4" xfId="48419"/>
    <cellStyle name="百分比 3 5 2 6" xfId="48420"/>
    <cellStyle name="百分比 3 5 2 7" xfId="48421"/>
    <cellStyle name="百分比 3 5 2 8" xfId="48422"/>
    <cellStyle name="百分比 3 5 3" xfId="48423"/>
    <cellStyle name="百分比 3 5 3 2" xfId="48424"/>
    <cellStyle name="百分比 3 5 3 2 2" xfId="48425"/>
    <cellStyle name="百分比 3 5 3 2 3" xfId="48426"/>
    <cellStyle name="百分比 3 5 3 2 4" xfId="48427"/>
    <cellStyle name="百分比 3 5 3 3" xfId="48428"/>
    <cellStyle name="百分比 3 5 3 4" xfId="48429"/>
    <cellStyle name="百分比 3 5 3 5" xfId="48430"/>
    <cellStyle name="百分比 3 5 4" xfId="48431"/>
    <cellStyle name="百分比 3 5 4 2" xfId="48432"/>
    <cellStyle name="百分比 3 5 4 2 2" xfId="48433"/>
    <cellStyle name="百分比 3 5 4 2 3" xfId="48434"/>
    <cellStyle name="百分比 3 5 4 2 4" xfId="48435"/>
    <cellStyle name="百分比 3 5 4 3" xfId="48436"/>
    <cellStyle name="百分比 3 5 4 4" xfId="48437"/>
    <cellStyle name="百分比 3 5 4 5" xfId="48438"/>
    <cellStyle name="百分比 3 5 5" xfId="48439"/>
    <cellStyle name="百分比 3 5 5 2" xfId="48440"/>
    <cellStyle name="百分比 3 5 5 3" xfId="48441"/>
    <cellStyle name="百分比 3 5 5 4" xfId="48442"/>
    <cellStyle name="百分比 3 5 6" xfId="48443"/>
    <cellStyle name="百分比 3 5 7" xfId="48444"/>
    <cellStyle name="百分比 3 5 8" xfId="48445"/>
    <cellStyle name="百分比 3 6" xfId="48446"/>
    <cellStyle name="百分比 3 6 2" xfId="48447"/>
    <cellStyle name="百分比 3 6 2 2" xfId="48448"/>
    <cellStyle name="百分比 3 6 2 2 2" xfId="48449"/>
    <cellStyle name="百分比 3 6 2 2 2 2" xfId="48450"/>
    <cellStyle name="百分比 3 6 2 2 2 2 2" xfId="48451"/>
    <cellStyle name="百分比 3 6 2 2 2 2 3" xfId="48452"/>
    <cellStyle name="百分比 3 6 2 2 2 2 4" xfId="48453"/>
    <cellStyle name="百分比 3 6 2 2 2 3" xfId="48454"/>
    <cellStyle name="百分比 3 6 2 2 2 4" xfId="48455"/>
    <cellStyle name="百分比 3 6 2 2 2 5" xfId="48456"/>
    <cellStyle name="百分比 3 6 2 2 3" xfId="48457"/>
    <cellStyle name="百分比 3 6 2 2 3 2" xfId="48458"/>
    <cellStyle name="百分比 3 6 2 2 3 2 2" xfId="48459"/>
    <cellStyle name="百分比 3 6 2 2 3 2 3" xfId="48460"/>
    <cellStyle name="百分比 3 6 2 2 3 2 4" xfId="48461"/>
    <cellStyle name="百分比 3 6 2 2 3 3" xfId="48462"/>
    <cellStyle name="百分比 3 6 2 2 3 4" xfId="48463"/>
    <cellStyle name="百分比 3 6 2 2 3 5" xfId="48464"/>
    <cellStyle name="百分比 3 6 2 2 4" xfId="48465"/>
    <cellStyle name="百分比 3 6 2 2 4 2" xfId="48466"/>
    <cellStyle name="百分比 3 6 2 2 4 3" xfId="48467"/>
    <cellStyle name="百分比 3 6 2 2 4 4" xfId="48468"/>
    <cellStyle name="百分比 3 6 2 2 5" xfId="48469"/>
    <cellStyle name="百分比 3 6 2 2 6" xfId="48470"/>
    <cellStyle name="百分比 3 6 2 2 7" xfId="48471"/>
    <cellStyle name="百分比 3 6 2 3" xfId="48472"/>
    <cellStyle name="百分比 3 6 2 3 2" xfId="48473"/>
    <cellStyle name="百分比 3 6 2 3 2 2" xfId="48474"/>
    <cellStyle name="百分比 3 6 2 3 2 3" xfId="48475"/>
    <cellStyle name="百分比 3 6 2 3 2 4" xfId="48476"/>
    <cellStyle name="百分比 3 6 2 3 3" xfId="48477"/>
    <cellStyle name="百分比 3 6 2 3 4" xfId="48478"/>
    <cellStyle name="百分比 3 6 2 3 5" xfId="48479"/>
    <cellStyle name="百分比 3 6 2 4" xfId="48480"/>
    <cellStyle name="百分比 3 6 2 4 2" xfId="48481"/>
    <cellStyle name="百分比 3 6 2 4 2 2" xfId="48482"/>
    <cellStyle name="百分比 3 6 2 4 2 3" xfId="48483"/>
    <cellStyle name="百分比 3 6 2 4 2 4" xfId="48484"/>
    <cellStyle name="百分比 3 6 2 4 3" xfId="48485"/>
    <cellStyle name="百分比 3 6 2 4 4" xfId="48486"/>
    <cellStyle name="百分比 3 6 2 4 5" xfId="48487"/>
    <cellStyle name="百分比 3 6 2 5" xfId="48488"/>
    <cellStyle name="百分比 3 6 2 5 2" xfId="48489"/>
    <cellStyle name="百分比 3 6 2 5 3" xfId="48490"/>
    <cellStyle name="百分比 3 6 2 5 4" xfId="48491"/>
    <cellStyle name="百分比 3 6 2 6" xfId="48492"/>
    <cellStyle name="百分比 3 6 2 7" xfId="48493"/>
    <cellStyle name="百分比 3 6 2 8" xfId="48494"/>
    <cellStyle name="百分比 3 6 3" xfId="48495"/>
    <cellStyle name="百分比 3 6 3 2" xfId="48496"/>
    <cellStyle name="百分比 3 6 3 2 2" xfId="48497"/>
    <cellStyle name="百分比 3 6 3 2 3" xfId="48498"/>
    <cellStyle name="百分比 3 6 3 2 4" xfId="48499"/>
    <cellStyle name="百分比 3 6 3 3" xfId="48500"/>
    <cellStyle name="百分比 3 6 3 4" xfId="48501"/>
    <cellStyle name="百分比 3 6 3 5" xfId="48502"/>
    <cellStyle name="百分比 3 6 4" xfId="48503"/>
    <cellStyle name="百分比 3 6 4 2" xfId="48504"/>
    <cellStyle name="百分比 3 6 4 2 2" xfId="48505"/>
    <cellStyle name="百分比 3 6 4 2 3" xfId="48506"/>
    <cellStyle name="百分比 3 6 4 2 4" xfId="48507"/>
    <cellStyle name="百分比 3 6 4 3" xfId="48508"/>
    <cellStyle name="百分比 3 6 4 4" xfId="48509"/>
    <cellStyle name="百分比 3 6 4 5" xfId="48510"/>
    <cellStyle name="百分比 3 6 5" xfId="48511"/>
    <cellStyle name="百分比 3 6 5 2" xfId="48512"/>
    <cellStyle name="百分比 3 6 5 3" xfId="48513"/>
    <cellStyle name="百分比 3 6 5 4" xfId="48514"/>
    <cellStyle name="百分比 3 6 6" xfId="48515"/>
    <cellStyle name="百分比 3 6 7" xfId="48516"/>
    <cellStyle name="百分比 3 6 8" xfId="48517"/>
    <cellStyle name="百分比 3 7" xfId="48518"/>
    <cellStyle name="百分比 3 7 2" xfId="48519"/>
    <cellStyle name="百分比 3 7 2 2" xfId="48520"/>
    <cellStyle name="百分比 3 7 2 2 2" xfId="48521"/>
    <cellStyle name="百分比 3 7 2 2 2 2" xfId="48522"/>
    <cellStyle name="百分比 3 7 2 2 2 3" xfId="48523"/>
    <cellStyle name="百分比 3 7 2 2 2 4" xfId="48524"/>
    <cellStyle name="百分比 3 7 2 2 3" xfId="48525"/>
    <cellStyle name="百分比 3 7 2 2 4" xfId="48526"/>
    <cellStyle name="百分比 3 7 2 2 5" xfId="48527"/>
    <cellStyle name="百分比 3 7 2 3" xfId="48528"/>
    <cellStyle name="百分比 3 7 2 3 2" xfId="48529"/>
    <cellStyle name="百分比 3 7 2 3 2 2" xfId="48530"/>
    <cellStyle name="百分比 3 7 2 3 2 3" xfId="48531"/>
    <cellStyle name="百分比 3 7 2 3 2 4" xfId="48532"/>
    <cellStyle name="百分比 3 7 2 3 3" xfId="48533"/>
    <cellStyle name="百分比 3 7 2 3 4" xfId="48534"/>
    <cellStyle name="百分比 3 7 2 3 5" xfId="48535"/>
    <cellStyle name="百分比 3 7 2 4" xfId="48536"/>
    <cellStyle name="百分比 3 7 2 4 2" xfId="48537"/>
    <cellStyle name="百分比 3 7 2 4 3" xfId="48538"/>
    <cellStyle name="百分比 3 7 2 4 4" xfId="48539"/>
    <cellStyle name="百分比 3 7 2 5" xfId="48540"/>
    <cellStyle name="百分比 3 7 2 6" xfId="48541"/>
    <cellStyle name="百分比 3 7 2 7" xfId="48542"/>
    <cellStyle name="百分比 3 7 3" xfId="48543"/>
    <cellStyle name="百分比 3 7 3 2" xfId="48544"/>
    <cellStyle name="百分比 3 7 3 2 2" xfId="48545"/>
    <cellStyle name="百分比 3 7 3 2 3" xfId="48546"/>
    <cellStyle name="百分比 3 7 3 2 4" xfId="48547"/>
    <cellStyle name="百分比 3 7 3 3" xfId="48548"/>
    <cellStyle name="百分比 3 7 3 4" xfId="48549"/>
    <cellStyle name="百分比 3 7 3 5" xfId="48550"/>
    <cellStyle name="百分比 3 7 4" xfId="48551"/>
    <cellStyle name="百分比 3 7 4 2" xfId="48552"/>
    <cellStyle name="百分比 3 7 4 2 2" xfId="48553"/>
    <cellStyle name="百分比 3 7 4 2 3" xfId="48554"/>
    <cellStyle name="百分比 3 7 4 2 4" xfId="48555"/>
    <cellStyle name="百分比 3 7 4 3" xfId="48556"/>
    <cellStyle name="百分比 3 7 4 4" xfId="48557"/>
    <cellStyle name="百分比 3 7 4 5" xfId="48558"/>
    <cellStyle name="百分比 3 7 5" xfId="48559"/>
    <cellStyle name="百分比 3 7 5 2" xfId="48560"/>
    <cellStyle name="百分比 3 7 5 3" xfId="48561"/>
    <cellStyle name="百分比 3 7 5 4" xfId="48562"/>
    <cellStyle name="百分比 3 7 6" xfId="48563"/>
    <cellStyle name="百分比 3 7 7" xfId="48564"/>
    <cellStyle name="百分比 3 7 8" xfId="48565"/>
    <cellStyle name="百分比 3 8" xfId="48566"/>
    <cellStyle name="百分比 3 8 2" xfId="48567"/>
    <cellStyle name="百分比 3 8 2 2" xfId="48568"/>
    <cellStyle name="百分比 3 8 2 3" xfId="48569"/>
    <cellStyle name="百分比 3 8 2 4" xfId="48570"/>
    <cellStyle name="百分比 3 8 3" xfId="48571"/>
    <cellStyle name="百分比 3 8 4" xfId="48572"/>
    <cellStyle name="百分比 3 8 5" xfId="48573"/>
    <cellStyle name="百分比 3 9" xfId="48574"/>
    <cellStyle name="百分比 3 9 2" xfId="48575"/>
    <cellStyle name="百分比 3 9 2 2" xfId="48576"/>
    <cellStyle name="百分比 3 9 2 3" xfId="48577"/>
    <cellStyle name="百分比 3 9 2 4" xfId="48578"/>
    <cellStyle name="百分比 3 9 3" xfId="48579"/>
    <cellStyle name="百分比 3 9 4" xfId="48580"/>
    <cellStyle name="百分比 3 9 5" xfId="48581"/>
    <cellStyle name="百分比 4" xfId="48582"/>
    <cellStyle name="百分比 4 10" xfId="48583"/>
    <cellStyle name="百分比 4 10 2" xfId="48584"/>
    <cellStyle name="百分比 4 10 3" xfId="48585"/>
    <cellStyle name="百分比 4 10 4" xfId="48586"/>
    <cellStyle name="百分比 4 11" xfId="48587"/>
    <cellStyle name="百分比 4 12" xfId="48588"/>
    <cellStyle name="百分比 4 13" xfId="48589"/>
    <cellStyle name="百分比 4 2" xfId="48590"/>
    <cellStyle name="百分比 4 2 2" xfId="48591"/>
    <cellStyle name="百分比 4 2 2 2" xfId="48592"/>
    <cellStyle name="百分比 4 2 2 2 2" xfId="48593"/>
    <cellStyle name="百分比 4 2 2 2 2 2" xfId="48594"/>
    <cellStyle name="百分比 4 2 2 2 2 2 2" xfId="48595"/>
    <cellStyle name="百分比 4 2 2 2 2 2 3" xfId="48596"/>
    <cellStyle name="百分比 4 2 2 2 2 2 4" xfId="48597"/>
    <cellStyle name="百分比 4 2 2 2 2 3" xfId="48598"/>
    <cellStyle name="百分比 4 2 2 2 2 4" xfId="48599"/>
    <cellStyle name="百分比 4 2 2 2 2 5" xfId="48600"/>
    <cellStyle name="百分比 4 2 2 2 3" xfId="48601"/>
    <cellStyle name="百分比 4 2 2 2 3 2" xfId="48602"/>
    <cellStyle name="百分比 4 2 2 2 3 2 2" xfId="48603"/>
    <cellStyle name="百分比 4 2 2 2 3 2 3" xfId="48604"/>
    <cellStyle name="百分比 4 2 2 2 3 2 4" xfId="48605"/>
    <cellStyle name="百分比 4 2 2 2 3 3" xfId="48606"/>
    <cellStyle name="百分比 4 2 2 2 3 4" xfId="48607"/>
    <cellStyle name="百分比 4 2 2 2 3 5" xfId="48608"/>
    <cellStyle name="百分比 4 2 2 2 4" xfId="48609"/>
    <cellStyle name="百分比 4 2 2 2 4 2" xfId="48610"/>
    <cellStyle name="百分比 4 2 2 2 4 3" xfId="48611"/>
    <cellStyle name="百分比 4 2 2 2 4 4" xfId="48612"/>
    <cellStyle name="百分比 4 2 2 2 5" xfId="48613"/>
    <cellStyle name="百分比 4 2 2 2 6" xfId="48614"/>
    <cellStyle name="百分比 4 2 2 2 7" xfId="48615"/>
    <cellStyle name="百分比 4 2 2 3" xfId="48616"/>
    <cellStyle name="百分比 4 2 2 3 2" xfId="48617"/>
    <cellStyle name="百分比 4 2 2 3 2 2" xfId="48618"/>
    <cellStyle name="百分比 4 2 2 3 2 3" xfId="48619"/>
    <cellStyle name="百分比 4 2 2 3 2 4" xfId="48620"/>
    <cellStyle name="百分比 4 2 2 3 3" xfId="48621"/>
    <cellStyle name="百分比 4 2 2 3 4" xfId="48622"/>
    <cellStyle name="百分比 4 2 2 3 5" xfId="48623"/>
    <cellStyle name="百分比 4 2 2 4" xfId="48624"/>
    <cellStyle name="百分比 4 2 2 4 2" xfId="48625"/>
    <cellStyle name="百分比 4 2 2 4 2 2" xfId="48626"/>
    <cellStyle name="百分比 4 2 2 4 2 3" xfId="48627"/>
    <cellStyle name="百分比 4 2 2 4 2 4" xfId="48628"/>
    <cellStyle name="百分比 4 2 2 4 3" xfId="48629"/>
    <cellStyle name="百分比 4 2 2 4 4" xfId="48630"/>
    <cellStyle name="百分比 4 2 2 4 5" xfId="48631"/>
    <cellStyle name="百分比 4 2 2 5" xfId="48632"/>
    <cellStyle name="百分比 4 2 2 5 2" xfId="48633"/>
    <cellStyle name="百分比 4 2 2 5 3" xfId="48634"/>
    <cellStyle name="百分比 4 2 2 5 4" xfId="48635"/>
    <cellStyle name="百分比 4 2 2 6" xfId="48636"/>
    <cellStyle name="百分比 4 2 2 7" xfId="48637"/>
    <cellStyle name="百分比 4 2 2 8" xfId="48638"/>
    <cellStyle name="百分比 4 2 3" xfId="48639"/>
    <cellStyle name="百分比 4 2 3 2" xfId="48640"/>
    <cellStyle name="百分比 4 2 3 2 2" xfId="48641"/>
    <cellStyle name="百分比 4 2 3 2 3" xfId="48642"/>
    <cellStyle name="百分比 4 2 3 2 4" xfId="48643"/>
    <cellStyle name="百分比 4 2 3 3" xfId="48644"/>
    <cellStyle name="百分比 4 2 3 4" xfId="48645"/>
    <cellStyle name="百分比 4 2 3 5" xfId="48646"/>
    <cellStyle name="百分比 4 2 4" xfId="48647"/>
    <cellStyle name="百分比 4 2 4 2" xfId="48648"/>
    <cellStyle name="百分比 4 2 4 2 2" xfId="48649"/>
    <cellStyle name="百分比 4 2 4 2 3" xfId="48650"/>
    <cellStyle name="百分比 4 2 4 2 4" xfId="48651"/>
    <cellStyle name="百分比 4 2 4 3" xfId="48652"/>
    <cellStyle name="百分比 4 2 4 4" xfId="48653"/>
    <cellStyle name="百分比 4 2 4 5" xfId="48654"/>
    <cellStyle name="百分比 4 2 5" xfId="48655"/>
    <cellStyle name="百分比 4 2 5 2" xfId="48656"/>
    <cellStyle name="百分比 4 2 5 3" xfId="48657"/>
    <cellStyle name="百分比 4 2 5 4" xfId="48658"/>
    <cellStyle name="百分比 4 2 6" xfId="48659"/>
    <cellStyle name="百分比 4 2 7" xfId="48660"/>
    <cellStyle name="百分比 4 2 8" xfId="48661"/>
    <cellStyle name="百分比 4 3" xfId="48662"/>
    <cellStyle name="百分比 4 3 2" xfId="48663"/>
    <cellStyle name="百分比 4 3 2 2" xfId="48664"/>
    <cellStyle name="百分比 4 3 2 2 2" xfId="48665"/>
    <cellStyle name="百分比 4 3 2 2 2 2" xfId="48666"/>
    <cellStyle name="百分比 4 3 2 2 2 2 2" xfId="48667"/>
    <cellStyle name="百分比 4 3 2 2 2 2 3" xfId="48668"/>
    <cellStyle name="百分比 4 3 2 2 2 2 4" xfId="48669"/>
    <cellStyle name="百分比 4 3 2 2 2 3" xfId="48670"/>
    <cellStyle name="百分比 4 3 2 2 2 4" xfId="48671"/>
    <cellStyle name="百分比 4 3 2 2 2 5" xfId="48672"/>
    <cellStyle name="百分比 4 3 2 2 3" xfId="48673"/>
    <cellStyle name="百分比 4 3 2 2 3 2" xfId="48674"/>
    <cellStyle name="百分比 4 3 2 2 3 2 2" xfId="48675"/>
    <cellStyle name="百分比 4 3 2 2 3 2 3" xfId="48676"/>
    <cellStyle name="百分比 4 3 2 2 3 2 4" xfId="48677"/>
    <cellStyle name="百分比 4 3 2 2 3 3" xfId="48678"/>
    <cellStyle name="百分比 4 3 2 2 3 4" xfId="48679"/>
    <cellStyle name="百分比 4 3 2 2 3 5" xfId="48680"/>
    <cellStyle name="百分比 4 3 2 2 4" xfId="48681"/>
    <cellStyle name="百分比 4 3 2 2 4 2" xfId="48682"/>
    <cellStyle name="百分比 4 3 2 2 4 3" xfId="48683"/>
    <cellStyle name="百分比 4 3 2 2 4 4" xfId="48684"/>
    <cellStyle name="百分比 4 3 2 2 5" xfId="48685"/>
    <cellStyle name="百分比 4 3 2 2 6" xfId="48686"/>
    <cellStyle name="百分比 4 3 2 2 7" xfId="48687"/>
    <cellStyle name="百分比 4 3 2 3" xfId="48688"/>
    <cellStyle name="百分比 4 3 2 3 2" xfId="48689"/>
    <cellStyle name="百分比 4 3 2 3 2 2" xfId="48690"/>
    <cellStyle name="百分比 4 3 2 3 2 3" xfId="48691"/>
    <cellStyle name="百分比 4 3 2 3 2 4" xfId="48692"/>
    <cellStyle name="百分比 4 3 2 3 3" xfId="48693"/>
    <cellStyle name="百分比 4 3 2 3 4" xfId="48694"/>
    <cellStyle name="百分比 4 3 2 3 5" xfId="48695"/>
    <cellStyle name="百分比 4 3 2 4" xfId="48696"/>
    <cellStyle name="百分比 4 3 2 4 2" xfId="48697"/>
    <cellStyle name="百分比 4 3 2 4 2 2" xfId="48698"/>
    <cellStyle name="百分比 4 3 2 4 2 3" xfId="48699"/>
    <cellStyle name="百分比 4 3 2 4 2 4" xfId="48700"/>
    <cellStyle name="百分比 4 3 2 4 3" xfId="48701"/>
    <cellStyle name="百分比 4 3 2 4 4" xfId="48702"/>
    <cellStyle name="百分比 4 3 2 4 5" xfId="48703"/>
    <cellStyle name="百分比 4 3 2 5" xfId="48704"/>
    <cellStyle name="百分比 4 3 2 5 2" xfId="48705"/>
    <cellStyle name="百分比 4 3 2 5 3" xfId="48706"/>
    <cellStyle name="百分比 4 3 2 5 4" xfId="48707"/>
    <cellStyle name="百分比 4 3 2 6" xfId="48708"/>
    <cellStyle name="百分比 4 3 2 7" xfId="48709"/>
    <cellStyle name="百分比 4 3 2 8" xfId="48710"/>
    <cellStyle name="百分比 4 3 3" xfId="48711"/>
    <cellStyle name="百分比 4 3 3 2" xfId="48712"/>
    <cellStyle name="百分比 4 3 3 2 2" xfId="48713"/>
    <cellStyle name="百分比 4 3 3 2 3" xfId="48714"/>
    <cellStyle name="百分比 4 3 3 2 4" xfId="48715"/>
    <cellStyle name="百分比 4 3 3 3" xfId="48716"/>
    <cellStyle name="百分比 4 3 3 4" xfId="48717"/>
    <cellStyle name="百分比 4 3 3 5" xfId="48718"/>
    <cellStyle name="百分比 4 3 4" xfId="48719"/>
    <cellStyle name="百分比 4 3 4 2" xfId="48720"/>
    <cellStyle name="百分比 4 3 4 2 2" xfId="48721"/>
    <cellStyle name="百分比 4 3 4 2 3" xfId="48722"/>
    <cellStyle name="百分比 4 3 4 2 4" xfId="48723"/>
    <cellStyle name="百分比 4 3 4 3" xfId="48724"/>
    <cellStyle name="百分比 4 3 4 4" xfId="48725"/>
    <cellStyle name="百分比 4 3 4 5" xfId="48726"/>
    <cellStyle name="百分比 4 3 5" xfId="48727"/>
    <cellStyle name="百分比 4 3 5 2" xfId="48728"/>
    <cellStyle name="百分比 4 3 5 3" xfId="48729"/>
    <cellStyle name="百分比 4 3 5 4" xfId="48730"/>
    <cellStyle name="百分比 4 3 6" xfId="48731"/>
    <cellStyle name="百分比 4 3 7" xfId="48732"/>
    <cellStyle name="百分比 4 3 8" xfId="48733"/>
    <cellStyle name="百分比 4 4" xfId="48734"/>
    <cellStyle name="百分比 4 4 2" xfId="48735"/>
    <cellStyle name="百分比 4 4 2 2" xfId="48736"/>
    <cellStyle name="百分比 4 4 2 2 2" xfId="48737"/>
    <cellStyle name="百分比 4 4 2 2 2 2" xfId="48738"/>
    <cellStyle name="百分比 4 4 2 2 2 2 2" xfId="48739"/>
    <cellStyle name="百分比 4 4 2 2 2 2 3" xfId="48740"/>
    <cellStyle name="百分比 4 4 2 2 2 2 4" xfId="48741"/>
    <cellStyle name="百分比 4 4 2 2 2 3" xfId="48742"/>
    <cellStyle name="百分比 4 4 2 2 2 4" xfId="48743"/>
    <cellStyle name="百分比 4 4 2 2 2 5" xfId="48744"/>
    <cellStyle name="百分比 4 4 2 2 3" xfId="48745"/>
    <cellStyle name="百分比 4 4 2 2 3 2" xfId="48746"/>
    <cellStyle name="百分比 4 4 2 2 3 2 2" xfId="48747"/>
    <cellStyle name="百分比 4 4 2 2 3 2 3" xfId="48748"/>
    <cellStyle name="百分比 4 4 2 2 3 2 4" xfId="48749"/>
    <cellStyle name="百分比 4 4 2 2 3 3" xfId="48750"/>
    <cellStyle name="百分比 4 4 2 2 3 4" xfId="48751"/>
    <cellStyle name="百分比 4 4 2 2 3 5" xfId="48752"/>
    <cellStyle name="百分比 4 4 2 2 4" xfId="48753"/>
    <cellStyle name="百分比 4 4 2 2 4 2" xfId="48754"/>
    <cellStyle name="百分比 4 4 2 2 4 3" xfId="48755"/>
    <cellStyle name="百分比 4 4 2 2 4 4" xfId="48756"/>
    <cellStyle name="百分比 4 4 2 2 5" xfId="48757"/>
    <cellStyle name="百分比 4 4 2 2 6" xfId="48758"/>
    <cellStyle name="百分比 4 4 2 2 7" xfId="48759"/>
    <cellStyle name="百分比 4 4 2 3" xfId="48760"/>
    <cellStyle name="百分比 4 4 2 3 2" xfId="48761"/>
    <cellStyle name="百分比 4 4 2 3 2 2" xfId="48762"/>
    <cellStyle name="百分比 4 4 2 3 2 3" xfId="48763"/>
    <cellStyle name="百分比 4 4 2 3 2 4" xfId="48764"/>
    <cellStyle name="百分比 4 4 2 3 3" xfId="48765"/>
    <cellStyle name="百分比 4 4 2 3 4" xfId="48766"/>
    <cellStyle name="百分比 4 4 2 3 5" xfId="48767"/>
    <cellStyle name="百分比 4 4 2 4" xfId="48768"/>
    <cellStyle name="百分比 4 4 2 4 2" xfId="48769"/>
    <cellStyle name="百分比 4 4 2 4 2 2" xfId="48770"/>
    <cellStyle name="百分比 4 4 2 4 2 3" xfId="48771"/>
    <cellStyle name="百分比 4 4 2 4 2 4" xfId="48772"/>
    <cellStyle name="百分比 4 4 2 4 3" xfId="48773"/>
    <cellStyle name="百分比 4 4 2 4 4" xfId="48774"/>
    <cellStyle name="百分比 4 4 2 4 5" xfId="48775"/>
    <cellStyle name="百分比 4 4 2 5" xfId="48776"/>
    <cellStyle name="百分比 4 4 2 5 2" xfId="48777"/>
    <cellStyle name="百分比 4 4 2 5 3" xfId="48778"/>
    <cellStyle name="百分比 4 4 2 5 4" xfId="48779"/>
    <cellStyle name="百分比 4 4 2 6" xfId="48780"/>
    <cellStyle name="百分比 4 4 2 7" xfId="48781"/>
    <cellStyle name="百分比 4 4 2 8" xfId="48782"/>
    <cellStyle name="百分比 4 4 3" xfId="48783"/>
    <cellStyle name="百分比 4 4 3 2" xfId="48784"/>
    <cellStyle name="百分比 4 4 3 2 2" xfId="48785"/>
    <cellStyle name="百分比 4 4 3 2 3" xfId="48786"/>
    <cellStyle name="百分比 4 4 3 2 4" xfId="48787"/>
    <cellStyle name="百分比 4 4 3 3" xfId="48788"/>
    <cellStyle name="百分比 4 4 3 4" xfId="48789"/>
    <cellStyle name="百分比 4 4 3 5" xfId="48790"/>
    <cellStyle name="百分比 4 4 4" xfId="48791"/>
    <cellStyle name="百分比 4 4 4 2" xfId="48792"/>
    <cellStyle name="百分比 4 4 4 2 2" xfId="48793"/>
    <cellStyle name="百分比 4 4 4 2 3" xfId="48794"/>
    <cellStyle name="百分比 4 4 4 2 4" xfId="48795"/>
    <cellStyle name="百分比 4 4 4 3" xfId="48796"/>
    <cellStyle name="百分比 4 4 4 4" xfId="48797"/>
    <cellStyle name="百分比 4 4 4 5" xfId="48798"/>
    <cellStyle name="百分比 4 4 5" xfId="48799"/>
    <cellStyle name="百分比 4 4 5 2" xfId="48800"/>
    <cellStyle name="百分比 4 4 5 3" xfId="48801"/>
    <cellStyle name="百分比 4 4 5 4" xfId="48802"/>
    <cellStyle name="百分比 4 4 6" xfId="48803"/>
    <cellStyle name="百分比 4 4 7" xfId="48804"/>
    <cellStyle name="百分比 4 4 8" xfId="48805"/>
    <cellStyle name="百分比 4 5" xfId="48806"/>
    <cellStyle name="百分比 4 5 2" xfId="48807"/>
    <cellStyle name="百分比 4 5 2 2" xfId="48808"/>
    <cellStyle name="百分比 4 5 2 2 2" xfId="48809"/>
    <cellStyle name="百分比 4 5 2 2 2 2" xfId="48810"/>
    <cellStyle name="百分比 4 5 2 2 2 2 2" xfId="48811"/>
    <cellStyle name="百分比 4 5 2 2 2 2 3" xfId="48812"/>
    <cellStyle name="百分比 4 5 2 2 2 2 4" xfId="48813"/>
    <cellStyle name="百分比 4 5 2 2 2 3" xfId="48814"/>
    <cellStyle name="百分比 4 5 2 2 2 4" xfId="48815"/>
    <cellStyle name="百分比 4 5 2 2 2 5" xfId="48816"/>
    <cellStyle name="百分比 4 5 2 2 3" xfId="48817"/>
    <cellStyle name="百分比 4 5 2 2 3 2" xfId="48818"/>
    <cellStyle name="百分比 4 5 2 2 3 2 2" xfId="48819"/>
    <cellStyle name="百分比 4 5 2 2 3 2 3" xfId="48820"/>
    <cellStyle name="百分比 4 5 2 2 3 2 4" xfId="48821"/>
    <cellStyle name="百分比 4 5 2 2 3 3" xfId="48822"/>
    <cellStyle name="百分比 4 5 2 2 3 4" xfId="48823"/>
    <cellStyle name="百分比 4 5 2 2 3 5" xfId="48824"/>
    <cellStyle name="百分比 4 5 2 2 4" xfId="48825"/>
    <cellStyle name="百分比 4 5 2 2 4 2" xfId="48826"/>
    <cellStyle name="百分比 4 5 2 2 4 3" xfId="48827"/>
    <cellStyle name="百分比 4 5 2 2 4 4" xfId="48828"/>
    <cellStyle name="百分比 4 5 2 2 5" xfId="48829"/>
    <cellStyle name="百分比 4 5 2 2 6" xfId="48830"/>
    <cellStyle name="百分比 4 5 2 2 7" xfId="48831"/>
    <cellStyle name="百分比 4 5 2 3" xfId="48832"/>
    <cellStyle name="百分比 4 5 2 3 2" xfId="48833"/>
    <cellStyle name="百分比 4 5 2 3 2 2" xfId="48834"/>
    <cellStyle name="百分比 4 5 2 3 2 3" xfId="48835"/>
    <cellStyle name="百分比 4 5 2 3 2 4" xfId="48836"/>
    <cellStyle name="百分比 4 5 2 3 3" xfId="48837"/>
    <cellStyle name="百分比 4 5 2 3 4" xfId="48838"/>
    <cellStyle name="百分比 4 5 2 3 5" xfId="48839"/>
    <cellStyle name="百分比 4 5 2 4" xfId="48840"/>
    <cellStyle name="百分比 4 5 2 4 2" xfId="48841"/>
    <cellStyle name="百分比 4 5 2 4 2 2" xfId="48842"/>
    <cellStyle name="百分比 4 5 2 4 2 3" xfId="48843"/>
    <cellStyle name="百分比 4 5 2 4 2 4" xfId="48844"/>
    <cellStyle name="百分比 4 5 2 4 3" xfId="48845"/>
    <cellStyle name="百分比 4 5 2 4 4" xfId="48846"/>
    <cellStyle name="百分比 4 5 2 4 5" xfId="48847"/>
    <cellStyle name="百分比 4 5 2 5" xfId="48848"/>
    <cellStyle name="百分比 4 5 2 5 2" xfId="48849"/>
    <cellStyle name="百分比 4 5 2 5 3" xfId="48850"/>
    <cellStyle name="百分比 4 5 2 5 4" xfId="48851"/>
    <cellStyle name="百分比 4 5 2 6" xfId="48852"/>
    <cellStyle name="百分比 4 5 2 7" xfId="48853"/>
    <cellStyle name="百分比 4 5 2 8" xfId="48854"/>
    <cellStyle name="百分比 4 5 3" xfId="48855"/>
    <cellStyle name="百分比 4 5 3 2" xfId="48856"/>
    <cellStyle name="百分比 4 5 3 2 2" xfId="48857"/>
    <cellStyle name="百分比 4 5 3 2 3" xfId="48858"/>
    <cellStyle name="百分比 4 5 3 2 4" xfId="48859"/>
    <cellStyle name="百分比 4 5 3 3" xfId="48860"/>
    <cellStyle name="百分比 4 5 3 4" xfId="48861"/>
    <cellStyle name="百分比 4 5 3 5" xfId="48862"/>
    <cellStyle name="百分比 4 5 4" xfId="48863"/>
    <cellStyle name="百分比 4 5 4 2" xfId="48864"/>
    <cellStyle name="百分比 4 5 4 2 2" xfId="48865"/>
    <cellStyle name="百分比 4 5 4 2 3" xfId="48866"/>
    <cellStyle name="百分比 4 5 4 2 4" xfId="48867"/>
    <cellStyle name="百分比 4 5 4 3" xfId="48868"/>
    <cellStyle name="百分比 4 5 4 4" xfId="48869"/>
    <cellStyle name="百分比 4 5 4 5" xfId="48870"/>
    <cellStyle name="百分比 4 5 5" xfId="48871"/>
    <cellStyle name="百分比 4 5 5 2" xfId="48872"/>
    <cellStyle name="百分比 4 5 5 3" xfId="48873"/>
    <cellStyle name="百分比 4 5 5 4" xfId="48874"/>
    <cellStyle name="百分比 4 5 6" xfId="48875"/>
    <cellStyle name="百分比 4 5 7" xfId="48876"/>
    <cellStyle name="百分比 4 5 8" xfId="48877"/>
    <cellStyle name="百分比 4 6" xfId="48878"/>
    <cellStyle name="百分比 4 6 2" xfId="48879"/>
    <cellStyle name="百分比 4 6 2 2" xfId="48880"/>
    <cellStyle name="百分比 4 6 2 2 2" xfId="48881"/>
    <cellStyle name="百分比 4 6 2 2 2 2" xfId="48882"/>
    <cellStyle name="百分比 4 6 2 2 2 2 2" xfId="48883"/>
    <cellStyle name="百分比 4 6 2 2 2 2 3" xfId="48884"/>
    <cellStyle name="百分比 4 6 2 2 2 2 4" xfId="48885"/>
    <cellStyle name="百分比 4 6 2 2 2 3" xfId="48886"/>
    <cellStyle name="百分比 4 6 2 2 2 4" xfId="48887"/>
    <cellStyle name="百分比 4 6 2 2 2 5" xfId="48888"/>
    <cellStyle name="百分比 4 6 2 2 3" xfId="48889"/>
    <cellStyle name="百分比 4 6 2 2 3 2" xfId="48890"/>
    <cellStyle name="百分比 4 6 2 2 3 2 2" xfId="48891"/>
    <cellStyle name="百分比 4 6 2 2 3 2 3" xfId="48892"/>
    <cellStyle name="百分比 4 6 2 2 3 2 4" xfId="48893"/>
    <cellStyle name="百分比 4 6 2 2 3 3" xfId="48894"/>
    <cellStyle name="百分比 4 6 2 2 3 4" xfId="48895"/>
    <cellStyle name="百分比 4 6 2 2 3 5" xfId="48896"/>
    <cellStyle name="百分比 4 6 2 2 4" xfId="48897"/>
    <cellStyle name="百分比 4 6 2 2 4 2" xfId="48898"/>
    <cellStyle name="百分比 4 6 2 2 4 3" xfId="48899"/>
    <cellStyle name="百分比 4 6 2 2 4 4" xfId="48900"/>
    <cellStyle name="百分比 4 6 2 2 5" xfId="48901"/>
    <cellStyle name="百分比 4 6 2 2 6" xfId="48902"/>
    <cellStyle name="百分比 4 6 2 2 7" xfId="48903"/>
    <cellStyle name="百分比 4 6 2 3" xfId="48904"/>
    <cellStyle name="百分比 4 6 2 3 2" xfId="48905"/>
    <cellStyle name="百分比 4 6 2 3 2 2" xfId="48906"/>
    <cellStyle name="百分比 4 6 2 3 2 3" xfId="48907"/>
    <cellStyle name="百分比 4 6 2 3 2 4" xfId="48908"/>
    <cellStyle name="百分比 4 6 2 3 3" xfId="48909"/>
    <cellStyle name="百分比 4 6 2 3 4" xfId="48910"/>
    <cellStyle name="百分比 4 6 2 3 5" xfId="48911"/>
    <cellStyle name="百分比 4 6 2 4" xfId="48912"/>
    <cellStyle name="百分比 4 6 2 4 2" xfId="48913"/>
    <cellStyle name="百分比 4 6 2 4 2 2" xfId="48914"/>
    <cellStyle name="百分比 4 6 2 4 2 3" xfId="48915"/>
    <cellStyle name="百分比 4 6 2 4 2 4" xfId="48916"/>
    <cellStyle name="百分比 4 6 2 4 3" xfId="48917"/>
    <cellStyle name="百分比 4 6 2 4 4" xfId="48918"/>
    <cellStyle name="百分比 4 6 2 4 5" xfId="48919"/>
    <cellStyle name="百分比 4 6 2 5" xfId="48920"/>
    <cellStyle name="百分比 4 6 2 5 2" xfId="48921"/>
    <cellStyle name="百分比 4 6 2 5 3" xfId="48922"/>
    <cellStyle name="百分比 4 6 2 5 4" xfId="48923"/>
    <cellStyle name="百分比 4 6 2 6" xfId="48924"/>
    <cellStyle name="百分比 4 6 2 7" xfId="48925"/>
    <cellStyle name="百分比 4 6 2 8" xfId="48926"/>
    <cellStyle name="百分比 4 6 3" xfId="48927"/>
    <cellStyle name="百分比 4 6 3 2" xfId="48928"/>
    <cellStyle name="百分比 4 6 3 2 2" xfId="48929"/>
    <cellStyle name="百分比 4 6 3 2 3" xfId="48930"/>
    <cellStyle name="百分比 4 6 3 2 4" xfId="48931"/>
    <cellStyle name="百分比 4 6 3 3" xfId="48932"/>
    <cellStyle name="百分比 4 6 3 4" xfId="48933"/>
    <cellStyle name="百分比 4 6 3 5" xfId="48934"/>
    <cellStyle name="百分比 4 6 4" xfId="48935"/>
    <cellStyle name="百分比 4 6 4 2" xfId="48936"/>
    <cellStyle name="百分比 4 6 4 2 2" xfId="48937"/>
    <cellStyle name="百分比 4 6 4 2 3" xfId="48938"/>
    <cellStyle name="百分比 4 6 4 2 4" xfId="48939"/>
    <cellStyle name="百分比 4 6 4 3" xfId="48940"/>
    <cellStyle name="百分比 4 6 4 4" xfId="48941"/>
    <cellStyle name="百分比 4 6 4 5" xfId="48942"/>
    <cellStyle name="百分比 4 6 5" xfId="48943"/>
    <cellStyle name="百分比 4 6 5 2" xfId="48944"/>
    <cellStyle name="百分比 4 6 5 3" xfId="48945"/>
    <cellStyle name="百分比 4 6 5 4" xfId="48946"/>
    <cellStyle name="百分比 4 6 6" xfId="48947"/>
    <cellStyle name="百分比 4 6 7" xfId="48948"/>
    <cellStyle name="百分比 4 6 8" xfId="48949"/>
    <cellStyle name="百分比 4 7" xfId="48950"/>
    <cellStyle name="百分比 4 7 2" xfId="48951"/>
    <cellStyle name="百分比 4 7 2 2" xfId="48952"/>
    <cellStyle name="百分比 4 7 2 2 2" xfId="48953"/>
    <cellStyle name="百分比 4 7 2 2 2 2" xfId="48954"/>
    <cellStyle name="百分比 4 7 2 2 2 3" xfId="48955"/>
    <cellStyle name="百分比 4 7 2 2 2 4" xfId="48956"/>
    <cellStyle name="百分比 4 7 2 2 3" xfId="48957"/>
    <cellStyle name="百分比 4 7 2 2 4" xfId="48958"/>
    <cellStyle name="百分比 4 7 2 2 5" xfId="48959"/>
    <cellStyle name="百分比 4 7 2 3" xfId="48960"/>
    <cellStyle name="百分比 4 7 2 3 2" xfId="48961"/>
    <cellStyle name="百分比 4 7 2 3 2 2" xfId="48962"/>
    <cellStyle name="百分比 4 7 2 3 2 3" xfId="48963"/>
    <cellStyle name="百分比 4 7 2 3 2 4" xfId="48964"/>
    <cellStyle name="百分比 4 7 2 3 3" xfId="48965"/>
    <cellStyle name="百分比 4 7 2 3 4" xfId="48966"/>
    <cellStyle name="百分比 4 7 2 3 5" xfId="48967"/>
    <cellStyle name="百分比 4 7 2 4" xfId="48968"/>
    <cellStyle name="百分比 4 7 2 4 2" xfId="48969"/>
    <cellStyle name="百分比 4 7 2 4 3" xfId="48970"/>
    <cellStyle name="百分比 4 7 2 4 4" xfId="48971"/>
    <cellStyle name="百分比 4 7 2 5" xfId="48972"/>
    <cellStyle name="百分比 4 7 2 6" xfId="48973"/>
    <cellStyle name="百分比 4 7 2 7" xfId="48974"/>
    <cellStyle name="百分比 4 7 3" xfId="48975"/>
    <cellStyle name="百分比 4 7 3 2" xfId="48976"/>
    <cellStyle name="百分比 4 7 3 2 2" xfId="48977"/>
    <cellStyle name="百分比 4 7 3 2 3" xfId="48978"/>
    <cellStyle name="百分比 4 7 3 2 4" xfId="48979"/>
    <cellStyle name="百分比 4 7 3 3" xfId="48980"/>
    <cellStyle name="百分比 4 7 3 4" xfId="48981"/>
    <cellStyle name="百分比 4 7 3 5" xfId="48982"/>
    <cellStyle name="百分比 4 7 4" xfId="48983"/>
    <cellStyle name="百分比 4 7 4 2" xfId="48984"/>
    <cellStyle name="百分比 4 7 4 2 2" xfId="48985"/>
    <cellStyle name="百分比 4 7 4 2 3" xfId="48986"/>
    <cellStyle name="百分比 4 7 4 2 4" xfId="48987"/>
    <cellStyle name="百分比 4 7 4 3" xfId="48988"/>
    <cellStyle name="百分比 4 7 4 4" xfId="48989"/>
    <cellStyle name="百分比 4 7 4 5" xfId="48990"/>
    <cellStyle name="百分比 4 7 5" xfId="48991"/>
    <cellStyle name="百分比 4 7 5 2" xfId="48992"/>
    <cellStyle name="百分比 4 7 5 3" xfId="48993"/>
    <cellStyle name="百分比 4 7 5 4" xfId="48994"/>
    <cellStyle name="百分比 4 7 6" xfId="48995"/>
    <cellStyle name="百分比 4 7 7" xfId="48996"/>
    <cellStyle name="百分比 4 7 8" xfId="48997"/>
    <cellStyle name="百分比 4 8" xfId="48998"/>
    <cellStyle name="百分比 4 8 2" xfId="48999"/>
    <cellStyle name="百分比 4 8 2 2" xfId="49000"/>
    <cellStyle name="百分比 4 8 2 3" xfId="49001"/>
    <cellStyle name="百分比 4 8 2 4" xfId="49002"/>
    <cellStyle name="百分比 4 8 3" xfId="49003"/>
    <cellStyle name="百分比 4 8 4" xfId="49004"/>
    <cellStyle name="百分比 4 8 5" xfId="49005"/>
    <cellStyle name="百分比 4 9" xfId="49006"/>
    <cellStyle name="百分比 4 9 2" xfId="49007"/>
    <cellStyle name="百分比 4 9 2 2" xfId="49008"/>
    <cellStyle name="百分比 4 9 2 3" xfId="49009"/>
    <cellStyle name="百分比 4 9 2 4" xfId="49010"/>
    <cellStyle name="百分比 4 9 3" xfId="49011"/>
    <cellStyle name="百分比 4 9 4" xfId="49012"/>
    <cellStyle name="百分比 4 9 5" xfId="49013"/>
    <cellStyle name="百分比 5" xfId="49014"/>
    <cellStyle name="百分比 5 2" xfId="49015"/>
    <cellStyle name="百分比 5 2 2" xfId="49016"/>
    <cellStyle name="百分比 5 2 3" xfId="49017"/>
    <cellStyle name="百分比 5 2 4" xfId="49018"/>
    <cellStyle name="百分比 5 3" xfId="49019"/>
    <cellStyle name="百分比 5 4" xfId="49020"/>
    <cellStyle name="百分比 5 5" xfId="49021"/>
    <cellStyle name="百分比 6" xfId="49022"/>
    <cellStyle name="百分比 6 2" xfId="49023"/>
    <cellStyle name="百分比 6 3" xfId="49024"/>
    <cellStyle name="解释性文本 2" xfId="49025"/>
    <cellStyle name="解释性文本 2 10" xfId="49026"/>
    <cellStyle name="解释性文本 2 11" xfId="49027"/>
    <cellStyle name="解释性文本 2 2" xfId="49028"/>
    <cellStyle name="解释性文本 2 2 10" xfId="49029"/>
    <cellStyle name="解释性文本 2 2 11" xfId="49030"/>
    <cellStyle name="解释性文本 2 2 2" xfId="49031"/>
    <cellStyle name="解释性文本 2 2 2 2" xfId="49032"/>
    <cellStyle name="解释性文本 2 2 2 2 2" xfId="49033"/>
    <cellStyle name="解释性文本 2 2 2 2 2 2" xfId="49034"/>
    <cellStyle name="解释性文本 2 2 2 2 2 3" xfId="49035"/>
    <cellStyle name="解释性文本 2 2 2 2 2 3 2" xfId="49036"/>
    <cellStyle name="解释性文本 2 2 2 2 2 3 2 2" xfId="49037"/>
    <cellStyle name="解释性文本 2 2 2 2 2 4" xfId="49038"/>
    <cellStyle name="解释性文本 2 2 2 2 2 4 2" xfId="49039"/>
    <cellStyle name="解释性文本 2 2 2 2 3" xfId="49040"/>
    <cellStyle name="解释性文本 2 2 2 2 3 2" xfId="49041"/>
    <cellStyle name="解释性文本 2 2 2 2 3 2 2" xfId="49042"/>
    <cellStyle name="解释性文本 2 2 2 2 3 2 2 2" xfId="49043"/>
    <cellStyle name="解释性文本 2 2 2 2 3 3" xfId="49044"/>
    <cellStyle name="解释性文本 2 2 2 2 3 3 2" xfId="49045"/>
    <cellStyle name="解释性文本 2 2 2 2 4" xfId="49046"/>
    <cellStyle name="解释性文本 2 2 2 2 5" xfId="49047"/>
    <cellStyle name="解释性文本 2 2 2 2 6" xfId="49048"/>
    <cellStyle name="解释性文本 2 2 2 3" xfId="49049"/>
    <cellStyle name="解释性文本 2 2 2 3 2" xfId="49050"/>
    <cellStyle name="解释性文本 2 2 2 3 3" xfId="49051"/>
    <cellStyle name="解释性文本 2 2 2 3 3 2" xfId="49052"/>
    <cellStyle name="解释性文本 2 2 2 3 3 2 2" xfId="49053"/>
    <cellStyle name="解释性文本 2 2 2 3 4" xfId="49054"/>
    <cellStyle name="解释性文本 2 2 2 3 4 2" xfId="49055"/>
    <cellStyle name="解释性文本 2 2 2 4" xfId="49056"/>
    <cellStyle name="解释性文本 2 2 2 4 2" xfId="49057"/>
    <cellStyle name="解释性文本 2 2 2 4 2 2" xfId="49058"/>
    <cellStyle name="解释性文本 2 2 2 4 2 2 2" xfId="49059"/>
    <cellStyle name="解释性文本 2 2 2 4 3" xfId="49060"/>
    <cellStyle name="解释性文本 2 2 2 4 3 2" xfId="49061"/>
    <cellStyle name="解释性文本 2 2 2 5" xfId="49062"/>
    <cellStyle name="解释性文本 2 2 2 6" xfId="49063"/>
    <cellStyle name="解释性文本 2 2 2 7" xfId="49064"/>
    <cellStyle name="解释性文本 2 2 3" xfId="49065"/>
    <cellStyle name="解释性文本 2 2 3 2" xfId="49066"/>
    <cellStyle name="解释性文本 2 2 3 2 2" xfId="49067"/>
    <cellStyle name="解释性文本 2 2 3 2 3" xfId="49068"/>
    <cellStyle name="解释性文本 2 2 3 2 3 2" xfId="49069"/>
    <cellStyle name="解释性文本 2 2 3 2 3 2 2" xfId="49070"/>
    <cellStyle name="解释性文本 2 2 3 2 4" xfId="49071"/>
    <cellStyle name="解释性文本 2 2 3 2 4 2" xfId="49072"/>
    <cellStyle name="解释性文本 2 2 3 3" xfId="49073"/>
    <cellStyle name="解释性文本 2 2 3 3 2" xfId="49074"/>
    <cellStyle name="解释性文本 2 2 3 3 2 2" xfId="49075"/>
    <cellStyle name="解释性文本 2 2 3 3 2 2 2" xfId="49076"/>
    <cellStyle name="解释性文本 2 2 3 3 3" xfId="49077"/>
    <cellStyle name="解释性文本 2 2 3 3 3 2" xfId="49078"/>
    <cellStyle name="解释性文本 2 2 3 4" xfId="49079"/>
    <cellStyle name="解释性文本 2 2 3 5" xfId="49080"/>
    <cellStyle name="解释性文本 2 2 3 6" xfId="49081"/>
    <cellStyle name="解释性文本 2 2 4" xfId="49082"/>
    <cellStyle name="解释性文本 2 2 4 2" xfId="49083"/>
    <cellStyle name="解释性文本 2 2 4 2 2" xfId="49084"/>
    <cellStyle name="解释性文本 2 2 4 2 3" xfId="49085"/>
    <cellStyle name="解释性文本 2 2 4 2 3 2" xfId="49086"/>
    <cellStyle name="解释性文本 2 2 4 2 3 2 2" xfId="49087"/>
    <cellStyle name="解释性文本 2 2 4 2 4" xfId="49088"/>
    <cellStyle name="解释性文本 2 2 4 2 4 2" xfId="49089"/>
    <cellStyle name="解释性文本 2 2 4 3" xfId="49090"/>
    <cellStyle name="解释性文本 2 2 4 4" xfId="49091"/>
    <cellStyle name="解释性文本 2 2 4 5" xfId="49092"/>
    <cellStyle name="解释性文本 2 2 4 6" xfId="49093"/>
    <cellStyle name="解释性文本 2 2 5" xfId="49094"/>
    <cellStyle name="解释性文本 2 2 5 2" xfId="49095"/>
    <cellStyle name="解释性文本 2 2 5 2 2" xfId="49096"/>
    <cellStyle name="解释性文本 2 2 5 2 2 2" xfId="49097"/>
    <cellStyle name="解释性文本 2 2 5 2 2 2 2" xfId="49098"/>
    <cellStyle name="解释性文本 2 2 5 2 3" xfId="49099"/>
    <cellStyle name="解释性文本 2 2 5 2 3 2" xfId="49100"/>
    <cellStyle name="解释性文本 2 2 5 3" xfId="49101"/>
    <cellStyle name="解释性文本 2 2 5 3 2" xfId="49102"/>
    <cellStyle name="解释性文本 2 2 5 3 2 2" xfId="49103"/>
    <cellStyle name="解释性文本 2 2 5 4" xfId="49104"/>
    <cellStyle name="解释性文本 2 2 5 4 2" xfId="49105"/>
    <cellStyle name="解释性文本 2 2 6" xfId="49106"/>
    <cellStyle name="解释性文本 2 2 6 2" xfId="49107"/>
    <cellStyle name="解释性文本 2 2 6 2 2" xfId="49108"/>
    <cellStyle name="解释性文本 2 2 6 2 2 2" xfId="49109"/>
    <cellStyle name="解释性文本 2 2 6 2 2 2 2" xfId="49110"/>
    <cellStyle name="解释性文本 2 2 6 2 3" xfId="49111"/>
    <cellStyle name="解释性文本 2 2 6 2 3 2" xfId="49112"/>
    <cellStyle name="解释性文本 2 2 6 3" xfId="49113"/>
    <cellStyle name="解释性文本 2 2 6 3 2" xfId="49114"/>
    <cellStyle name="解释性文本 2 2 6 3 2 2" xfId="49115"/>
    <cellStyle name="解释性文本 2 2 6 4" xfId="49116"/>
    <cellStyle name="解释性文本 2 2 6 4 2" xfId="49117"/>
    <cellStyle name="解释性文本 2 2 7" xfId="49118"/>
    <cellStyle name="解释性文本 2 2 7 2" xfId="49119"/>
    <cellStyle name="解释性文本 2 2 7 2 2" xfId="49120"/>
    <cellStyle name="解释性文本 2 2 7 2 2 2" xfId="49121"/>
    <cellStyle name="解释性文本 2 2 7 2 2 2 2" xfId="49122"/>
    <cellStyle name="解释性文本 2 2 7 2 3" xfId="49123"/>
    <cellStyle name="解释性文本 2 2 7 2 3 2" xfId="49124"/>
    <cellStyle name="解释性文本 2 2 7 3" xfId="49125"/>
    <cellStyle name="解释性文本 2 2 7 3 2" xfId="49126"/>
    <cellStyle name="解释性文本 2 2 7 3 2 2" xfId="49127"/>
    <cellStyle name="解释性文本 2 2 7 4" xfId="49128"/>
    <cellStyle name="解释性文本 2 2 7 4 2" xfId="49129"/>
    <cellStyle name="解释性文本 2 2 8" xfId="49130"/>
    <cellStyle name="解释性文本 2 2 8 2" xfId="49131"/>
    <cellStyle name="解释性文本 2 2 8 2 2" xfId="49132"/>
    <cellStyle name="解释性文本 2 2 8 2 2 2" xfId="49133"/>
    <cellStyle name="解释性文本 2 2 8 3" xfId="49134"/>
    <cellStyle name="解释性文本 2 2 8 3 2" xfId="49135"/>
    <cellStyle name="解释性文本 2 2 9" xfId="49136"/>
    <cellStyle name="解释性文本 2 2 9 2" xfId="49137"/>
    <cellStyle name="解释性文本 2 2 9 2 2" xfId="49138"/>
    <cellStyle name="解释性文本 2 2 9 2 2 2" xfId="49139"/>
    <cellStyle name="解释性文本 2 2 9 3" xfId="49140"/>
    <cellStyle name="解释性文本 2 2 9 3 2" xfId="49141"/>
    <cellStyle name="解释性文本 2 3" xfId="49142"/>
    <cellStyle name="解释性文本 2 3 2" xfId="49143"/>
    <cellStyle name="解释性文本 2 3 2 2" xfId="49144"/>
    <cellStyle name="解释性文本 2 3 2 2 2" xfId="49145"/>
    <cellStyle name="解释性文本 2 3 2 2 2 2" xfId="49146"/>
    <cellStyle name="解释性文本 2 3 2 2 2 3" xfId="49147"/>
    <cellStyle name="解释性文本 2 3 2 2 2 3 2" xfId="49148"/>
    <cellStyle name="解释性文本 2 3 2 2 2 3 2 2" xfId="49149"/>
    <cellStyle name="解释性文本 2 3 2 2 2 4" xfId="49150"/>
    <cellStyle name="解释性文本 2 3 2 2 2 4 2" xfId="49151"/>
    <cellStyle name="解释性文本 2 3 2 2 3" xfId="49152"/>
    <cellStyle name="解释性文本 2 3 2 2 3 2" xfId="49153"/>
    <cellStyle name="解释性文本 2 3 2 2 3 2 2" xfId="49154"/>
    <cellStyle name="解释性文本 2 3 2 2 3 2 2 2" xfId="49155"/>
    <cellStyle name="解释性文本 2 3 2 2 3 3" xfId="49156"/>
    <cellStyle name="解释性文本 2 3 2 2 3 3 2" xfId="49157"/>
    <cellStyle name="解释性文本 2 3 2 2 4" xfId="49158"/>
    <cellStyle name="解释性文本 2 3 2 2 5" xfId="49159"/>
    <cellStyle name="解释性文本 2 3 2 2 6" xfId="49160"/>
    <cellStyle name="解释性文本 2 3 2 3" xfId="49161"/>
    <cellStyle name="解释性文本 2 3 2 3 2" xfId="49162"/>
    <cellStyle name="解释性文本 2 3 2 3 3" xfId="49163"/>
    <cellStyle name="解释性文本 2 3 2 3 3 2" xfId="49164"/>
    <cellStyle name="解释性文本 2 3 2 3 3 2 2" xfId="49165"/>
    <cellStyle name="解释性文本 2 3 2 3 4" xfId="49166"/>
    <cellStyle name="解释性文本 2 3 2 3 4 2" xfId="49167"/>
    <cellStyle name="解释性文本 2 3 2 4" xfId="49168"/>
    <cellStyle name="解释性文本 2 3 2 4 2" xfId="49169"/>
    <cellStyle name="解释性文本 2 3 2 4 2 2" xfId="49170"/>
    <cellStyle name="解释性文本 2 3 2 4 2 2 2" xfId="49171"/>
    <cellStyle name="解释性文本 2 3 2 4 3" xfId="49172"/>
    <cellStyle name="解释性文本 2 3 2 4 3 2" xfId="49173"/>
    <cellStyle name="解释性文本 2 3 2 5" xfId="49174"/>
    <cellStyle name="解释性文本 2 3 2 6" xfId="49175"/>
    <cellStyle name="解释性文本 2 3 2 7" xfId="49176"/>
    <cellStyle name="解释性文本 2 3 3" xfId="49177"/>
    <cellStyle name="解释性文本 2 3 3 2" xfId="49178"/>
    <cellStyle name="解释性文本 2 3 3 2 2" xfId="49179"/>
    <cellStyle name="解释性文本 2 3 3 2 3" xfId="49180"/>
    <cellStyle name="解释性文本 2 3 3 2 3 2" xfId="49181"/>
    <cellStyle name="解释性文本 2 3 3 2 3 2 2" xfId="49182"/>
    <cellStyle name="解释性文本 2 3 3 2 4" xfId="49183"/>
    <cellStyle name="解释性文本 2 3 3 2 4 2" xfId="49184"/>
    <cellStyle name="解释性文本 2 3 3 3" xfId="49185"/>
    <cellStyle name="解释性文本 2 3 3 3 2" xfId="49186"/>
    <cellStyle name="解释性文本 2 3 3 3 2 2" xfId="49187"/>
    <cellStyle name="解释性文本 2 3 3 3 2 2 2" xfId="49188"/>
    <cellStyle name="解释性文本 2 3 3 3 3" xfId="49189"/>
    <cellStyle name="解释性文本 2 3 3 3 3 2" xfId="49190"/>
    <cellStyle name="解释性文本 2 3 3 4" xfId="49191"/>
    <cellStyle name="解释性文本 2 3 3 5" xfId="49192"/>
    <cellStyle name="解释性文本 2 3 3 6" xfId="49193"/>
    <cellStyle name="解释性文本 2 3 4" xfId="49194"/>
    <cellStyle name="解释性文本 2 3 4 2" xfId="49195"/>
    <cellStyle name="解释性文本 2 3 4 2 2" xfId="49196"/>
    <cellStyle name="解释性文本 2 3 4 2 3" xfId="49197"/>
    <cellStyle name="解释性文本 2 3 4 2 3 2" xfId="49198"/>
    <cellStyle name="解释性文本 2 3 4 2 3 2 2" xfId="49199"/>
    <cellStyle name="解释性文本 2 3 4 2 4" xfId="49200"/>
    <cellStyle name="解释性文本 2 3 4 2 4 2" xfId="49201"/>
    <cellStyle name="解释性文本 2 3 4 3" xfId="49202"/>
    <cellStyle name="解释性文本 2 3 4 4" xfId="49203"/>
    <cellStyle name="解释性文本 2 3 4 5" xfId="49204"/>
    <cellStyle name="解释性文本 2 3 4 6" xfId="49205"/>
    <cellStyle name="解释性文本 2 3 5" xfId="49206"/>
    <cellStyle name="解释性文本 2 3 5 2" xfId="49207"/>
    <cellStyle name="解释性文本 2 3 5 2 2" xfId="49208"/>
    <cellStyle name="解释性文本 2 3 5 2 2 2" xfId="49209"/>
    <cellStyle name="解释性文本 2 3 5 2 2 2 2" xfId="49210"/>
    <cellStyle name="解释性文本 2 3 5 2 3" xfId="49211"/>
    <cellStyle name="解释性文本 2 3 5 2 3 2" xfId="49212"/>
    <cellStyle name="解释性文本 2 3 5 3" xfId="49213"/>
    <cellStyle name="解释性文本 2 3 5 3 2" xfId="49214"/>
    <cellStyle name="解释性文本 2 3 5 3 2 2" xfId="49215"/>
    <cellStyle name="解释性文本 2 3 5 4" xfId="49216"/>
    <cellStyle name="解释性文本 2 3 5 4 2" xfId="49217"/>
    <cellStyle name="解释性文本 2 3 6" xfId="49218"/>
    <cellStyle name="解释性文本 2 3 6 2" xfId="49219"/>
    <cellStyle name="解释性文本 2 3 6 2 2" xfId="49220"/>
    <cellStyle name="解释性文本 2 3 6 2 2 2" xfId="49221"/>
    <cellStyle name="解释性文本 2 3 6 3" xfId="49222"/>
    <cellStyle name="解释性文本 2 3 6 3 2" xfId="49223"/>
    <cellStyle name="解释性文本 2 3 7" xfId="49224"/>
    <cellStyle name="解释性文本 2 3 7 2" xfId="49225"/>
    <cellStyle name="解释性文本 2 3 7 2 2" xfId="49226"/>
    <cellStyle name="解释性文本 2 3 7 2 2 2" xfId="49227"/>
    <cellStyle name="解释性文本 2 3 7 3" xfId="49228"/>
    <cellStyle name="解释性文本 2 3 7 3 2" xfId="49229"/>
    <cellStyle name="解释性文本 2 3 8" xfId="49230"/>
    <cellStyle name="解释性文本 2 3 9" xfId="49231"/>
    <cellStyle name="解释性文本 2 4" xfId="49232"/>
    <cellStyle name="解释性文本 2 4 2" xfId="49233"/>
    <cellStyle name="解释性文本 2 4 2 2" xfId="49234"/>
    <cellStyle name="解释性文本 2 4 2 3" xfId="49235"/>
    <cellStyle name="解释性文本 2 4 2 3 2" xfId="49236"/>
    <cellStyle name="解释性文本 2 4 2 3 2 2" xfId="49237"/>
    <cellStyle name="解释性文本 2 4 2 4" xfId="49238"/>
    <cellStyle name="解释性文本 2 4 2 4 2" xfId="49239"/>
    <cellStyle name="解释性文本 2 4 3" xfId="49240"/>
    <cellStyle name="解释性文本 2 4 3 2" xfId="49241"/>
    <cellStyle name="解释性文本 2 4 3 2 2" xfId="49242"/>
    <cellStyle name="解释性文本 2 4 3 2 2 2" xfId="49243"/>
    <cellStyle name="解释性文本 2 4 3 3" xfId="49244"/>
    <cellStyle name="解释性文本 2 4 3 3 2" xfId="49245"/>
    <cellStyle name="解释性文本 2 4 4" xfId="49246"/>
    <cellStyle name="解释性文本 2 4 5" xfId="49247"/>
    <cellStyle name="解释性文本 2 4 6" xfId="49248"/>
    <cellStyle name="解释性文本 2 5" xfId="49249"/>
    <cellStyle name="解释性文本 2 5 2" xfId="49250"/>
    <cellStyle name="解释性文本 2 5 2 2" xfId="49251"/>
    <cellStyle name="解释性文本 2 5 2 3" xfId="49252"/>
    <cellStyle name="解释性文本 2 5 2 3 2" xfId="49253"/>
    <cellStyle name="解释性文本 2 5 2 3 2 2" xfId="49254"/>
    <cellStyle name="解释性文本 2 5 2 4" xfId="49255"/>
    <cellStyle name="解释性文本 2 5 2 4 2" xfId="49256"/>
    <cellStyle name="解释性文本 2 5 3" xfId="49257"/>
    <cellStyle name="解释性文本 2 5 4" xfId="49258"/>
    <cellStyle name="解释性文本 2 5 5" xfId="49259"/>
    <cellStyle name="解释性文本 2 5 6" xfId="49260"/>
    <cellStyle name="解释性文本 2 6" xfId="49261"/>
    <cellStyle name="解释性文本 2 6 2" xfId="49262"/>
    <cellStyle name="解释性文本 2 6 2 2" xfId="49263"/>
    <cellStyle name="解释性文本 2 6 2 2 2" xfId="49264"/>
    <cellStyle name="解释性文本 2 6 2 2 2 2" xfId="49265"/>
    <cellStyle name="解释性文本 2 6 2 3" xfId="49266"/>
    <cellStyle name="解释性文本 2 6 2 3 2" xfId="49267"/>
    <cellStyle name="解释性文本 2 6 3" xfId="49268"/>
    <cellStyle name="解释性文本 2 6 3 2" xfId="49269"/>
    <cellStyle name="解释性文本 2 6 3 2 2" xfId="49270"/>
    <cellStyle name="解释性文本 2 6 4" xfId="49271"/>
    <cellStyle name="解释性文本 2 6 4 2" xfId="49272"/>
    <cellStyle name="解释性文本 2 7" xfId="49273"/>
    <cellStyle name="解释性文本 2 7 2" xfId="49274"/>
    <cellStyle name="解释性文本 2 7 2 2" xfId="49275"/>
    <cellStyle name="解释性文本 2 7 2 2 2" xfId="49276"/>
    <cellStyle name="解释性文本 2 7 2 2 2 2" xfId="49277"/>
    <cellStyle name="解释性文本 2 7 2 3" xfId="49278"/>
    <cellStyle name="解释性文本 2 7 2 3 2" xfId="49279"/>
    <cellStyle name="解释性文本 2 7 3" xfId="49280"/>
    <cellStyle name="解释性文本 2 7 3 2" xfId="49281"/>
    <cellStyle name="解释性文本 2 7 3 2 2" xfId="49282"/>
    <cellStyle name="解释性文本 2 7 4" xfId="49283"/>
    <cellStyle name="解释性文本 2 7 4 2" xfId="49284"/>
    <cellStyle name="解释性文本 2 8" xfId="49285"/>
    <cellStyle name="解释性文本 2 8 2" xfId="49286"/>
    <cellStyle name="解释性文本 2 8 2 2" xfId="49287"/>
    <cellStyle name="解释性文本 2 8 2 2 2" xfId="49288"/>
    <cellStyle name="解释性文本 2 8 2 2 2 2" xfId="49289"/>
    <cellStyle name="解释性文本 2 8 2 3" xfId="49290"/>
    <cellStyle name="解释性文本 2 8 2 3 2" xfId="49291"/>
    <cellStyle name="解释性文本 2 8 3" xfId="49292"/>
    <cellStyle name="解释性文本 2 8 3 2" xfId="49293"/>
    <cellStyle name="解释性文本 2 8 3 2 2" xfId="49294"/>
    <cellStyle name="解释性文本 2 8 4" xfId="49295"/>
    <cellStyle name="解释性文本 2 8 4 2" xfId="49296"/>
    <cellStyle name="解释性文本 2 9" xfId="49297"/>
    <cellStyle name="解释性文本 2 9 2" xfId="49298"/>
    <cellStyle name="解释性文本 2 9 2 2" xfId="49299"/>
    <cellStyle name="解释性文本 2 9 2 2 2" xfId="49300"/>
    <cellStyle name="解释性文本 2 9 3" xfId="49301"/>
    <cellStyle name="解释性文本 2 9 3 2" xfId="49302"/>
    <cellStyle name="解释性文本 3" xfId="49303"/>
    <cellStyle name="解释性文本 3 2" xfId="49304"/>
    <cellStyle name="解释性文本 3 2 2" xfId="49305"/>
    <cellStyle name="解释性文本 3 2 2 2" xfId="49306"/>
    <cellStyle name="解释性文本 3 2 2 2 2" xfId="49307"/>
    <cellStyle name="解释性文本 3 2 2 2 3" xfId="49308"/>
    <cellStyle name="解释性文本 3 2 2 2 3 2" xfId="49309"/>
    <cellStyle name="解释性文本 3 2 2 2 3 2 2" xfId="49310"/>
    <cellStyle name="解释性文本 3 2 2 2 4" xfId="49311"/>
    <cellStyle name="解释性文本 3 2 2 2 4 2" xfId="49312"/>
    <cellStyle name="解释性文本 3 2 2 3" xfId="49313"/>
    <cellStyle name="解释性文本 3 2 2 3 2" xfId="49314"/>
    <cellStyle name="解释性文本 3 2 2 3 2 2" xfId="49315"/>
    <cellStyle name="解释性文本 3 2 2 3 2 2 2" xfId="49316"/>
    <cellStyle name="解释性文本 3 2 2 3 3" xfId="49317"/>
    <cellStyle name="解释性文本 3 2 2 3 3 2" xfId="49318"/>
    <cellStyle name="解释性文本 3 2 2 4" xfId="49319"/>
    <cellStyle name="解释性文本 3 2 2 5" xfId="49320"/>
    <cellStyle name="解释性文本 3 2 2 6" xfId="49321"/>
    <cellStyle name="解释性文本 3 2 3" xfId="49322"/>
    <cellStyle name="解释性文本 3 2 3 2" xfId="49323"/>
    <cellStyle name="解释性文本 3 2 3 3" xfId="49324"/>
    <cellStyle name="解释性文本 3 2 3 3 2" xfId="49325"/>
    <cellStyle name="解释性文本 3 2 3 3 2 2" xfId="49326"/>
    <cellStyle name="解释性文本 3 2 3 4" xfId="49327"/>
    <cellStyle name="解释性文本 3 2 3 4 2" xfId="49328"/>
    <cellStyle name="解释性文本 3 2 4" xfId="49329"/>
    <cellStyle name="解释性文本 3 2 4 2" xfId="49330"/>
    <cellStyle name="解释性文本 3 2 4 2 2" xfId="49331"/>
    <cellStyle name="解释性文本 3 2 4 2 2 2" xfId="49332"/>
    <cellStyle name="解释性文本 3 2 4 3" xfId="49333"/>
    <cellStyle name="解释性文本 3 2 4 3 2" xfId="49334"/>
    <cellStyle name="解释性文本 3 2 5" xfId="49335"/>
    <cellStyle name="解释性文本 3 2 6" xfId="49336"/>
    <cellStyle name="解释性文本 3 2 7" xfId="49337"/>
    <cellStyle name="解释性文本 3 3" xfId="49338"/>
    <cellStyle name="解释性文本 3 3 2" xfId="49339"/>
    <cellStyle name="解释性文本 3 3 2 2" xfId="49340"/>
    <cellStyle name="解释性文本 3 3 2 3" xfId="49341"/>
    <cellStyle name="解释性文本 3 3 2 3 2" xfId="49342"/>
    <cellStyle name="解释性文本 3 3 2 3 2 2" xfId="49343"/>
    <cellStyle name="解释性文本 3 3 2 4" xfId="49344"/>
    <cellStyle name="解释性文本 3 3 2 4 2" xfId="49345"/>
    <cellStyle name="解释性文本 3 3 3" xfId="49346"/>
    <cellStyle name="解释性文本 3 3 3 2" xfId="49347"/>
    <cellStyle name="解释性文本 3 3 3 2 2" xfId="49348"/>
    <cellStyle name="解释性文本 3 3 3 2 2 2" xfId="49349"/>
    <cellStyle name="解释性文本 3 3 3 3" xfId="49350"/>
    <cellStyle name="解释性文本 3 3 3 3 2" xfId="49351"/>
    <cellStyle name="解释性文本 3 3 4" xfId="49352"/>
    <cellStyle name="解释性文本 3 3 5" xfId="49353"/>
    <cellStyle name="解释性文本 3 3 6" xfId="49354"/>
    <cellStyle name="解释性文本 3 4" xfId="49355"/>
    <cellStyle name="解释性文本 3 4 2" xfId="49356"/>
    <cellStyle name="解释性文本 3 4 2 2" xfId="49357"/>
    <cellStyle name="解释性文本 3 4 2 3" xfId="49358"/>
    <cellStyle name="解释性文本 3 4 2 3 2" xfId="49359"/>
    <cellStyle name="解释性文本 3 4 2 3 2 2" xfId="49360"/>
    <cellStyle name="解释性文本 3 4 2 4" xfId="49361"/>
    <cellStyle name="解释性文本 3 4 2 4 2" xfId="49362"/>
    <cellStyle name="解释性文本 3 4 3" xfId="49363"/>
    <cellStyle name="解释性文本 3 4 4" xfId="49364"/>
    <cellStyle name="解释性文本 3 4 5" xfId="49365"/>
    <cellStyle name="解释性文本 3 4 6" xfId="49366"/>
    <cellStyle name="解释性文本 3 5" xfId="49367"/>
    <cellStyle name="解释性文本 3 5 2" xfId="49368"/>
    <cellStyle name="解释性文本 3 5 2 2" xfId="49369"/>
    <cellStyle name="解释性文本 3 5 2 2 2" xfId="49370"/>
    <cellStyle name="解释性文本 3 5 2 2 2 2" xfId="49371"/>
    <cellStyle name="解释性文本 3 5 2 3" xfId="49372"/>
    <cellStyle name="解释性文本 3 5 2 3 2" xfId="49373"/>
    <cellStyle name="解释性文本 3 5 3" xfId="49374"/>
    <cellStyle name="解释性文本 3 5 3 2" xfId="49375"/>
    <cellStyle name="解释性文本 3 5 3 2 2" xfId="49376"/>
    <cellStyle name="解释性文本 3 5 4" xfId="49377"/>
    <cellStyle name="解释性文本 3 5 4 2" xfId="49378"/>
    <cellStyle name="解释性文本 3 6" xfId="49379"/>
    <cellStyle name="解释性文本 3 6 2" xfId="49380"/>
    <cellStyle name="解释性文本 3 6 2 2" xfId="49381"/>
    <cellStyle name="解释性文本 3 6 2 2 2" xfId="49382"/>
    <cellStyle name="解释性文本 3 6 3" xfId="49383"/>
    <cellStyle name="解释性文本 3 6 3 2" xfId="49384"/>
    <cellStyle name="解释性文本 3 7" xfId="49385"/>
    <cellStyle name="解释性文本 3 8" xfId="49386"/>
    <cellStyle name="警告文本 2" xfId="49387"/>
    <cellStyle name="警告文本 2 10" xfId="49388"/>
    <cellStyle name="警告文本 2 11" xfId="49389"/>
    <cellStyle name="警告文本 2 2" xfId="49390"/>
    <cellStyle name="警告文本 2 2 10" xfId="49391"/>
    <cellStyle name="警告文本 2 2 11" xfId="49392"/>
    <cellStyle name="警告文本 2 2 2" xfId="49393"/>
    <cellStyle name="警告文本 2 2 2 2" xfId="49394"/>
    <cellStyle name="警告文本 2 2 2 2 2" xfId="49395"/>
    <cellStyle name="警告文本 2 2 2 2 2 2" xfId="49396"/>
    <cellStyle name="警告文本 2 2 2 2 2 3" xfId="49397"/>
    <cellStyle name="警告文本 2 2 2 2 2 3 2" xfId="49398"/>
    <cellStyle name="警告文本 2 2 2 2 2 3 2 2" xfId="49399"/>
    <cellStyle name="警告文本 2 2 2 2 2 4" xfId="49400"/>
    <cellStyle name="警告文本 2 2 2 2 2 4 2" xfId="49401"/>
    <cellStyle name="警告文本 2 2 2 2 3" xfId="49402"/>
    <cellStyle name="警告文本 2 2 2 2 3 2" xfId="49403"/>
    <cellStyle name="警告文本 2 2 2 2 3 2 2" xfId="49404"/>
    <cellStyle name="警告文本 2 2 2 2 3 2 2 2" xfId="49405"/>
    <cellStyle name="警告文本 2 2 2 2 3 3" xfId="49406"/>
    <cellStyle name="警告文本 2 2 2 2 3 3 2" xfId="49407"/>
    <cellStyle name="警告文本 2 2 2 2 4" xfId="49408"/>
    <cellStyle name="警告文本 2 2 2 2 5" xfId="49409"/>
    <cellStyle name="警告文本 2 2 2 2 6" xfId="49410"/>
    <cellStyle name="警告文本 2 2 2 3" xfId="49411"/>
    <cellStyle name="警告文本 2 2 2 3 2" xfId="49412"/>
    <cellStyle name="警告文本 2 2 2 3 3" xfId="49413"/>
    <cellStyle name="警告文本 2 2 2 3 3 2" xfId="49414"/>
    <cellStyle name="警告文本 2 2 2 3 3 2 2" xfId="49415"/>
    <cellStyle name="警告文本 2 2 2 3 4" xfId="49416"/>
    <cellStyle name="警告文本 2 2 2 3 4 2" xfId="49417"/>
    <cellStyle name="警告文本 2 2 2 4" xfId="49418"/>
    <cellStyle name="警告文本 2 2 2 4 2" xfId="49419"/>
    <cellStyle name="警告文本 2 2 2 4 2 2" xfId="49420"/>
    <cellStyle name="警告文本 2 2 2 4 2 2 2" xfId="49421"/>
    <cellStyle name="警告文本 2 2 2 4 3" xfId="49422"/>
    <cellStyle name="警告文本 2 2 2 4 3 2" xfId="49423"/>
    <cellStyle name="警告文本 2 2 2 5" xfId="49424"/>
    <cellStyle name="警告文本 2 2 2 6" xfId="49425"/>
    <cellStyle name="警告文本 2 2 2 7" xfId="49426"/>
    <cellStyle name="警告文本 2 2 3" xfId="49427"/>
    <cellStyle name="警告文本 2 2 3 2" xfId="49428"/>
    <cellStyle name="警告文本 2 2 3 2 2" xfId="49429"/>
    <cellStyle name="警告文本 2 2 3 2 3" xfId="49430"/>
    <cellStyle name="警告文本 2 2 3 2 3 2" xfId="49431"/>
    <cellStyle name="警告文本 2 2 3 2 3 2 2" xfId="49432"/>
    <cellStyle name="警告文本 2 2 3 2 4" xfId="49433"/>
    <cellStyle name="警告文本 2 2 3 2 4 2" xfId="49434"/>
    <cellStyle name="警告文本 2 2 3 3" xfId="49435"/>
    <cellStyle name="警告文本 2 2 3 3 2" xfId="49436"/>
    <cellStyle name="警告文本 2 2 3 3 2 2" xfId="49437"/>
    <cellStyle name="警告文本 2 2 3 3 2 2 2" xfId="49438"/>
    <cellStyle name="警告文本 2 2 3 3 3" xfId="49439"/>
    <cellStyle name="警告文本 2 2 3 3 3 2" xfId="49440"/>
    <cellStyle name="警告文本 2 2 3 4" xfId="49441"/>
    <cellStyle name="警告文本 2 2 3 5" xfId="49442"/>
    <cellStyle name="警告文本 2 2 3 6" xfId="49443"/>
    <cellStyle name="警告文本 2 2 4" xfId="49444"/>
    <cellStyle name="警告文本 2 2 4 2" xfId="49445"/>
    <cellStyle name="警告文本 2 2 4 2 2" xfId="49446"/>
    <cellStyle name="警告文本 2 2 4 2 3" xfId="49447"/>
    <cellStyle name="警告文本 2 2 4 2 3 2" xfId="49448"/>
    <cellStyle name="警告文本 2 2 4 2 3 2 2" xfId="49449"/>
    <cellStyle name="警告文本 2 2 4 2 4" xfId="49450"/>
    <cellStyle name="警告文本 2 2 4 2 4 2" xfId="49451"/>
    <cellStyle name="警告文本 2 2 4 3" xfId="49452"/>
    <cellStyle name="警告文本 2 2 4 4" xfId="49453"/>
    <cellStyle name="警告文本 2 2 4 5" xfId="49454"/>
    <cellStyle name="警告文本 2 2 4 6" xfId="49455"/>
    <cellStyle name="警告文本 2 2 5" xfId="49456"/>
    <cellStyle name="警告文本 2 2 5 2" xfId="49457"/>
    <cellStyle name="警告文本 2 2 5 2 2" xfId="49458"/>
    <cellStyle name="警告文本 2 2 5 2 2 2" xfId="49459"/>
    <cellStyle name="警告文本 2 2 5 2 2 2 2" xfId="49460"/>
    <cellStyle name="警告文本 2 2 5 2 3" xfId="49461"/>
    <cellStyle name="警告文本 2 2 5 2 3 2" xfId="49462"/>
    <cellStyle name="警告文本 2 2 5 3" xfId="49463"/>
    <cellStyle name="警告文本 2 2 5 3 2" xfId="49464"/>
    <cellStyle name="警告文本 2 2 5 3 2 2" xfId="49465"/>
    <cellStyle name="警告文本 2 2 5 4" xfId="49466"/>
    <cellStyle name="警告文本 2 2 5 4 2" xfId="49467"/>
    <cellStyle name="警告文本 2 2 6" xfId="49468"/>
    <cellStyle name="警告文本 2 2 6 2" xfId="49469"/>
    <cellStyle name="警告文本 2 2 6 2 2" xfId="49470"/>
    <cellStyle name="警告文本 2 2 6 2 2 2" xfId="49471"/>
    <cellStyle name="警告文本 2 2 6 2 2 2 2" xfId="49472"/>
    <cellStyle name="警告文本 2 2 6 2 3" xfId="49473"/>
    <cellStyle name="警告文本 2 2 6 2 3 2" xfId="49474"/>
    <cellStyle name="警告文本 2 2 6 3" xfId="49475"/>
    <cellStyle name="警告文本 2 2 6 3 2" xfId="49476"/>
    <cellStyle name="警告文本 2 2 6 3 2 2" xfId="49477"/>
    <cellStyle name="警告文本 2 2 6 4" xfId="49478"/>
    <cellStyle name="警告文本 2 2 6 4 2" xfId="49479"/>
    <cellStyle name="警告文本 2 2 7" xfId="49480"/>
    <cellStyle name="警告文本 2 2 7 2" xfId="49481"/>
    <cellStyle name="警告文本 2 2 7 2 2" xfId="49482"/>
    <cellStyle name="警告文本 2 2 7 2 2 2" xfId="49483"/>
    <cellStyle name="警告文本 2 2 7 2 2 2 2" xfId="49484"/>
    <cellStyle name="警告文本 2 2 7 2 3" xfId="49485"/>
    <cellStyle name="警告文本 2 2 7 2 3 2" xfId="49486"/>
    <cellStyle name="警告文本 2 2 7 3" xfId="49487"/>
    <cellStyle name="警告文本 2 2 7 3 2" xfId="49488"/>
    <cellStyle name="警告文本 2 2 7 3 2 2" xfId="49489"/>
    <cellStyle name="警告文本 2 2 7 4" xfId="49490"/>
    <cellStyle name="警告文本 2 2 7 4 2" xfId="49491"/>
    <cellStyle name="警告文本 2 2 8" xfId="49492"/>
    <cellStyle name="警告文本 2 2 8 2" xfId="49493"/>
    <cellStyle name="警告文本 2 2 8 2 2" xfId="49494"/>
    <cellStyle name="警告文本 2 2 8 2 2 2" xfId="49495"/>
    <cellStyle name="警告文本 2 2 8 3" xfId="49496"/>
    <cellStyle name="警告文本 2 2 8 3 2" xfId="49497"/>
    <cellStyle name="警告文本 2 2 9" xfId="49498"/>
    <cellStyle name="警告文本 2 2 9 2" xfId="49499"/>
    <cellStyle name="警告文本 2 2 9 2 2" xfId="49500"/>
    <cellStyle name="警告文本 2 2 9 2 2 2" xfId="49501"/>
    <cellStyle name="警告文本 2 2 9 3" xfId="49502"/>
    <cellStyle name="警告文本 2 2 9 3 2" xfId="49503"/>
    <cellStyle name="警告文本 2 3" xfId="49504"/>
    <cellStyle name="警告文本 2 3 2" xfId="49505"/>
    <cellStyle name="警告文本 2 3 2 2" xfId="49506"/>
    <cellStyle name="警告文本 2 3 2 2 2" xfId="49507"/>
    <cellStyle name="警告文本 2 3 2 2 2 2" xfId="49508"/>
    <cellStyle name="警告文本 2 3 2 2 2 3" xfId="49509"/>
    <cellStyle name="警告文本 2 3 2 2 2 3 2" xfId="49510"/>
    <cellStyle name="警告文本 2 3 2 2 2 3 2 2" xfId="49511"/>
    <cellStyle name="警告文本 2 3 2 2 2 4" xfId="49512"/>
    <cellStyle name="警告文本 2 3 2 2 2 4 2" xfId="49513"/>
    <cellStyle name="警告文本 2 3 2 2 3" xfId="49514"/>
    <cellStyle name="警告文本 2 3 2 2 3 2" xfId="49515"/>
    <cellStyle name="警告文本 2 3 2 2 3 2 2" xfId="49516"/>
    <cellStyle name="警告文本 2 3 2 2 3 2 2 2" xfId="49517"/>
    <cellStyle name="警告文本 2 3 2 2 3 3" xfId="49518"/>
    <cellStyle name="警告文本 2 3 2 2 3 3 2" xfId="49519"/>
    <cellStyle name="警告文本 2 3 2 2 4" xfId="49520"/>
    <cellStyle name="警告文本 2 3 2 2 5" xfId="49521"/>
    <cellStyle name="警告文本 2 3 2 2 6" xfId="49522"/>
    <cellStyle name="警告文本 2 3 2 3" xfId="49523"/>
    <cellStyle name="警告文本 2 3 2 3 2" xfId="49524"/>
    <cellStyle name="警告文本 2 3 2 3 3" xfId="49525"/>
    <cellStyle name="警告文本 2 3 2 3 3 2" xfId="49526"/>
    <cellStyle name="警告文本 2 3 2 3 3 2 2" xfId="49527"/>
    <cellStyle name="警告文本 2 3 2 3 4" xfId="49528"/>
    <cellStyle name="警告文本 2 3 2 3 4 2" xfId="49529"/>
    <cellStyle name="警告文本 2 3 2 4" xfId="49530"/>
    <cellStyle name="警告文本 2 3 2 4 2" xfId="49531"/>
    <cellStyle name="警告文本 2 3 2 4 2 2" xfId="49532"/>
    <cellStyle name="警告文本 2 3 2 4 2 2 2" xfId="49533"/>
    <cellStyle name="警告文本 2 3 2 4 3" xfId="49534"/>
    <cellStyle name="警告文本 2 3 2 4 3 2" xfId="49535"/>
    <cellStyle name="警告文本 2 3 2 5" xfId="49536"/>
    <cellStyle name="警告文本 2 3 2 6" xfId="49537"/>
    <cellStyle name="警告文本 2 3 2 7" xfId="49538"/>
    <cellStyle name="警告文本 2 3 3" xfId="49539"/>
    <cellStyle name="警告文本 2 3 3 2" xfId="49540"/>
    <cellStyle name="警告文本 2 3 3 2 2" xfId="49541"/>
    <cellStyle name="警告文本 2 3 3 2 3" xfId="49542"/>
    <cellStyle name="警告文本 2 3 3 2 3 2" xfId="49543"/>
    <cellStyle name="警告文本 2 3 3 2 3 2 2" xfId="49544"/>
    <cellStyle name="警告文本 2 3 3 2 4" xfId="49545"/>
    <cellStyle name="警告文本 2 3 3 2 4 2" xfId="49546"/>
    <cellStyle name="警告文本 2 3 3 3" xfId="49547"/>
    <cellStyle name="警告文本 2 3 3 3 2" xfId="49548"/>
    <cellStyle name="警告文本 2 3 3 3 2 2" xfId="49549"/>
    <cellStyle name="警告文本 2 3 3 3 2 2 2" xfId="49550"/>
    <cellStyle name="警告文本 2 3 3 3 3" xfId="49551"/>
    <cellStyle name="警告文本 2 3 3 3 3 2" xfId="49552"/>
    <cellStyle name="警告文本 2 3 3 4" xfId="49553"/>
    <cellStyle name="警告文本 2 3 3 5" xfId="49554"/>
    <cellStyle name="警告文本 2 3 3 6" xfId="49555"/>
    <cellStyle name="警告文本 2 3 4" xfId="49556"/>
    <cellStyle name="警告文本 2 3 4 2" xfId="49557"/>
    <cellStyle name="警告文本 2 3 4 2 2" xfId="49558"/>
    <cellStyle name="警告文本 2 3 4 2 3" xfId="49559"/>
    <cellStyle name="警告文本 2 3 4 2 3 2" xfId="49560"/>
    <cellStyle name="警告文本 2 3 4 2 3 2 2" xfId="49561"/>
    <cellStyle name="警告文本 2 3 4 2 4" xfId="49562"/>
    <cellStyle name="警告文本 2 3 4 2 4 2" xfId="49563"/>
    <cellStyle name="警告文本 2 3 4 3" xfId="49564"/>
    <cellStyle name="警告文本 2 3 4 4" xfId="49565"/>
    <cellStyle name="警告文本 2 3 4 5" xfId="49566"/>
    <cellStyle name="警告文本 2 3 4 6" xfId="49567"/>
    <cellStyle name="警告文本 2 3 5" xfId="49568"/>
    <cellStyle name="警告文本 2 3 5 2" xfId="49569"/>
    <cellStyle name="警告文本 2 3 5 2 2" xfId="49570"/>
    <cellStyle name="警告文本 2 3 5 2 2 2" xfId="49571"/>
    <cellStyle name="警告文本 2 3 5 2 2 2 2" xfId="49572"/>
    <cellStyle name="警告文本 2 3 5 2 3" xfId="49573"/>
    <cellStyle name="警告文本 2 3 5 2 3 2" xfId="49574"/>
    <cellStyle name="警告文本 2 3 5 3" xfId="49575"/>
    <cellStyle name="警告文本 2 3 5 3 2" xfId="49576"/>
    <cellStyle name="警告文本 2 3 5 3 2 2" xfId="49577"/>
    <cellStyle name="警告文本 2 3 5 4" xfId="49578"/>
    <cellStyle name="警告文本 2 3 5 4 2" xfId="49579"/>
    <cellStyle name="警告文本 2 3 6" xfId="49580"/>
    <cellStyle name="警告文本 2 3 6 2" xfId="49581"/>
    <cellStyle name="警告文本 2 3 6 2 2" xfId="49582"/>
    <cellStyle name="警告文本 2 3 6 2 2 2" xfId="49583"/>
    <cellStyle name="警告文本 2 3 6 3" xfId="49584"/>
    <cellStyle name="警告文本 2 3 6 3 2" xfId="49585"/>
    <cellStyle name="警告文本 2 3 7" xfId="49586"/>
    <cellStyle name="警告文本 2 3 7 2" xfId="49587"/>
    <cellStyle name="警告文本 2 3 7 2 2" xfId="49588"/>
    <cellStyle name="警告文本 2 3 7 2 2 2" xfId="49589"/>
    <cellStyle name="警告文本 2 3 7 3" xfId="49590"/>
    <cellStyle name="警告文本 2 3 7 3 2" xfId="49591"/>
    <cellStyle name="警告文本 2 3 8" xfId="49592"/>
    <cellStyle name="警告文本 2 3 9" xfId="49593"/>
    <cellStyle name="警告文本 2 4" xfId="49594"/>
    <cellStyle name="警告文本 2 4 2" xfId="49595"/>
    <cellStyle name="警告文本 2 4 2 2" xfId="49596"/>
    <cellStyle name="警告文本 2 4 2 3" xfId="49597"/>
    <cellStyle name="警告文本 2 4 2 3 2" xfId="49598"/>
    <cellStyle name="警告文本 2 4 2 3 2 2" xfId="49599"/>
    <cellStyle name="警告文本 2 4 2 4" xfId="49600"/>
    <cellStyle name="警告文本 2 4 2 4 2" xfId="49601"/>
    <cellStyle name="警告文本 2 4 3" xfId="49602"/>
    <cellStyle name="警告文本 2 4 3 2" xfId="49603"/>
    <cellStyle name="警告文本 2 4 3 2 2" xfId="49604"/>
    <cellStyle name="警告文本 2 4 3 2 2 2" xfId="49605"/>
    <cellStyle name="警告文本 2 4 3 3" xfId="49606"/>
    <cellStyle name="警告文本 2 4 3 3 2" xfId="49607"/>
    <cellStyle name="警告文本 2 4 4" xfId="49608"/>
    <cellStyle name="警告文本 2 4 5" xfId="49609"/>
    <cellStyle name="警告文本 2 4 6" xfId="49610"/>
    <cellStyle name="警告文本 2 5" xfId="49611"/>
    <cellStyle name="警告文本 2 5 2" xfId="49612"/>
    <cellStyle name="警告文本 2 5 2 2" xfId="49613"/>
    <cellStyle name="警告文本 2 5 2 3" xfId="49614"/>
    <cellStyle name="警告文本 2 5 2 3 2" xfId="49615"/>
    <cellStyle name="警告文本 2 5 2 3 2 2" xfId="49616"/>
    <cellStyle name="警告文本 2 5 2 4" xfId="49617"/>
    <cellStyle name="警告文本 2 5 2 4 2" xfId="49618"/>
    <cellStyle name="警告文本 2 5 3" xfId="49619"/>
    <cellStyle name="警告文本 2 5 4" xfId="49620"/>
    <cellStyle name="警告文本 2 5 5" xfId="49621"/>
    <cellStyle name="警告文本 2 5 6" xfId="49622"/>
    <cellStyle name="警告文本 2 6" xfId="49623"/>
    <cellStyle name="警告文本 2 6 2" xfId="49624"/>
    <cellStyle name="警告文本 2 6 2 2" xfId="49625"/>
    <cellStyle name="警告文本 2 6 2 2 2" xfId="49626"/>
    <cellStyle name="警告文本 2 6 2 2 2 2" xfId="49627"/>
    <cellStyle name="警告文本 2 6 2 3" xfId="49628"/>
    <cellStyle name="警告文本 2 6 2 3 2" xfId="49629"/>
    <cellStyle name="警告文本 2 6 3" xfId="49630"/>
    <cellStyle name="警告文本 2 6 3 2" xfId="49631"/>
    <cellStyle name="警告文本 2 6 3 2 2" xfId="49632"/>
    <cellStyle name="警告文本 2 6 4" xfId="49633"/>
    <cellStyle name="警告文本 2 6 4 2" xfId="49634"/>
    <cellStyle name="警告文本 2 7" xfId="49635"/>
    <cellStyle name="警告文本 2 7 2" xfId="49636"/>
    <cellStyle name="警告文本 2 7 2 2" xfId="49637"/>
    <cellStyle name="警告文本 2 7 2 2 2" xfId="49638"/>
    <cellStyle name="警告文本 2 7 2 2 2 2" xfId="49639"/>
    <cellStyle name="警告文本 2 7 2 3" xfId="49640"/>
    <cellStyle name="警告文本 2 7 2 3 2" xfId="49641"/>
    <cellStyle name="警告文本 2 7 3" xfId="49642"/>
    <cellStyle name="警告文本 2 7 3 2" xfId="49643"/>
    <cellStyle name="警告文本 2 7 3 2 2" xfId="49644"/>
    <cellStyle name="警告文本 2 7 4" xfId="49645"/>
    <cellStyle name="警告文本 2 7 4 2" xfId="49646"/>
    <cellStyle name="警告文本 2 8" xfId="49647"/>
    <cellStyle name="警告文本 2 8 2" xfId="49648"/>
    <cellStyle name="警告文本 2 8 2 2" xfId="49649"/>
    <cellStyle name="警告文本 2 8 2 2 2" xfId="49650"/>
    <cellStyle name="警告文本 2 8 2 2 2 2" xfId="49651"/>
    <cellStyle name="警告文本 2 8 2 3" xfId="49652"/>
    <cellStyle name="警告文本 2 8 2 3 2" xfId="49653"/>
    <cellStyle name="警告文本 2 8 3" xfId="49654"/>
    <cellStyle name="警告文本 2 8 3 2" xfId="49655"/>
    <cellStyle name="警告文本 2 8 3 2 2" xfId="49656"/>
    <cellStyle name="警告文本 2 8 4" xfId="49657"/>
    <cellStyle name="警告文本 2 8 4 2" xfId="49658"/>
    <cellStyle name="警告文本 2 9" xfId="49659"/>
    <cellStyle name="警告文本 2 9 2" xfId="49660"/>
    <cellStyle name="警告文本 2 9 2 2" xfId="49661"/>
    <cellStyle name="警告文本 2 9 2 2 2" xfId="49662"/>
    <cellStyle name="警告文本 2 9 3" xfId="49663"/>
    <cellStyle name="警告文本 2 9 3 2" xfId="49664"/>
    <cellStyle name="警告文本 3" xfId="49665"/>
    <cellStyle name="警告文本 3 2" xfId="49666"/>
    <cellStyle name="警告文本 3 2 2" xfId="49667"/>
    <cellStyle name="警告文本 3 2 2 2" xfId="49668"/>
    <cellStyle name="警告文本 3 2 2 2 2" xfId="49669"/>
    <cellStyle name="警告文本 3 2 2 2 3" xfId="49670"/>
    <cellStyle name="警告文本 3 2 2 2 3 2" xfId="49671"/>
    <cellStyle name="警告文本 3 2 2 2 3 2 2" xfId="49672"/>
    <cellStyle name="警告文本 3 2 2 2 4" xfId="49673"/>
    <cellStyle name="警告文本 3 2 2 2 4 2" xfId="49674"/>
    <cellStyle name="警告文本 3 2 2 3" xfId="49675"/>
    <cellStyle name="警告文本 3 2 2 3 2" xfId="49676"/>
    <cellStyle name="警告文本 3 2 2 3 2 2" xfId="49677"/>
    <cellStyle name="警告文本 3 2 2 3 2 2 2" xfId="49678"/>
    <cellStyle name="警告文本 3 2 2 3 3" xfId="49679"/>
    <cellStyle name="警告文本 3 2 2 3 3 2" xfId="49680"/>
    <cellStyle name="警告文本 3 2 2 4" xfId="49681"/>
    <cellStyle name="警告文本 3 2 2 5" xfId="49682"/>
    <cellStyle name="警告文本 3 2 2 6" xfId="49683"/>
    <cellStyle name="警告文本 3 2 3" xfId="49684"/>
    <cellStyle name="警告文本 3 2 3 2" xfId="49685"/>
    <cellStyle name="警告文本 3 2 3 3" xfId="49686"/>
    <cellStyle name="警告文本 3 2 3 3 2" xfId="49687"/>
    <cellStyle name="警告文本 3 2 3 3 2 2" xfId="49688"/>
    <cellStyle name="警告文本 3 2 3 4" xfId="49689"/>
    <cellStyle name="警告文本 3 2 3 4 2" xfId="49690"/>
    <cellStyle name="警告文本 3 2 4" xfId="49691"/>
    <cellStyle name="警告文本 3 2 4 2" xfId="49692"/>
    <cellStyle name="警告文本 3 2 4 2 2" xfId="49693"/>
    <cellStyle name="警告文本 3 2 4 2 2 2" xfId="49694"/>
    <cellStyle name="警告文本 3 2 4 3" xfId="49695"/>
    <cellStyle name="警告文本 3 2 4 3 2" xfId="49696"/>
    <cellStyle name="警告文本 3 2 5" xfId="49697"/>
    <cellStyle name="警告文本 3 2 6" xfId="49698"/>
    <cellStyle name="警告文本 3 2 7" xfId="49699"/>
    <cellStyle name="警告文本 3 3" xfId="49700"/>
    <cellStyle name="警告文本 3 3 2" xfId="49701"/>
    <cellStyle name="警告文本 3 3 2 2" xfId="49702"/>
    <cellStyle name="警告文本 3 3 2 3" xfId="49703"/>
    <cellStyle name="警告文本 3 3 2 3 2" xfId="49704"/>
    <cellStyle name="警告文本 3 3 2 3 2 2" xfId="49705"/>
    <cellStyle name="警告文本 3 3 2 4" xfId="49706"/>
    <cellStyle name="警告文本 3 3 2 4 2" xfId="49707"/>
    <cellStyle name="警告文本 3 3 3" xfId="49708"/>
    <cellStyle name="警告文本 3 3 3 2" xfId="49709"/>
    <cellStyle name="警告文本 3 3 3 2 2" xfId="49710"/>
    <cellStyle name="警告文本 3 3 3 2 2 2" xfId="49711"/>
    <cellStyle name="警告文本 3 3 3 3" xfId="49712"/>
    <cellStyle name="警告文本 3 3 3 3 2" xfId="49713"/>
    <cellStyle name="警告文本 3 3 4" xfId="49714"/>
    <cellStyle name="警告文本 3 3 5" xfId="49715"/>
    <cellStyle name="警告文本 3 3 6" xfId="49716"/>
    <cellStyle name="警告文本 3 4" xfId="49717"/>
    <cellStyle name="警告文本 3 4 2" xfId="49718"/>
    <cellStyle name="警告文本 3 4 2 2" xfId="49719"/>
    <cellStyle name="警告文本 3 4 2 3" xfId="49720"/>
    <cellStyle name="警告文本 3 4 2 3 2" xfId="49721"/>
    <cellStyle name="警告文本 3 4 2 3 2 2" xfId="49722"/>
    <cellStyle name="警告文本 3 4 2 4" xfId="49723"/>
    <cellStyle name="警告文本 3 4 2 4 2" xfId="49724"/>
    <cellStyle name="警告文本 3 4 3" xfId="49725"/>
    <cellStyle name="警告文本 3 4 4" xfId="49726"/>
    <cellStyle name="警告文本 3 4 5" xfId="49727"/>
    <cellStyle name="警告文本 3 4 6" xfId="49728"/>
    <cellStyle name="警告文本 3 5" xfId="49729"/>
    <cellStyle name="警告文本 3 5 2" xfId="49730"/>
    <cellStyle name="警告文本 3 5 2 2" xfId="49731"/>
    <cellStyle name="警告文本 3 5 2 2 2" xfId="49732"/>
    <cellStyle name="警告文本 3 5 2 2 2 2" xfId="49733"/>
    <cellStyle name="警告文本 3 5 2 3" xfId="49734"/>
    <cellStyle name="警告文本 3 5 2 3 2" xfId="49735"/>
    <cellStyle name="警告文本 3 5 3" xfId="49736"/>
    <cellStyle name="警告文本 3 5 3 2" xfId="49737"/>
    <cellStyle name="警告文本 3 5 3 2 2" xfId="49738"/>
    <cellStyle name="警告文本 3 5 4" xfId="49739"/>
    <cellStyle name="警告文本 3 5 4 2" xfId="49740"/>
    <cellStyle name="警告文本 3 6" xfId="49741"/>
    <cellStyle name="警告文本 3 6 2" xfId="49742"/>
    <cellStyle name="警告文本 3 6 2 2" xfId="49743"/>
    <cellStyle name="警告文本 3 6 2 2 2" xfId="49744"/>
    <cellStyle name="警告文本 3 6 3" xfId="49745"/>
    <cellStyle name="警告文本 3 6 3 2" xfId="49746"/>
    <cellStyle name="警告文本 3 7" xfId="49747"/>
    <cellStyle name="警告文本 3 8" xfId="49748"/>
    <cellStyle name="计算 2" xfId="49749"/>
    <cellStyle name="计算 2 10" xfId="49750"/>
    <cellStyle name="计算 2 11" xfId="49751"/>
    <cellStyle name="计算 2 2" xfId="49752"/>
    <cellStyle name="计算 2 2 10" xfId="49753"/>
    <cellStyle name="计算 2 2 11" xfId="49754"/>
    <cellStyle name="计算 2 2 2" xfId="49755"/>
    <cellStyle name="计算 2 2 2 2" xfId="49756"/>
    <cellStyle name="计算 2 2 2 2 2" xfId="49757"/>
    <cellStyle name="计算 2 2 2 2 2 2" xfId="49758"/>
    <cellStyle name="计算 2 2 2 2 2 3" xfId="49759"/>
    <cellStyle name="计算 2 2 2 2 2 3 2" xfId="49760"/>
    <cellStyle name="计算 2 2 2 2 2 3 2 2" xfId="49761"/>
    <cellStyle name="计算 2 2 2 2 2 4" xfId="49762"/>
    <cellStyle name="计算 2 2 2 2 2 4 2" xfId="49763"/>
    <cellStyle name="计算 2 2 2 2 3" xfId="49764"/>
    <cellStyle name="计算 2 2 2 2 3 2" xfId="49765"/>
    <cellStyle name="计算 2 2 2 2 3 2 2" xfId="49766"/>
    <cellStyle name="计算 2 2 2 2 3 2 2 2" xfId="49767"/>
    <cellStyle name="计算 2 2 2 2 3 3" xfId="49768"/>
    <cellStyle name="计算 2 2 2 2 3 3 2" xfId="49769"/>
    <cellStyle name="计算 2 2 2 2 4" xfId="49770"/>
    <cellStyle name="计算 2 2 2 2 5" xfId="49771"/>
    <cellStyle name="计算 2 2 2 2 6" xfId="49772"/>
    <cellStyle name="计算 2 2 2 3" xfId="49773"/>
    <cellStyle name="计算 2 2 2 3 2" xfId="49774"/>
    <cellStyle name="计算 2 2 2 3 3" xfId="49775"/>
    <cellStyle name="计算 2 2 2 3 3 2" xfId="49776"/>
    <cellStyle name="计算 2 2 2 3 3 2 2" xfId="49777"/>
    <cellStyle name="计算 2 2 2 3 4" xfId="49778"/>
    <cellStyle name="计算 2 2 2 3 4 2" xfId="49779"/>
    <cellStyle name="计算 2 2 2 4" xfId="49780"/>
    <cellStyle name="计算 2 2 2 4 2" xfId="49781"/>
    <cellStyle name="计算 2 2 2 4 2 2" xfId="49782"/>
    <cellStyle name="计算 2 2 2 4 2 2 2" xfId="49783"/>
    <cellStyle name="计算 2 2 2 4 3" xfId="49784"/>
    <cellStyle name="计算 2 2 2 4 3 2" xfId="49785"/>
    <cellStyle name="计算 2 2 2 5" xfId="49786"/>
    <cellStyle name="计算 2 2 2 6" xfId="49787"/>
    <cellStyle name="计算 2 2 2 7" xfId="49788"/>
    <cellStyle name="计算 2 2 3" xfId="49789"/>
    <cellStyle name="计算 2 2 3 2" xfId="49790"/>
    <cellStyle name="计算 2 2 3 2 2" xfId="49791"/>
    <cellStyle name="计算 2 2 3 2 3" xfId="49792"/>
    <cellStyle name="计算 2 2 3 2 3 2" xfId="49793"/>
    <cellStyle name="计算 2 2 3 2 3 2 2" xfId="49794"/>
    <cellStyle name="计算 2 2 3 2 4" xfId="49795"/>
    <cellStyle name="计算 2 2 3 2 4 2" xfId="49796"/>
    <cellStyle name="计算 2 2 3 3" xfId="49797"/>
    <cellStyle name="计算 2 2 3 3 2" xfId="49798"/>
    <cellStyle name="计算 2 2 3 3 2 2" xfId="49799"/>
    <cellStyle name="计算 2 2 3 3 2 2 2" xfId="49800"/>
    <cellStyle name="计算 2 2 3 3 3" xfId="49801"/>
    <cellStyle name="计算 2 2 3 3 3 2" xfId="49802"/>
    <cellStyle name="计算 2 2 3 4" xfId="49803"/>
    <cellStyle name="计算 2 2 3 5" xfId="49804"/>
    <cellStyle name="计算 2 2 3 6" xfId="49805"/>
    <cellStyle name="计算 2 2 4" xfId="49806"/>
    <cellStyle name="计算 2 2 4 2" xfId="49807"/>
    <cellStyle name="计算 2 2 4 2 2" xfId="49808"/>
    <cellStyle name="计算 2 2 4 2 3" xfId="49809"/>
    <cellStyle name="计算 2 2 4 2 3 2" xfId="49810"/>
    <cellStyle name="计算 2 2 4 2 3 2 2" xfId="49811"/>
    <cellStyle name="计算 2 2 4 2 4" xfId="49812"/>
    <cellStyle name="计算 2 2 4 2 4 2" xfId="49813"/>
    <cellStyle name="计算 2 2 4 3" xfId="49814"/>
    <cellStyle name="计算 2 2 4 4" xfId="49815"/>
    <cellStyle name="计算 2 2 4 5" xfId="49816"/>
    <cellStyle name="计算 2 2 4 6" xfId="49817"/>
    <cellStyle name="计算 2 2 5" xfId="49818"/>
    <cellStyle name="计算 2 2 5 2" xfId="49819"/>
    <cellStyle name="计算 2 2 5 2 2" xfId="49820"/>
    <cellStyle name="计算 2 2 5 2 2 2" xfId="49821"/>
    <cellStyle name="计算 2 2 5 2 2 2 2" xfId="49822"/>
    <cellStyle name="计算 2 2 5 2 3" xfId="49823"/>
    <cellStyle name="计算 2 2 5 2 3 2" xfId="49824"/>
    <cellStyle name="计算 2 2 5 3" xfId="49825"/>
    <cellStyle name="计算 2 2 5 3 2" xfId="49826"/>
    <cellStyle name="计算 2 2 5 3 2 2" xfId="49827"/>
    <cellStyle name="计算 2 2 5 4" xfId="49828"/>
    <cellStyle name="计算 2 2 5 4 2" xfId="49829"/>
    <cellStyle name="计算 2 2 6" xfId="49830"/>
    <cellStyle name="计算 2 2 6 2" xfId="49831"/>
    <cellStyle name="计算 2 2 6 2 2" xfId="49832"/>
    <cellStyle name="计算 2 2 6 2 2 2" xfId="49833"/>
    <cellStyle name="计算 2 2 6 2 2 2 2" xfId="49834"/>
    <cellStyle name="计算 2 2 6 2 3" xfId="49835"/>
    <cellStyle name="计算 2 2 6 2 3 2" xfId="49836"/>
    <cellStyle name="计算 2 2 6 3" xfId="49837"/>
    <cellStyle name="计算 2 2 6 3 2" xfId="49838"/>
    <cellStyle name="计算 2 2 6 3 2 2" xfId="49839"/>
    <cellStyle name="计算 2 2 6 4" xfId="49840"/>
    <cellStyle name="计算 2 2 6 4 2" xfId="49841"/>
    <cellStyle name="计算 2 2 7" xfId="49842"/>
    <cellStyle name="计算 2 2 7 2" xfId="49843"/>
    <cellStyle name="计算 2 2 7 2 2" xfId="49844"/>
    <cellStyle name="计算 2 2 7 2 2 2" xfId="49845"/>
    <cellStyle name="计算 2 2 7 2 2 2 2" xfId="49846"/>
    <cellStyle name="计算 2 2 7 2 3" xfId="49847"/>
    <cellStyle name="计算 2 2 7 2 3 2" xfId="49848"/>
    <cellStyle name="计算 2 2 7 3" xfId="49849"/>
    <cellStyle name="计算 2 2 7 3 2" xfId="49850"/>
    <cellStyle name="计算 2 2 7 3 2 2" xfId="49851"/>
    <cellStyle name="计算 2 2 7 4" xfId="49852"/>
    <cellStyle name="计算 2 2 7 4 2" xfId="49853"/>
    <cellStyle name="计算 2 2 8" xfId="49854"/>
    <cellStyle name="计算 2 2 8 2" xfId="49855"/>
    <cellStyle name="计算 2 2 8 2 2" xfId="49856"/>
    <cellStyle name="计算 2 2 8 2 2 2" xfId="49857"/>
    <cellStyle name="计算 2 2 8 3" xfId="49858"/>
    <cellStyle name="计算 2 2 8 3 2" xfId="49859"/>
    <cellStyle name="计算 2 2 9" xfId="49860"/>
    <cellStyle name="计算 2 2 9 2" xfId="49861"/>
    <cellStyle name="计算 2 2 9 2 2" xfId="49862"/>
    <cellStyle name="计算 2 2 9 2 2 2" xfId="49863"/>
    <cellStyle name="计算 2 2 9 3" xfId="49864"/>
    <cellStyle name="计算 2 2 9 3 2" xfId="49865"/>
    <cellStyle name="计算 2 3" xfId="49866"/>
    <cellStyle name="计算 2 3 2" xfId="49867"/>
    <cellStyle name="计算 2 3 2 2" xfId="49868"/>
    <cellStyle name="计算 2 3 2 2 2" xfId="49869"/>
    <cellStyle name="计算 2 3 2 2 2 2" xfId="49870"/>
    <cellStyle name="计算 2 3 2 2 2 3" xfId="49871"/>
    <cellStyle name="计算 2 3 2 2 2 3 2" xfId="49872"/>
    <cellStyle name="计算 2 3 2 2 2 3 2 2" xfId="49873"/>
    <cellStyle name="计算 2 3 2 2 2 4" xfId="49874"/>
    <cellStyle name="计算 2 3 2 2 2 4 2" xfId="49875"/>
    <cellStyle name="计算 2 3 2 2 3" xfId="49876"/>
    <cellStyle name="计算 2 3 2 2 3 2" xfId="49877"/>
    <cellStyle name="计算 2 3 2 2 3 2 2" xfId="49878"/>
    <cellStyle name="计算 2 3 2 2 3 2 2 2" xfId="49879"/>
    <cellStyle name="计算 2 3 2 2 3 3" xfId="49880"/>
    <cellStyle name="计算 2 3 2 2 3 3 2" xfId="49881"/>
    <cellStyle name="计算 2 3 2 2 4" xfId="49882"/>
    <cellStyle name="计算 2 3 2 2 5" xfId="49883"/>
    <cellStyle name="计算 2 3 2 2 6" xfId="49884"/>
    <cellStyle name="计算 2 3 2 3" xfId="49885"/>
    <cellStyle name="计算 2 3 2 3 2" xfId="49886"/>
    <cellStyle name="计算 2 3 2 3 3" xfId="49887"/>
    <cellStyle name="计算 2 3 2 3 3 2" xfId="49888"/>
    <cellStyle name="计算 2 3 2 3 3 2 2" xfId="49889"/>
    <cellStyle name="计算 2 3 2 3 4" xfId="49890"/>
    <cellStyle name="计算 2 3 2 3 4 2" xfId="49891"/>
    <cellStyle name="计算 2 3 2 4" xfId="49892"/>
    <cellStyle name="计算 2 3 2 4 2" xfId="49893"/>
    <cellStyle name="计算 2 3 2 4 2 2" xfId="49894"/>
    <cellStyle name="计算 2 3 2 4 2 2 2" xfId="49895"/>
    <cellStyle name="计算 2 3 2 4 3" xfId="49896"/>
    <cellStyle name="计算 2 3 2 4 3 2" xfId="49897"/>
    <cellStyle name="计算 2 3 2 5" xfId="49898"/>
    <cellStyle name="计算 2 3 2 6" xfId="49899"/>
    <cellStyle name="计算 2 3 2 7" xfId="49900"/>
    <cellStyle name="计算 2 3 3" xfId="49901"/>
    <cellStyle name="计算 2 3 3 2" xfId="49902"/>
    <cellStyle name="计算 2 3 3 2 2" xfId="49903"/>
    <cellStyle name="计算 2 3 3 2 3" xfId="49904"/>
    <cellStyle name="计算 2 3 3 2 3 2" xfId="49905"/>
    <cellStyle name="计算 2 3 3 2 3 2 2" xfId="49906"/>
    <cellStyle name="计算 2 3 3 2 4" xfId="49907"/>
    <cellStyle name="计算 2 3 3 2 4 2" xfId="49908"/>
    <cellStyle name="计算 2 3 3 3" xfId="49909"/>
    <cellStyle name="计算 2 3 3 3 2" xfId="49910"/>
    <cellStyle name="计算 2 3 3 3 2 2" xfId="49911"/>
    <cellStyle name="计算 2 3 3 3 2 2 2" xfId="49912"/>
    <cellStyle name="计算 2 3 3 3 3" xfId="49913"/>
    <cellStyle name="计算 2 3 3 3 3 2" xfId="49914"/>
    <cellStyle name="计算 2 3 3 4" xfId="49915"/>
    <cellStyle name="计算 2 3 3 5" xfId="49916"/>
    <cellStyle name="计算 2 3 3 6" xfId="49917"/>
    <cellStyle name="计算 2 3 4" xfId="49918"/>
    <cellStyle name="计算 2 3 4 2" xfId="49919"/>
    <cellStyle name="计算 2 3 4 2 2" xfId="49920"/>
    <cellStyle name="计算 2 3 4 2 3" xfId="49921"/>
    <cellStyle name="计算 2 3 4 2 3 2" xfId="49922"/>
    <cellStyle name="计算 2 3 4 2 3 2 2" xfId="49923"/>
    <cellStyle name="计算 2 3 4 2 4" xfId="49924"/>
    <cellStyle name="计算 2 3 4 2 4 2" xfId="49925"/>
    <cellStyle name="计算 2 3 4 3" xfId="49926"/>
    <cellStyle name="计算 2 3 4 4" xfId="49927"/>
    <cellStyle name="计算 2 3 4 5" xfId="49928"/>
    <cellStyle name="计算 2 3 4 6" xfId="49929"/>
    <cellStyle name="计算 2 3 5" xfId="49930"/>
    <cellStyle name="计算 2 3 5 2" xfId="49931"/>
    <cellStyle name="计算 2 3 5 2 2" xfId="49932"/>
    <cellStyle name="计算 2 3 5 2 2 2" xfId="49933"/>
    <cellStyle name="计算 2 3 5 2 2 2 2" xfId="49934"/>
    <cellStyle name="计算 2 3 5 2 3" xfId="49935"/>
    <cellStyle name="计算 2 3 5 2 3 2" xfId="49936"/>
    <cellStyle name="计算 2 3 5 3" xfId="49937"/>
    <cellStyle name="计算 2 3 5 3 2" xfId="49938"/>
    <cellStyle name="计算 2 3 5 3 2 2" xfId="49939"/>
    <cellStyle name="计算 2 3 5 4" xfId="49940"/>
    <cellStyle name="计算 2 3 5 4 2" xfId="49941"/>
    <cellStyle name="计算 2 3 6" xfId="49942"/>
    <cellStyle name="计算 2 3 6 2" xfId="49943"/>
    <cellStyle name="计算 2 3 6 2 2" xfId="49944"/>
    <cellStyle name="计算 2 3 6 2 2 2" xfId="49945"/>
    <cellStyle name="计算 2 3 6 3" xfId="49946"/>
    <cellStyle name="计算 2 3 6 3 2" xfId="49947"/>
    <cellStyle name="计算 2 3 7" xfId="49948"/>
    <cellStyle name="计算 2 3 7 2" xfId="49949"/>
    <cellStyle name="计算 2 3 7 2 2" xfId="49950"/>
    <cellStyle name="计算 2 3 7 2 2 2" xfId="49951"/>
    <cellStyle name="计算 2 3 7 3" xfId="49952"/>
    <cellStyle name="计算 2 3 7 3 2" xfId="49953"/>
    <cellStyle name="计算 2 3 8" xfId="49954"/>
    <cellStyle name="计算 2 3 9" xfId="49955"/>
    <cellStyle name="计算 2 4" xfId="49956"/>
    <cellStyle name="计算 2 4 2" xfId="49957"/>
    <cellStyle name="计算 2 4 2 2" xfId="49958"/>
    <cellStyle name="计算 2 4 2 3" xfId="49959"/>
    <cellStyle name="计算 2 4 2 3 2" xfId="49960"/>
    <cellStyle name="计算 2 4 2 3 2 2" xfId="49961"/>
    <cellStyle name="计算 2 4 2 4" xfId="49962"/>
    <cellStyle name="计算 2 4 2 4 2" xfId="49963"/>
    <cellStyle name="计算 2 4 3" xfId="49964"/>
    <cellStyle name="计算 2 4 3 2" xfId="49965"/>
    <cellStyle name="计算 2 4 3 2 2" xfId="49966"/>
    <cellStyle name="计算 2 4 3 2 2 2" xfId="49967"/>
    <cellStyle name="计算 2 4 3 3" xfId="49968"/>
    <cellStyle name="计算 2 4 3 3 2" xfId="49969"/>
    <cellStyle name="计算 2 4 4" xfId="49970"/>
    <cellStyle name="计算 2 4 5" xfId="49971"/>
    <cellStyle name="计算 2 4 6" xfId="49972"/>
    <cellStyle name="计算 2 5" xfId="49973"/>
    <cellStyle name="计算 2 5 2" xfId="49974"/>
    <cellStyle name="计算 2 5 2 2" xfId="49975"/>
    <cellStyle name="计算 2 5 2 3" xfId="49976"/>
    <cellStyle name="计算 2 5 2 3 2" xfId="49977"/>
    <cellStyle name="计算 2 5 2 3 2 2" xfId="49978"/>
    <cellStyle name="计算 2 5 2 4" xfId="49979"/>
    <cellStyle name="计算 2 5 2 4 2" xfId="49980"/>
    <cellStyle name="计算 2 5 3" xfId="49981"/>
    <cellStyle name="计算 2 5 4" xfId="49982"/>
    <cellStyle name="计算 2 5 5" xfId="49983"/>
    <cellStyle name="计算 2 5 6" xfId="49984"/>
    <cellStyle name="计算 2 6" xfId="49985"/>
    <cellStyle name="计算 2 6 2" xfId="49986"/>
    <cellStyle name="计算 2 6 2 2" xfId="49987"/>
    <cellStyle name="计算 2 6 2 2 2" xfId="49988"/>
    <cellStyle name="计算 2 6 2 2 2 2" xfId="49989"/>
    <cellStyle name="计算 2 6 2 3" xfId="49990"/>
    <cellStyle name="计算 2 6 2 3 2" xfId="49991"/>
    <cellStyle name="计算 2 6 3" xfId="49992"/>
    <cellStyle name="计算 2 6 3 2" xfId="49993"/>
    <cellStyle name="计算 2 6 3 2 2" xfId="49994"/>
    <cellStyle name="计算 2 6 4" xfId="49995"/>
    <cellStyle name="计算 2 6 4 2" xfId="49996"/>
    <cellStyle name="计算 2 7" xfId="49997"/>
    <cellStyle name="计算 2 7 2" xfId="49998"/>
    <cellStyle name="计算 2 7 2 2" xfId="49999"/>
    <cellStyle name="计算 2 7 2 2 2" xfId="50000"/>
    <cellStyle name="计算 2 7 2 2 2 2" xfId="50001"/>
    <cellStyle name="计算 2 7 2 3" xfId="50002"/>
    <cellStyle name="计算 2 7 2 3 2" xfId="50003"/>
    <cellStyle name="计算 2 7 3" xfId="50004"/>
    <cellStyle name="计算 2 7 3 2" xfId="50005"/>
    <cellStyle name="计算 2 7 3 2 2" xfId="50006"/>
    <cellStyle name="计算 2 7 4" xfId="50007"/>
    <cellStyle name="计算 2 7 4 2" xfId="50008"/>
    <cellStyle name="计算 2 8" xfId="50009"/>
    <cellStyle name="计算 2 8 2" xfId="50010"/>
    <cellStyle name="计算 2 8 2 2" xfId="50011"/>
    <cellStyle name="计算 2 8 2 2 2" xfId="50012"/>
    <cellStyle name="计算 2 8 2 2 2 2" xfId="50013"/>
    <cellStyle name="计算 2 8 2 3" xfId="50014"/>
    <cellStyle name="计算 2 8 2 3 2" xfId="50015"/>
    <cellStyle name="计算 2 8 3" xfId="50016"/>
    <cellStyle name="计算 2 8 3 2" xfId="50017"/>
    <cellStyle name="计算 2 8 3 2 2" xfId="50018"/>
    <cellStyle name="计算 2 8 4" xfId="50019"/>
    <cellStyle name="计算 2 8 4 2" xfId="50020"/>
    <cellStyle name="计算 2 9" xfId="50021"/>
    <cellStyle name="计算 2 9 2" xfId="50022"/>
    <cellStyle name="计算 2 9 2 2" xfId="50023"/>
    <cellStyle name="计算 2 9 2 2 2" xfId="50024"/>
    <cellStyle name="计算 2 9 3" xfId="50025"/>
    <cellStyle name="计算 2 9 3 2" xfId="50026"/>
    <cellStyle name="计算 3" xfId="50027"/>
    <cellStyle name="计算 3 2" xfId="50028"/>
    <cellStyle name="计算 3 2 2" xfId="50029"/>
    <cellStyle name="计算 3 2 2 2" xfId="50030"/>
    <cellStyle name="计算 3 2 2 2 2" xfId="50031"/>
    <cellStyle name="计算 3 2 2 2 3" xfId="50032"/>
    <cellStyle name="计算 3 2 2 2 3 2" xfId="50033"/>
    <cellStyle name="计算 3 2 2 2 3 2 2" xfId="50034"/>
    <cellStyle name="计算 3 2 2 2 4" xfId="50035"/>
    <cellStyle name="计算 3 2 2 2 4 2" xfId="50036"/>
    <cellStyle name="计算 3 2 2 3" xfId="50037"/>
    <cellStyle name="计算 3 2 2 3 2" xfId="50038"/>
    <cellStyle name="计算 3 2 2 3 2 2" xfId="50039"/>
    <cellStyle name="计算 3 2 2 3 2 2 2" xfId="50040"/>
    <cellStyle name="计算 3 2 2 3 3" xfId="50041"/>
    <cellStyle name="计算 3 2 2 3 3 2" xfId="50042"/>
    <cellStyle name="计算 3 2 2 4" xfId="50043"/>
    <cellStyle name="计算 3 2 2 5" xfId="50044"/>
    <cellStyle name="计算 3 2 2 6" xfId="50045"/>
    <cellStyle name="计算 3 2 3" xfId="50046"/>
    <cellStyle name="计算 3 2 3 2" xfId="50047"/>
    <cellStyle name="计算 3 2 3 3" xfId="50048"/>
    <cellStyle name="计算 3 2 3 3 2" xfId="50049"/>
    <cellStyle name="计算 3 2 3 3 2 2" xfId="50050"/>
    <cellStyle name="计算 3 2 3 4" xfId="50051"/>
    <cellStyle name="计算 3 2 3 4 2" xfId="50052"/>
    <cellStyle name="计算 3 2 4" xfId="50053"/>
    <cellStyle name="计算 3 2 4 2" xfId="50054"/>
    <cellStyle name="计算 3 2 4 2 2" xfId="50055"/>
    <cellStyle name="计算 3 2 4 2 2 2" xfId="50056"/>
    <cellStyle name="计算 3 2 4 3" xfId="50057"/>
    <cellStyle name="计算 3 2 4 3 2" xfId="50058"/>
    <cellStyle name="计算 3 2 5" xfId="50059"/>
    <cellStyle name="计算 3 2 6" xfId="50060"/>
    <cellStyle name="计算 3 2 7" xfId="50061"/>
    <cellStyle name="计算 3 3" xfId="50062"/>
    <cellStyle name="计算 3 3 2" xfId="50063"/>
    <cellStyle name="计算 3 3 2 2" xfId="50064"/>
    <cellStyle name="计算 3 3 2 3" xfId="50065"/>
    <cellStyle name="计算 3 3 2 3 2" xfId="50066"/>
    <cellStyle name="计算 3 3 2 3 2 2" xfId="50067"/>
    <cellStyle name="计算 3 3 2 4" xfId="50068"/>
    <cellStyle name="计算 3 3 2 4 2" xfId="50069"/>
    <cellStyle name="计算 3 3 3" xfId="50070"/>
    <cellStyle name="计算 3 3 3 2" xfId="50071"/>
    <cellStyle name="计算 3 3 3 2 2" xfId="50072"/>
    <cellStyle name="计算 3 3 3 2 2 2" xfId="50073"/>
    <cellStyle name="计算 3 3 3 3" xfId="50074"/>
    <cellStyle name="计算 3 3 3 3 2" xfId="50075"/>
    <cellStyle name="计算 3 3 4" xfId="50076"/>
    <cellStyle name="计算 3 3 5" xfId="50077"/>
    <cellStyle name="计算 3 3 6" xfId="50078"/>
    <cellStyle name="计算 3 4" xfId="50079"/>
    <cellStyle name="计算 3 4 2" xfId="50080"/>
    <cellStyle name="计算 3 4 2 2" xfId="50081"/>
    <cellStyle name="计算 3 4 2 3" xfId="50082"/>
    <cellStyle name="计算 3 4 2 3 2" xfId="50083"/>
    <cellStyle name="计算 3 4 2 3 2 2" xfId="50084"/>
    <cellStyle name="计算 3 4 2 4" xfId="50085"/>
    <cellStyle name="计算 3 4 2 4 2" xfId="50086"/>
    <cellStyle name="计算 3 4 3" xfId="50087"/>
    <cellStyle name="计算 3 4 4" xfId="50088"/>
    <cellStyle name="计算 3 4 5" xfId="50089"/>
    <cellStyle name="计算 3 4 6" xfId="50090"/>
    <cellStyle name="计算 3 5" xfId="50091"/>
    <cellStyle name="计算 3 5 2" xfId="50092"/>
    <cellStyle name="计算 3 5 2 2" xfId="50093"/>
    <cellStyle name="计算 3 5 2 2 2" xfId="50094"/>
    <cellStyle name="计算 3 5 2 2 2 2" xfId="50095"/>
    <cellStyle name="计算 3 5 2 3" xfId="50096"/>
    <cellStyle name="计算 3 5 2 3 2" xfId="50097"/>
    <cellStyle name="计算 3 5 3" xfId="50098"/>
    <cellStyle name="计算 3 5 3 2" xfId="50099"/>
    <cellStyle name="计算 3 5 3 2 2" xfId="50100"/>
    <cellStyle name="计算 3 5 4" xfId="50101"/>
    <cellStyle name="计算 3 5 4 2" xfId="50102"/>
    <cellStyle name="计算 3 6" xfId="50103"/>
    <cellStyle name="计算 3 6 2" xfId="50104"/>
    <cellStyle name="计算 3 6 2 2" xfId="50105"/>
    <cellStyle name="计算 3 6 2 2 2" xfId="50106"/>
    <cellStyle name="计算 3 6 3" xfId="50107"/>
    <cellStyle name="计算 3 6 3 2" xfId="50108"/>
    <cellStyle name="计算 3 7" xfId="50109"/>
    <cellStyle name="计算 3 8" xfId="50110"/>
    <cellStyle name="貨幣 [0]_DrayageRevenueWorking" xfId="50111"/>
    <cellStyle name="貨幣[0]_ 活動指標 (S1)" xfId="50112"/>
    <cellStyle name="貨幣_DrayageRevenueWorking" xfId="50113"/>
    <cellStyle name="货币 2" xfId="50114"/>
    <cellStyle name="货币 2 2" xfId="50115"/>
    <cellStyle name="货币 2 2 2" xfId="50116"/>
    <cellStyle name="货币 2 2 2 2" xfId="50117"/>
    <cellStyle name="货币 2 2 2 2 2" xfId="50118"/>
    <cellStyle name="货币 2 2 2 2 3" xfId="50119"/>
    <cellStyle name="货币 2 2 2 3" xfId="50120"/>
    <cellStyle name="货币 2 2 2 4" xfId="50121"/>
    <cellStyle name="货币 2 2 2 5" xfId="50122"/>
    <cellStyle name="货币 2 2 2 6" xfId="50123"/>
    <cellStyle name="货币 2 2 2 6 2" xfId="50124"/>
    <cellStyle name="货币 2 2 2 7" xfId="50125"/>
    <cellStyle name="货币 2 2 2 7 2" xfId="50126"/>
    <cellStyle name="货币 2 2 2 7 3" xfId="50127"/>
    <cellStyle name="货币 2 2 2 8" xfId="50128"/>
    <cellStyle name="货币 2 2 3" xfId="50129"/>
    <cellStyle name="货币 2 2 3 2" xfId="50130"/>
    <cellStyle name="货币 2 2 3 3" xfId="50131"/>
    <cellStyle name="货币 2 2 4" xfId="50132"/>
    <cellStyle name="货币 2 2 5" xfId="50133"/>
    <cellStyle name="货币 2 2 6" xfId="50134"/>
    <cellStyle name="货币 2 2 7" xfId="50135"/>
    <cellStyle name="货币 2 2 7 2" xfId="50136"/>
    <cellStyle name="货币 2 2 7 2 2" xfId="50137"/>
    <cellStyle name="货币 2 2 7 3" xfId="50138"/>
    <cellStyle name="货币 2 2 8" xfId="50139"/>
    <cellStyle name="货币 2 2 8 2" xfId="50140"/>
    <cellStyle name="货币 2 2 9" xfId="50141"/>
    <cellStyle name="货币 2 2 9 2" xfId="50142"/>
    <cellStyle name="货币 2 3" xfId="50143"/>
    <cellStyle name="货币 2 3 2" xfId="50144"/>
    <cellStyle name="货币 2 3 2 2" xfId="50145"/>
    <cellStyle name="货币 2 3 2 3" xfId="50146"/>
    <cellStyle name="货币 2 3 3" xfId="50147"/>
    <cellStyle name="货币 2 3 4" xfId="50148"/>
    <cellStyle name="货币 2 3 5" xfId="50149"/>
    <cellStyle name="货币 2 3 6" xfId="50150"/>
    <cellStyle name="货币 2 3 6 2" xfId="50151"/>
    <cellStyle name="货币 2 3 6 2 2" xfId="50152"/>
    <cellStyle name="货币 2 3 6 3" xfId="50153"/>
    <cellStyle name="货币 2 3 7" xfId="50154"/>
    <cellStyle name="货币 2 3 7 2" xfId="50155"/>
    <cellStyle name="货币 2 3 8" xfId="50156"/>
    <cellStyle name="货币 2 3 8 2" xfId="50157"/>
    <cellStyle name="货币 2 4" xfId="50158"/>
    <cellStyle name="货币 2 4 2" xfId="50159"/>
    <cellStyle name="货币 2 4 2 2" xfId="50160"/>
    <cellStyle name="货币 2 4 2 3" xfId="50161"/>
    <cellStyle name="货币 2 4 3" xfId="50162"/>
    <cellStyle name="货币 2 4 4" xfId="50163"/>
    <cellStyle name="货币 2 4 5" xfId="50164"/>
    <cellStyle name="货币 2 4 6" xfId="50165"/>
    <cellStyle name="货币 2 4 6 2" xfId="50166"/>
    <cellStyle name="货币 2 4 7" xfId="50167"/>
    <cellStyle name="货币 2 4 7 2" xfId="50168"/>
    <cellStyle name="货币 2 4 7 3" xfId="50169"/>
    <cellStyle name="货币 2 4 8" xfId="50170"/>
    <cellStyle name="货币 2 5" xfId="50171"/>
    <cellStyle name="货币 2 5 2" xfId="50172"/>
    <cellStyle name="货币 2 5 2 2" xfId="50173"/>
    <cellStyle name="货币 2 5 2 2 2" xfId="50174"/>
    <cellStyle name="货币 2 5 3" xfId="50175"/>
    <cellStyle name="货币 2 5 3 2" xfId="50176"/>
    <cellStyle name="货币 2 5 4" xfId="50177"/>
    <cellStyle name="货币 2 5 4 2" xfId="50178"/>
    <cellStyle name="货币 2 5 5" xfId="50179"/>
    <cellStyle name="货币 2 6" xfId="50180"/>
    <cellStyle name="货币 2 6 2" xfId="50181"/>
    <cellStyle name="货币[0]_061 explanation" xfId="50182"/>
    <cellStyle name="货币_061 explanation" xfId="50183"/>
    <cellStyle name="超级链接_Ji Fa - SOICT Pd 023 Mgmt Report" xfId="50184"/>
    <cellStyle name="超链接 2" xfId="50185"/>
    <cellStyle name="超链接 2 2" xfId="50186"/>
    <cellStyle name="超链接 2 2 2" xfId="50187"/>
    <cellStyle name="超链接 2 2 2 2" xfId="50188"/>
    <cellStyle name="超链接 2 2 2 3" xfId="50189"/>
    <cellStyle name="超链接 2 2 3" xfId="50190"/>
    <cellStyle name="超链接 2 2 4" xfId="50191"/>
    <cellStyle name="超链接 2 2 5" xfId="50192"/>
    <cellStyle name="超链接 2 2 6" xfId="50193"/>
    <cellStyle name="超链接 2 3" xfId="50194"/>
    <cellStyle name="超链接 2 3 2" xfId="50195"/>
    <cellStyle name="超链接 2 3 3" xfId="50196"/>
    <cellStyle name="超链接 2 4" xfId="50197"/>
    <cellStyle name="超链接 2 5" xfId="50198"/>
    <cellStyle name="超链接 2 6" xfId="50199"/>
    <cellStyle name="超链接 2 7" xfId="50200"/>
    <cellStyle name="输入 2" xfId="50201"/>
    <cellStyle name="输入 2 10" xfId="50202"/>
    <cellStyle name="输入 2 11" xfId="50203"/>
    <cellStyle name="输入 2 2" xfId="50204"/>
    <cellStyle name="输入 2 2 10" xfId="50205"/>
    <cellStyle name="输入 2 2 11" xfId="50206"/>
    <cellStyle name="输入 2 2 2" xfId="50207"/>
    <cellStyle name="输入 2 2 2 2" xfId="50208"/>
    <cellStyle name="输入 2 2 2 2 2" xfId="50209"/>
    <cellStyle name="输入 2 2 2 2 2 2" xfId="50210"/>
    <cellStyle name="输入 2 2 2 2 2 3" xfId="50211"/>
    <cellStyle name="输入 2 2 2 2 2 3 2" xfId="50212"/>
    <cellStyle name="输入 2 2 2 2 2 3 2 2" xfId="50213"/>
    <cellStyle name="输入 2 2 2 2 2 4" xfId="50214"/>
    <cellStyle name="输入 2 2 2 2 2 4 2" xfId="50215"/>
    <cellStyle name="输入 2 2 2 2 3" xfId="50216"/>
    <cellStyle name="输入 2 2 2 2 3 2" xfId="50217"/>
    <cellStyle name="输入 2 2 2 2 3 2 2" xfId="50218"/>
    <cellStyle name="输入 2 2 2 2 3 2 2 2" xfId="50219"/>
    <cellStyle name="输入 2 2 2 2 3 3" xfId="50220"/>
    <cellStyle name="输入 2 2 2 2 3 3 2" xfId="50221"/>
    <cellStyle name="输入 2 2 2 2 4" xfId="50222"/>
    <cellStyle name="输入 2 2 2 2 5" xfId="50223"/>
    <cellStyle name="输入 2 2 2 2 6" xfId="50224"/>
    <cellStyle name="输入 2 2 2 3" xfId="50225"/>
    <cellStyle name="输入 2 2 2 3 2" xfId="50226"/>
    <cellStyle name="输入 2 2 2 3 3" xfId="50227"/>
    <cellStyle name="输入 2 2 2 3 3 2" xfId="50228"/>
    <cellStyle name="输入 2 2 2 3 3 2 2" xfId="50229"/>
    <cellStyle name="输入 2 2 2 3 4" xfId="50230"/>
    <cellStyle name="输入 2 2 2 3 4 2" xfId="50231"/>
    <cellStyle name="输入 2 2 2 4" xfId="50232"/>
    <cellStyle name="输入 2 2 2 4 2" xfId="50233"/>
    <cellStyle name="输入 2 2 2 4 2 2" xfId="50234"/>
    <cellStyle name="输入 2 2 2 4 2 2 2" xfId="50235"/>
    <cellStyle name="输入 2 2 2 4 3" xfId="50236"/>
    <cellStyle name="输入 2 2 2 4 3 2" xfId="50237"/>
    <cellStyle name="输入 2 2 2 5" xfId="50238"/>
    <cellStyle name="输入 2 2 2 6" xfId="50239"/>
    <cellStyle name="输入 2 2 2 7" xfId="50240"/>
    <cellStyle name="输入 2 2 3" xfId="50241"/>
    <cellStyle name="输入 2 2 3 2" xfId="50242"/>
    <cellStyle name="输入 2 2 3 2 2" xfId="50243"/>
    <cellStyle name="输入 2 2 3 2 3" xfId="50244"/>
    <cellStyle name="输入 2 2 3 2 3 2" xfId="50245"/>
    <cellStyle name="输入 2 2 3 2 3 2 2" xfId="50246"/>
    <cellStyle name="输入 2 2 3 2 4" xfId="50247"/>
    <cellStyle name="输入 2 2 3 2 4 2" xfId="50248"/>
    <cellStyle name="输入 2 2 3 3" xfId="50249"/>
    <cellStyle name="输入 2 2 3 3 2" xfId="50250"/>
    <cellStyle name="输入 2 2 3 3 2 2" xfId="50251"/>
    <cellStyle name="输入 2 2 3 3 2 2 2" xfId="50252"/>
    <cellStyle name="输入 2 2 3 3 3" xfId="50253"/>
    <cellStyle name="输入 2 2 3 3 3 2" xfId="50254"/>
    <cellStyle name="输入 2 2 3 4" xfId="50255"/>
    <cellStyle name="输入 2 2 3 5" xfId="50256"/>
    <cellStyle name="输入 2 2 3 6" xfId="50257"/>
    <cellStyle name="输入 2 2 4" xfId="50258"/>
    <cellStyle name="输入 2 2 4 2" xfId="50259"/>
    <cellStyle name="输入 2 2 4 2 2" xfId="50260"/>
    <cellStyle name="输入 2 2 4 2 3" xfId="50261"/>
    <cellStyle name="输入 2 2 4 2 3 2" xfId="50262"/>
    <cellStyle name="输入 2 2 4 2 3 2 2" xfId="50263"/>
    <cellStyle name="输入 2 2 4 2 4" xfId="50264"/>
    <cellStyle name="输入 2 2 4 2 4 2" xfId="50265"/>
    <cellStyle name="输入 2 2 4 3" xfId="50266"/>
    <cellStyle name="输入 2 2 4 4" xfId="50267"/>
    <cellStyle name="输入 2 2 4 5" xfId="50268"/>
    <cellStyle name="输入 2 2 4 6" xfId="50269"/>
    <cellStyle name="输入 2 2 5" xfId="50270"/>
    <cellStyle name="输入 2 2 5 2" xfId="50271"/>
    <cellStyle name="输入 2 2 5 2 2" xfId="50272"/>
    <cellStyle name="输入 2 2 5 2 2 2" xfId="50273"/>
    <cellStyle name="输入 2 2 5 2 2 2 2" xfId="50274"/>
    <cellStyle name="输入 2 2 5 2 3" xfId="50275"/>
    <cellStyle name="输入 2 2 5 2 3 2" xfId="50276"/>
    <cellStyle name="输入 2 2 5 3" xfId="50277"/>
    <cellStyle name="输入 2 2 5 3 2" xfId="50278"/>
    <cellStyle name="输入 2 2 5 3 2 2" xfId="50279"/>
    <cellStyle name="输入 2 2 5 4" xfId="50280"/>
    <cellStyle name="输入 2 2 5 4 2" xfId="50281"/>
    <cellStyle name="输入 2 2 6" xfId="50282"/>
    <cellStyle name="输入 2 2 6 2" xfId="50283"/>
    <cellStyle name="输入 2 2 6 2 2" xfId="50284"/>
    <cellStyle name="输入 2 2 6 2 2 2" xfId="50285"/>
    <cellStyle name="输入 2 2 6 2 2 2 2" xfId="50286"/>
    <cellStyle name="输入 2 2 6 2 3" xfId="50287"/>
    <cellStyle name="输入 2 2 6 2 3 2" xfId="50288"/>
    <cellStyle name="输入 2 2 6 3" xfId="50289"/>
    <cellStyle name="输入 2 2 6 3 2" xfId="50290"/>
    <cellStyle name="输入 2 2 6 3 2 2" xfId="50291"/>
    <cellStyle name="输入 2 2 6 4" xfId="50292"/>
    <cellStyle name="输入 2 2 6 4 2" xfId="50293"/>
    <cellStyle name="输入 2 2 7" xfId="50294"/>
    <cellStyle name="输入 2 2 7 2" xfId="50295"/>
    <cellStyle name="输入 2 2 7 2 2" xfId="50296"/>
    <cellStyle name="输入 2 2 7 2 2 2" xfId="50297"/>
    <cellStyle name="输入 2 2 7 2 2 2 2" xfId="50298"/>
    <cellStyle name="输入 2 2 7 2 3" xfId="50299"/>
    <cellStyle name="输入 2 2 7 2 3 2" xfId="50300"/>
    <cellStyle name="输入 2 2 7 3" xfId="50301"/>
    <cellStyle name="输入 2 2 7 3 2" xfId="50302"/>
    <cellStyle name="输入 2 2 7 3 2 2" xfId="50303"/>
    <cellStyle name="输入 2 2 7 4" xfId="50304"/>
    <cellStyle name="输入 2 2 7 4 2" xfId="50305"/>
    <cellStyle name="输入 2 2 8" xfId="50306"/>
    <cellStyle name="输入 2 2 8 2" xfId="50307"/>
    <cellStyle name="输入 2 2 8 2 2" xfId="50308"/>
    <cellStyle name="输入 2 2 8 2 2 2" xfId="50309"/>
    <cellStyle name="输入 2 2 8 3" xfId="50310"/>
    <cellStyle name="输入 2 2 8 3 2" xfId="50311"/>
    <cellStyle name="输入 2 2 9" xfId="50312"/>
    <cellStyle name="输入 2 2 9 2" xfId="50313"/>
    <cellStyle name="输入 2 2 9 2 2" xfId="50314"/>
    <cellStyle name="输入 2 2 9 2 2 2" xfId="50315"/>
    <cellStyle name="输入 2 2 9 3" xfId="50316"/>
    <cellStyle name="输入 2 2 9 3 2" xfId="50317"/>
    <cellStyle name="输入 2 3" xfId="50318"/>
    <cellStyle name="输入 2 3 2" xfId="50319"/>
    <cellStyle name="输入 2 3 2 2" xfId="50320"/>
    <cellStyle name="输入 2 3 2 2 2" xfId="50321"/>
    <cellStyle name="输入 2 3 2 2 2 2" xfId="50322"/>
    <cellStyle name="输入 2 3 2 2 2 3" xfId="50323"/>
    <cellStyle name="输入 2 3 2 2 2 3 2" xfId="50324"/>
    <cellStyle name="输入 2 3 2 2 2 3 2 2" xfId="50325"/>
    <cellStyle name="输入 2 3 2 2 2 4" xfId="50326"/>
    <cellStyle name="输入 2 3 2 2 2 4 2" xfId="50327"/>
    <cellStyle name="输入 2 3 2 2 3" xfId="50328"/>
    <cellStyle name="输入 2 3 2 2 3 2" xfId="50329"/>
    <cellStyle name="输入 2 3 2 2 3 2 2" xfId="50330"/>
    <cellStyle name="输入 2 3 2 2 3 2 2 2" xfId="50331"/>
    <cellStyle name="输入 2 3 2 2 3 3" xfId="50332"/>
    <cellStyle name="输入 2 3 2 2 3 3 2" xfId="50333"/>
    <cellStyle name="输入 2 3 2 2 4" xfId="50334"/>
    <cellStyle name="输入 2 3 2 2 5" xfId="50335"/>
    <cellStyle name="输入 2 3 2 2 6" xfId="50336"/>
    <cellStyle name="输入 2 3 2 3" xfId="50337"/>
    <cellStyle name="输入 2 3 2 3 2" xfId="50338"/>
    <cellStyle name="输入 2 3 2 3 3" xfId="50339"/>
    <cellStyle name="输入 2 3 2 3 3 2" xfId="50340"/>
    <cellStyle name="输入 2 3 2 3 3 2 2" xfId="50341"/>
    <cellStyle name="输入 2 3 2 3 4" xfId="50342"/>
    <cellStyle name="输入 2 3 2 3 4 2" xfId="50343"/>
    <cellStyle name="输入 2 3 2 4" xfId="50344"/>
    <cellStyle name="输入 2 3 2 4 2" xfId="50345"/>
    <cellStyle name="输入 2 3 2 4 2 2" xfId="50346"/>
    <cellStyle name="输入 2 3 2 4 2 2 2" xfId="50347"/>
    <cellStyle name="输入 2 3 2 4 3" xfId="50348"/>
    <cellStyle name="输入 2 3 2 4 3 2" xfId="50349"/>
    <cellStyle name="输入 2 3 2 5" xfId="50350"/>
    <cellStyle name="输入 2 3 2 6" xfId="50351"/>
    <cellStyle name="输入 2 3 2 7" xfId="50352"/>
    <cellStyle name="输入 2 3 3" xfId="50353"/>
    <cellStyle name="输入 2 3 3 2" xfId="50354"/>
    <cellStyle name="输入 2 3 3 2 2" xfId="50355"/>
    <cellStyle name="输入 2 3 3 2 3" xfId="50356"/>
    <cellStyle name="输入 2 3 3 2 3 2" xfId="50357"/>
    <cellStyle name="输入 2 3 3 2 3 2 2" xfId="50358"/>
    <cellStyle name="输入 2 3 3 2 4" xfId="50359"/>
    <cellStyle name="输入 2 3 3 2 4 2" xfId="50360"/>
    <cellStyle name="输入 2 3 3 3" xfId="50361"/>
    <cellStyle name="输入 2 3 3 3 2" xfId="50362"/>
    <cellStyle name="输入 2 3 3 3 2 2" xfId="50363"/>
    <cellStyle name="输入 2 3 3 3 2 2 2" xfId="50364"/>
    <cellStyle name="输入 2 3 3 3 3" xfId="50365"/>
    <cellStyle name="输入 2 3 3 3 3 2" xfId="50366"/>
    <cellStyle name="输入 2 3 3 4" xfId="50367"/>
    <cellStyle name="输入 2 3 3 5" xfId="50368"/>
    <cellStyle name="输入 2 3 3 6" xfId="50369"/>
    <cellStyle name="输入 2 3 4" xfId="50370"/>
    <cellStyle name="输入 2 3 4 2" xfId="50371"/>
    <cellStyle name="输入 2 3 4 2 2" xfId="50372"/>
    <cellStyle name="输入 2 3 4 2 3" xfId="50373"/>
    <cellStyle name="输入 2 3 4 2 3 2" xfId="50374"/>
    <cellStyle name="输入 2 3 4 2 3 2 2" xfId="50375"/>
    <cellStyle name="输入 2 3 4 2 4" xfId="50376"/>
    <cellStyle name="输入 2 3 4 2 4 2" xfId="50377"/>
    <cellStyle name="输入 2 3 4 3" xfId="50378"/>
    <cellStyle name="输入 2 3 4 4" xfId="50379"/>
    <cellStyle name="输入 2 3 4 5" xfId="50380"/>
    <cellStyle name="输入 2 3 4 6" xfId="50381"/>
    <cellStyle name="输入 2 3 5" xfId="50382"/>
    <cellStyle name="输入 2 3 5 2" xfId="50383"/>
    <cellStyle name="输入 2 3 5 2 2" xfId="50384"/>
    <cellStyle name="输入 2 3 5 2 2 2" xfId="50385"/>
    <cellStyle name="输入 2 3 5 2 2 2 2" xfId="50386"/>
    <cellStyle name="输入 2 3 5 2 3" xfId="50387"/>
    <cellStyle name="输入 2 3 5 2 3 2" xfId="50388"/>
    <cellStyle name="输入 2 3 5 3" xfId="50389"/>
    <cellStyle name="输入 2 3 5 3 2" xfId="50390"/>
    <cellStyle name="输入 2 3 5 3 2 2" xfId="50391"/>
    <cellStyle name="输入 2 3 5 4" xfId="50392"/>
    <cellStyle name="输入 2 3 5 4 2" xfId="50393"/>
    <cellStyle name="输入 2 3 6" xfId="50394"/>
    <cellStyle name="输入 2 3 6 2" xfId="50395"/>
    <cellStyle name="输入 2 3 6 2 2" xfId="50396"/>
    <cellStyle name="输入 2 3 6 2 2 2" xfId="50397"/>
    <cellStyle name="输入 2 3 6 3" xfId="50398"/>
    <cellStyle name="输入 2 3 6 3 2" xfId="50399"/>
    <cellStyle name="输入 2 3 7" xfId="50400"/>
    <cellStyle name="输入 2 3 7 2" xfId="50401"/>
    <cellStyle name="输入 2 3 7 2 2" xfId="50402"/>
    <cellStyle name="输入 2 3 7 2 2 2" xfId="50403"/>
    <cellStyle name="输入 2 3 7 3" xfId="50404"/>
    <cellStyle name="输入 2 3 7 3 2" xfId="50405"/>
    <cellStyle name="输入 2 3 8" xfId="50406"/>
    <cellStyle name="输入 2 3 9" xfId="50407"/>
    <cellStyle name="输入 2 4" xfId="50408"/>
    <cellStyle name="输入 2 4 2" xfId="50409"/>
    <cellStyle name="输入 2 4 2 2" xfId="50410"/>
    <cellStyle name="输入 2 4 2 3" xfId="50411"/>
    <cellStyle name="输入 2 4 2 3 2" xfId="50412"/>
    <cellStyle name="输入 2 4 2 3 2 2" xfId="50413"/>
    <cellStyle name="输入 2 4 2 4" xfId="50414"/>
    <cellStyle name="输入 2 4 2 4 2" xfId="50415"/>
    <cellStyle name="输入 2 4 3" xfId="50416"/>
    <cellStyle name="输入 2 4 3 2" xfId="50417"/>
    <cellStyle name="输入 2 4 3 2 2" xfId="50418"/>
    <cellStyle name="输入 2 4 3 2 2 2" xfId="50419"/>
    <cellStyle name="输入 2 4 3 3" xfId="50420"/>
    <cellStyle name="输入 2 4 3 3 2" xfId="50421"/>
    <cellStyle name="输入 2 4 4" xfId="50422"/>
    <cellStyle name="输入 2 4 5" xfId="50423"/>
    <cellStyle name="输入 2 4 6" xfId="50424"/>
    <cellStyle name="输入 2 5" xfId="50425"/>
    <cellStyle name="输入 2 5 2" xfId="50426"/>
    <cellStyle name="输入 2 5 2 2" xfId="50427"/>
    <cellStyle name="输入 2 5 2 3" xfId="50428"/>
    <cellStyle name="输入 2 5 2 3 2" xfId="50429"/>
    <cellStyle name="输入 2 5 2 3 2 2" xfId="50430"/>
    <cellStyle name="输入 2 5 2 4" xfId="50431"/>
    <cellStyle name="输入 2 5 2 4 2" xfId="50432"/>
    <cellStyle name="输入 2 5 3" xfId="50433"/>
    <cellStyle name="输入 2 5 4" xfId="50434"/>
    <cellStyle name="输入 2 5 5" xfId="50435"/>
    <cellStyle name="输入 2 5 6" xfId="50436"/>
    <cellStyle name="输入 2 6" xfId="50437"/>
    <cellStyle name="输入 2 6 2" xfId="50438"/>
    <cellStyle name="输入 2 6 2 2" xfId="50439"/>
    <cellStyle name="输入 2 6 2 2 2" xfId="50440"/>
    <cellStyle name="输入 2 6 2 2 2 2" xfId="50441"/>
    <cellStyle name="输入 2 6 2 3" xfId="50442"/>
    <cellStyle name="输入 2 6 2 3 2" xfId="50443"/>
    <cellStyle name="输入 2 6 3" xfId="50444"/>
    <cellStyle name="输入 2 6 3 2" xfId="50445"/>
    <cellStyle name="输入 2 6 3 2 2" xfId="50446"/>
    <cellStyle name="输入 2 6 4" xfId="50447"/>
    <cellStyle name="输入 2 6 4 2" xfId="50448"/>
    <cellStyle name="输入 2 7" xfId="50449"/>
    <cellStyle name="输入 2 7 2" xfId="50450"/>
    <cellStyle name="输入 2 7 2 2" xfId="50451"/>
    <cellStyle name="输入 2 7 2 2 2" xfId="50452"/>
    <cellStyle name="输入 2 7 2 2 2 2" xfId="50453"/>
    <cellStyle name="输入 2 7 2 3" xfId="50454"/>
    <cellStyle name="输入 2 7 2 3 2" xfId="50455"/>
    <cellStyle name="输入 2 7 3" xfId="50456"/>
    <cellStyle name="输入 2 7 3 2" xfId="50457"/>
    <cellStyle name="输入 2 7 3 2 2" xfId="50458"/>
    <cellStyle name="输入 2 7 4" xfId="50459"/>
    <cellStyle name="输入 2 7 4 2" xfId="50460"/>
    <cellStyle name="输入 2 8" xfId="50461"/>
    <cellStyle name="输入 2 8 2" xfId="50462"/>
    <cellStyle name="输入 2 8 2 2" xfId="50463"/>
    <cellStyle name="输入 2 8 2 2 2" xfId="50464"/>
    <cellStyle name="输入 2 8 2 2 2 2" xfId="50465"/>
    <cellStyle name="输入 2 8 2 3" xfId="50466"/>
    <cellStyle name="输入 2 8 2 3 2" xfId="50467"/>
    <cellStyle name="输入 2 8 3" xfId="50468"/>
    <cellStyle name="输入 2 8 3 2" xfId="50469"/>
    <cellStyle name="输入 2 8 3 2 2" xfId="50470"/>
    <cellStyle name="输入 2 8 4" xfId="50471"/>
    <cellStyle name="输入 2 8 4 2" xfId="50472"/>
    <cellStyle name="输入 2 9" xfId="50473"/>
    <cellStyle name="输入 2 9 2" xfId="50474"/>
    <cellStyle name="输入 2 9 2 2" xfId="50475"/>
    <cellStyle name="输入 2 9 2 2 2" xfId="50476"/>
    <cellStyle name="输入 2 9 3" xfId="50477"/>
    <cellStyle name="输入 2 9 3 2" xfId="50478"/>
    <cellStyle name="输入 3" xfId="50479"/>
    <cellStyle name="输入 3 2" xfId="50480"/>
    <cellStyle name="输入 3 2 2" xfId="50481"/>
    <cellStyle name="输入 3 2 2 2" xfId="50482"/>
    <cellStyle name="输入 3 2 2 2 2" xfId="50483"/>
    <cellStyle name="输入 3 2 2 2 3" xfId="50484"/>
    <cellStyle name="输入 3 2 2 2 3 2" xfId="50485"/>
    <cellStyle name="输入 3 2 2 2 3 2 2" xfId="50486"/>
    <cellStyle name="输入 3 2 2 2 4" xfId="50487"/>
    <cellStyle name="输入 3 2 2 2 4 2" xfId="50488"/>
    <cellStyle name="输入 3 2 2 3" xfId="50489"/>
    <cellStyle name="输入 3 2 2 3 2" xfId="50490"/>
    <cellStyle name="输入 3 2 2 3 2 2" xfId="50491"/>
    <cellStyle name="输入 3 2 2 3 2 2 2" xfId="50492"/>
    <cellStyle name="输入 3 2 2 3 3" xfId="50493"/>
    <cellStyle name="输入 3 2 2 3 3 2" xfId="50494"/>
    <cellStyle name="输入 3 2 2 4" xfId="50495"/>
    <cellStyle name="输入 3 2 2 5" xfId="50496"/>
    <cellStyle name="输入 3 2 2 6" xfId="50497"/>
    <cellStyle name="输入 3 2 3" xfId="50498"/>
    <cellStyle name="输入 3 2 3 2" xfId="50499"/>
    <cellStyle name="输入 3 2 3 3" xfId="50500"/>
    <cellStyle name="输入 3 2 3 3 2" xfId="50501"/>
    <cellStyle name="输入 3 2 3 3 2 2" xfId="50502"/>
    <cellStyle name="输入 3 2 3 4" xfId="50503"/>
    <cellStyle name="输入 3 2 3 4 2" xfId="50504"/>
    <cellStyle name="输入 3 2 4" xfId="50505"/>
    <cellStyle name="输入 3 2 4 2" xfId="50506"/>
    <cellStyle name="输入 3 2 4 2 2" xfId="50507"/>
    <cellStyle name="输入 3 2 4 2 2 2" xfId="50508"/>
    <cellStyle name="输入 3 2 4 3" xfId="50509"/>
    <cellStyle name="输入 3 2 4 3 2" xfId="50510"/>
    <cellStyle name="输入 3 2 5" xfId="50511"/>
    <cellStyle name="输入 3 2 6" xfId="50512"/>
    <cellStyle name="输入 3 2 7" xfId="50513"/>
    <cellStyle name="输入 3 3" xfId="50514"/>
    <cellStyle name="输入 3 3 2" xfId="50515"/>
    <cellStyle name="输入 3 3 2 2" xfId="50516"/>
    <cellStyle name="输入 3 3 2 3" xfId="50517"/>
    <cellStyle name="输入 3 3 2 3 2" xfId="50518"/>
    <cellStyle name="输入 3 3 2 3 2 2" xfId="50519"/>
    <cellStyle name="输入 3 3 2 4" xfId="50520"/>
    <cellStyle name="输入 3 3 2 4 2" xfId="50521"/>
    <cellStyle name="输入 3 3 3" xfId="50522"/>
    <cellStyle name="输入 3 3 3 2" xfId="50523"/>
    <cellStyle name="输入 3 3 3 2 2" xfId="50524"/>
    <cellStyle name="输入 3 3 3 2 2 2" xfId="50525"/>
    <cellStyle name="输入 3 3 3 3" xfId="50526"/>
    <cellStyle name="输入 3 3 3 3 2" xfId="50527"/>
    <cellStyle name="输入 3 3 4" xfId="50528"/>
    <cellStyle name="输入 3 3 5" xfId="50529"/>
    <cellStyle name="输入 3 3 6" xfId="50530"/>
    <cellStyle name="输入 3 4" xfId="50531"/>
    <cellStyle name="输入 3 4 2" xfId="50532"/>
    <cellStyle name="输入 3 4 2 2" xfId="50533"/>
    <cellStyle name="输入 3 4 2 3" xfId="50534"/>
    <cellStyle name="输入 3 4 2 3 2" xfId="50535"/>
    <cellStyle name="输入 3 4 2 3 2 2" xfId="50536"/>
    <cellStyle name="输入 3 4 2 4" xfId="50537"/>
    <cellStyle name="输入 3 4 2 4 2" xfId="50538"/>
    <cellStyle name="输入 3 4 3" xfId="50539"/>
    <cellStyle name="输入 3 4 4" xfId="50540"/>
    <cellStyle name="输入 3 4 5" xfId="50541"/>
    <cellStyle name="输入 3 4 6" xfId="50542"/>
    <cellStyle name="输入 3 5" xfId="50543"/>
    <cellStyle name="输入 3 5 2" xfId="50544"/>
    <cellStyle name="输入 3 5 2 2" xfId="50545"/>
    <cellStyle name="输入 3 5 2 2 2" xfId="50546"/>
    <cellStyle name="输入 3 5 2 2 2 2" xfId="50547"/>
    <cellStyle name="输入 3 5 2 3" xfId="50548"/>
    <cellStyle name="输入 3 5 2 3 2" xfId="50549"/>
    <cellStyle name="输入 3 5 3" xfId="50550"/>
    <cellStyle name="输入 3 5 3 2" xfId="50551"/>
    <cellStyle name="输入 3 5 3 2 2" xfId="50552"/>
    <cellStyle name="输入 3 5 4" xfId="50553"/>
    <cellStyle name="输入 3 5 4 2" xfId="50554"/>
    <cellStyle name="输入 3 6" xfId="50555"/>
    <cellStyle name="输入 3 6 2" xfId="50556"/>
    <cellStyle name="输入 3 6 2 2" xfId="50557"/>
    <cellStyle name="输入 3 6 2 2 2" xfId="50558"/>
    <cellStyle name="输入 3 6 3" xfId="50559"/>
    <cellStyle name="输入 3 6 3 2" xfId="50560"/>
    <cellStyle name="输入 3 7" xfId="50561"/>
    <cellStyle name="输入 3 8" xfId="50562"/>
    <cellStyle name="输出 2" xfId="50563"/>
    <cellStyle name="输出 2 10" xfId="50564"/>
    <cellStyle name="输出 2 11" xfId="50565"/>
    <cellStyle name="输出 2 2" xfId="50566"/>
    <cellStyle name="输出 2 2 10" xfId="50567"/>
    <cellStyle name="输出 2 2 11" xfId="50568"/>
    <cellStyle name="输出 2 2 2" xfId="50569"/>
    <cellStyle name="输出 2 2 2 2" xfId="50570"/>
    <cellStyle name="输出 2 2 2 2 2" xfId="50571"/>
    <cellStyle name="输出 2 2 2 2 2 2" xfId="50572"/>
    <cellStyle name="输出 2 2 2 2 2 3" xfId="50573"/>
    <cellStyle name="输出 2 2 2 2 2 3 2" xfId="50574"/>
    <cellStyle name="输出 2 2 2 2 2 3 2 2" xfId="50575"/>
    <cellStyle name="输出 2 2 2 2 2 4" xfId="50576"/>
    <cellStyle name="输出 2 2 2 2 2 4 2" xfId="50577"/>
    <cellStyle name="输出 2 2 2 2 3" xfId="50578"/>
    <cellStyle name="输出 2 2 2 2 3 2" xfId="50579"/>
    <cellStyle name="输出 2 2 2 2 3 2 2" xfId="50580"/>
    <cellStyle name="输出 2 2 2 2 3 2 2 2" xfId="50581"/>
    <cellStyle name="输出 2 2 2 2 3 3" xfId="50582"/>
    <cellStyle name="输出 2 2 2 2 3 3 2" xfId="50583"/>
    <cellStyle name="输出 2 2 2 2 4" xfId="50584"/>
    <cellStyle name="输出 2 2 2 2 5" xfId="50585"/>
    <cellStyle name="输出 2 2 2 2 6" xfId="50586"/>
    <cellStyle name="输出 2 2 2 3" xfId="50587"/>
    <cellStyle name="输出 2 2 2 3 2" xfId="50588"/>
    <cellStyle name="输出 2 2 2 3 3" xfId="50589"/>
    <cellStyle name="输出 2 2 2 3 3 2" xfId="50590"/>
    <cellStyle name="输出 2 2 2 3 3 2 2" xfId="50591"/>
    <cellStyle name="输出 2 2 2 3 4" xfId="50592"/>
    <cellStyle name="输出 2 2 2 3 4 2" xfId="50593"/>
    <cellStyle name="输出 2 2 2 4" xfId="50594"/>
    <cellStyle name="输出 2 2 2 4 2" xfId="50595"/>
    <cellStyle name="输出 2 2 2 4 2 2" xfId="50596"/>
    <cellStyle name="输出 2 2 2 4 2 2 2" xfId="50597"/>
    <cellStyle name="输出 2 2 2 4 3" xfId="50598"/>
    <cellStyle name="输出 2 2 2 4 3 2" xfId="50599"/>
    <cellStyle name="输出 2 2 2 5" xfId="50600"/>
    <cellStyle name="输出 2 2 2 6" xfId="50601"/>
    <cellStyle name="输出 2 2 2 7" xfId="50602"/>
    <cellStyle name="输出 2 2 3" xfId="50603"/>
    <cellStyle name="输出 2 2 3 2" xfId="50604"/>
    <cellStyle name="输出 2 2 3 2 2" xfId="50605"/>
    <cellStyle name="输出 2 2 3 2 3" xfId="50606"/>
    <cellStyle name="输出 2 2 3 2 3 2" xfId="50607"/>
    <cellStyle name="输出 2 2 3 2 3 2 2" xfId="50608"/>
    <cellStyle name="输出 2 2 3 2 4" xfId="50609"/>
    <cellStyle name="输出 2 2 3 2 4 2" xfId="50610"/>
    <cellStyle name="输出 2 2 3 3" xfId="50611"/>
    <cellStyle name="输出 2 2 3 3 2" xfId="50612"/>
    <cellStyle name="输出 2 2 3 3 2 2" xfId="50613"/>
    <cellStyle name="输出 2 2 3 3 2 2 2" xfId="50614"/>
    <cellStyle name="输出 2 2 3 3 3" xfId="50615"/>
    <cellStyle name="输出 2 2 3 3 3 2" xfId="50616"/>
    <cellStyle name="输出 2 2 3 4" xfId="50617"/>
    <cellStyle name="输出 2 2 3 5" xfId="50618"/>
    <cellStyle name="输出 2 2 3 6" xfId="50619"/>
    <cellStyle name="输出 2 2 4" xfId="50620"/>
    <cellStyle name="输出 2 2 4 2" xfId="50621"/>
    <cellStyle name="输出 2 2 4 2 2" xfId="50622"/>
    <cellStyle name="输出 2 2 4 2 3" xfId="50623"/>
    <cellStyle name="输出 2 2 4 2 3 2" xfId="50624"/>
    <cellStyle name="输出 2 2 4 2 3 2 2" xfId="50625"/>
    <cellStyle name="输出 2 2 4 2 4" xfId="50626"/>
    <cellStyle name="输出 2 2 4 2 4 2" xfId="50627"/>
    <cellStyle name="输出 2 2 4 3" xfId="50628"/>
    <cellStyle name="输出 2 2 4 4" xfId="50629"/>
    <cellStyle name="输出 2 2 4 5" xfId="50630"/>
    <cellStyle name="输出 2 2 4 6" xfId="50631"/>
    <cellStyle name="输出 2 2 5" xfId="50632"/>
    <cellStyle name="输出 2 2 5 2" xfId="50633"/>
    <cellStyle name="输出 2 2 5 2 2" xfId="50634"/>
    <cellStyle name="输出 2 2 5 2 2 2" xfId="50635"/>
    <cellStyle name="输出 2 2 5 2 2 2 2" xfId="50636"/>
    <cellStyle name="输出 2 2 5 2 3" xfId="50637"/>
    <cellStyle name="输出 2 2 5 2 3 2" xfId="50638"/>
    <cellStyle name="输出 2 2 5 3" xfId="50639"/>
    <cellStyle name="输出 2 2 5 3 2" xfId="50640"/>
    <cellStyle name="输出 2 2 5 3 2 2" xfId="50641"/>
    <cellStyle name="输出 2 2 5 4" xfId="50642"/>
    <cellStyle name="输出 2 2 5 4 2" xfId="50643"/>
    <cellStyle name="输出 2 2 6" xfId="50644"/>
    <cellStyle name="输出 2 2 6 2" xfId="50645"/>
    <cellStyle name="输出 2 2 6 2 2" xfId="50646"/>
    <cellStyle name="输出 2 2 6 2 2 2" xfId="50647"/>
    <cellStyle name="输出 2 2 6 2 2 2 2" xfId="50648"/>
    <cellStyle name="输出 2 2 6 2 3" xfId="50649"/>
    <cellStyle name="输出 2 2 6 2 3 2" xfId="50650"/>
    <cellStyle name="输出 2 2 6 3" xfId="50651"/>
    <cellStyle name="输出 2 2 6 3 2" xfId="50652"/>
    <cellStyle name="输出 2 2 6 3 2 2" xfId="50653"/>
    <cellStyle name="输出 2 2 6 4" xfId="50654"/>
    <cellStyle name="输出 2 2 6 4 2" xfId="50655"/>
    <cellStyle name="输出 2 2 7" xfId="50656"/>
    <cellStyle name="输出 2 2 7 2" xfId="50657"/>
    <cellStyle name="输出 2 2 7 2 2" xfId="50658"/>
    <cellStyle name="输出 2 2 7 2 2 2" xfId="50659"/>
    <cellStyle name="输出 2 2 7 2 2 2 2" xfId="50660"/>
    <cellStyle name="输出 2 2 7 2 3" xfId="50661"/>
    <cellStyle name="输出 2 2 7 2 3 2" xfId="50662"/>
    <cellStyle name="输出 2 2 7 3" xfId="50663"/>
    <cellStyle name="输出 2 2 7 3 2" xfId="50664"/>
    <cellStyle name="输出 2 2 7 3 2 2" xfId="50665"/>
    <cellStyle name="输出 2 2 7 4" xfId="50666"/>
    <cellStyle name="输出 2 2 7 4 2" xfId="50667"/>
    <cellStyle name="输出 2 2 8" xfId="50668"/>
    <cellStyle name="输出 2 2 8 2" xfId="50669"/>
    <cellStyle name="输出 2 2 8 2 2" xfId="50670"/>
    <cellStyle name="输出 2 2 8 2 2 2" xfId="50671"/>
    <cellStyle name="输出 2 2 8 3" xfId="50672"/>
    <cellStyle name="输出 2 2 8 3 2" xfId="50673"/>
    <cellStyle name="输出 2 2 9" xfId="50674"/>
    <cellStyle name="输出 2 2 9 2" xfId="50675"/>
    <cellStyle name="输出 2 2 9 2 2" xfId="50676"/>
    <cellStyle name="输出 2 2 9 2 2 2" xfId="50677"/>
    <cellStyle name="输出 2 2 9 3" xfId="50678"/>
    <cellStyle name="输出 2 2 9 3 2" xfId="50679"/>
    <cellStyle name="输出 2 3" xfId="50680"/>
    <cellStyle name="输出 2 3 2" xfId="50681"/>
    <cellStyle name="输出 2 3 2 2" xfId="50682"/>
    <cellStyle name="输出 2 3 2 2 2" xfId="50683"/>
    <cellStyle name="输出 2 3 2 2 2 2" xfId="50684"/>
    <cellStyle name="输出 2 3 2 2 2 3" xfId="50685"/>
    <cellStyle name="输出 2 3 2 2 2 3 2" xfId="50686"/>
    <cellStyle name="输出 2 3 2 2 2 3 2 2" xfId="50687"/>
    <cellStyle name="输出 2 3 2 2 2 4" xfId="50688"/>
    <cellStyle name="输出 2 3 2 2 2 4 2" xfId="50689"/>
    <cellStyle name="输出 2 3 2 2 3" xfId="50690"/>
    <cellStyle name="输出 2 3 2 2 3 2" xfId="50691"/>
    <cellStyle name="输出 2 3 2 2 3 2 2" xfId="50692"/>
    <cellStyle name="输出 2 3 2 2 3 2 2 2" xfId="50693"/>
    <cellStyle name="输出 2 3 2 2 3 3" xfId="50694"/>
    <cellStyle name="输出 2 3 2 2 3 3 2" xfId="50695"/>
    <cellStyle name="输出 2 3 2 2 4" xfId="50696"/>
    <cellStyle name="输出 2 3 2 2 5" xfId="50697"/>
    <cellStyle name="输出 2 3 2 2 6" xfId="50698"/>
    <cellStyle name="输出 2 3 2 3" xfId="50699"/>
    <cellStyle name="输出 2 3 2 3 2" xfId="50700"/>
    <cellStyle name="输出 2 3 2 3 3" xfId="50701"/>
    <cellStyle name="输出 2 3 2 3 3 2" xfId="50702"/>
    <cellStyle name="输出 2 3 2 3 3 2 2" xfId="50703"/>
    <cellStyle name="输出 2 3 2 3 4" xfId="50704"/>
    <cellStyle name="输出 2 3 2 3 4 2" xfId="50705"/>
    <cellStyle name="输出 2 3 2 4" xfId="50706"/>
    <cellStyle name="输出 2 3 2 4 2" xfId="50707"/>
    <cellStyle name="输出 2 3 2 4 2 2" xfId="50708"/>
    <cellStyle name="输出 2 3 2 4 2 2 2" xfId="50709"/>
    <cellStyle name="输出 2 3 2 4 3" xfId="50710"/>
    <cellStyle name="输出 2 3 2 4 3 2" xfId="50711"/>
    <cellStyle name="输出 2 3 2 5" xfId="50712"/>
    <cellStyle name="输出 2 3 2 6" xfId="50713"/>
    <cellStyle name="输出 2 3 2 7" xfId="50714"/>
    <cellStyle name="输出 2 3 3" xfId="50715"/>
    <cellStyle name="输出 2 3 3 2" xfId="50716"/>
    <cellStyle name="输出 2 3 3 2 2" xfId="50717"/>
    <cellStyle name="输出 2 3 3 2 3" xfId="50718"/>
    <cellStyle name="输出 2 3 3 2 3 2" xfId="50719"/>
    <cellStyle name="输出 2 3 3 2 3 2 2" xfId="50720"/>
    <cellStyle name="输出 2 3 3 2 4" xfId="50721"/>
    <cellStyle name="输出 2 3 3 2 4 2" xfId="50722"/>
    <cellStyle name="输出 2 3 3 3" xfId="50723"/>
    <cellStyle name="输出 2 3 3 3 2" xfId="50724"/>
    <cellStyle name="输出 2 3 3 3 2 2" xfId="50725"/>
    <cellStyle name="输出 2 3 3 3 2 2 2" xfId="50726"/>
    <cellStyle name="输出 2 3 3 3 3" xfId="50727"/>
    <cellStyle name="输出 2 3 3 3 3 2" xfId="50728"/>
    <cellStyle name="输出 2 3 3 4" xfId="50729"/>
    <cellStyle name="输出 2 3 3 5" xfId="50730"/>
    <cellStyle name="输出 2 3 3 6" xfId="50731"/>
    <cellStyle name="输出 2 3 4" xfId="50732"/>
    <cellStyle name="输出 2 3 4 2" xfId="50733"/>
    <cellStyle name="输出 2 3 4 2 2" xfId="50734"/>
    <cellStyle name="输出 2 3 4 2 3" xfId="50735"/>
    <cellStyle name="输出 2 3 4 2 3 2" xfId="50736"/>
    <cellStyle name="输出 2 3 4 2 3 2 2" xfId="50737"/>
    <cellStyle name="输出 2 3 4 2 4" xfId="50738"/>
    <cellStyle name="输出 2 3 4 2 4 2" xfId="50739"/>
    <cellStyle name="输出 2 3 4 3" xfId="50740"/>
    <cellStyle name="输出 2 3 4 4" xfId="50741"/>
    <cellStyle name="输出 2 3 4 5" xfId="50742"/>
    <cellStyle name="输出 2 3 4 6" xfId="50743"/>
    <cellStyle name="输出 2 3 5" xfId="50744"/>
    <cellStyle name="输出 2 3 5 2" xfId="50745"/>
    <cellStyle name="输出 2 3 5 2 2" xfId="50746"/>
    <cellStyle name="输出 2 3 5 2 2 2" xfId="50747"/>
    <cellStyle name="输出 2 3 5 2 2 2 2" xfId="50748"/>
    <cellStyle name="输出 2 3 5 2 3" xfId="50749"/>
    <cellStyle name="输出 2 3 5 2 3 2" xfId="50750"/>
    <cellStyle name="输出 2 3 5 3" xfId="50751"/>
    <cellStyle name="输出 2 3 5 3 2" xfId="50752"/>
    <cellStyle name="输出 2 3 5 3 2 2" xfId="50753"/>
    <cellStyle name="输出 2 3 5 4" xfId="50754"/>
    <cellStyle name="输出 2 3 5 4 2" xfId="50755"/>
    <cellStyle name="输出 2 3 6" xfId="50756"/>
    <cellStyle name="输出 2 3 6 2" xfId="50757"/>
    <cellStyle name="输出 2 3 6 2 2" xfId="50758"/>
    <cellStyle name="输出 2 3 6 2 2 2" xfId="50759"/>
    <cellStyle name="输出 2 3 6 3" xfId="50760"/>
    <cellStyle name="输出 2 3 6 3 2" xfId="50761"/>
    <cellStyle name="输出 2 3 7" xfId="50762"/>
    <cellStyle name="输出 2 3 7 2" xfId="50763"/>
    <cellStyle name="输出 2 3 7 2 2" xfId="50764"/>
    <cellStyle name="输出 2 3 7 2 2 2" xfId="50765"/>
    <cellStyle name="输出 2 3 7 3" xfId="50766"/>
    <cellStyle name="输出 2 3 7 3 2" xfId="50767"/>
    <cellStyle name="输出 2 3 8" xfId="50768"/>
    <cellStyle name="输出 2 3 9" xfId="50769"/>
    <cellStyle name="输出 2 4" xfId="50770"/>
    <cellStyle name="输出 2 4 2" xfId="50771"/>
    <cellStyle name="输出 2 4 2 2" xfId="50772"/>
    <cellStyle name="输出 2 4 2 3" xfId="50773"/>
    <cellStyle name="输出 2 4 2 3 2" xfId="50774"/>
    <cellStyle name="输出 2 4 2 3 2 2" xfId="50775"/>
    <cellStyle name="输出 2 4 2 4" xfId="50776"/>
    <cellStyle name="输出 2 4 2 4 2" xfId="50777"/>
    <cellStyle name="输出 2 4 3" xfId="50778"/>
    <cellStyle name="输出 2 4 3 2" xfId="50779"/>
    <cellStyle name="输出 2 4 3 2 2" xfId="50780"/>
    <cellStyle name="输出 2 4 3 2 2 2" xfId="50781"/>
    <cellStyle name="输出 2 4 3 3" xfId="50782"/>
    <cellStyle name="输出 2 4 3 3 2" xfId="50783"/>
    <cellStyle name="输出 2 4 4" xfId="50784"/>
    <cellStyle name="输出 2 4 5" xfId="50785"/>
    <cellStyle name="输出 2 4 6" xfId="50786"/>
    <cellStyle name="输出 2 5" xfId="50787"/>
    <cellStyle name="输出 2 5 2" xfId="50788"/>
    <cellStyle name="输出 2 5 2 2" xfId="50789"/>
    <cellStyle name="输出 2 5 2 3" xfId="50790"/>
    <cellStyle name="输出 2 5 2 3 2" xfId="50791"/>
    <cellStyle name="输出 2 5 2 3 2 2" xfId="50792"/>
    <cellStyle name="输出 2 5 2 4" xfId="50793"/>
    <cellStyle name="输出 2 5 2 4 2" xfId="50794"/>
    <cellStyle name="输出 2 5 3" xfId="50795"/>
    <cellStyle name="输出 2 5 4" xfId="50796"/>
    <cellStyle name="输出 2 5 5" xfId="50797"/>
    <cellStyle name="输出 2 5 6" xfId="50798"/>
    <cellStyle name="输出 2 6" xfId="50799"/>
    <cellStyle name="输出 2 6 2" xfId="50800"/>
    <cellStyle name="输出 2 6 2 2" xfId="50801"/>
    <cellStyle name="输出 2 6 2 2 2" xfId="50802"/>
    <cellStyle name="输出 2 6 2 2 2 2" xfId="50803"/>
    <cellStyle name="输出 2 6 2 3" xfId="50804"/>
    <cellStyle name="输出 2 6 2 3 2" xfId="50805"/>
    <cellStyle name="输出 2 6 3" xfId="50806"/>
    <cellStyle name="输出 2 6 3 2" xfId="50807"/>
    <cellStyle name="输出 2 6 3 2 2" xfId="50808"/>
    <cellStyle name="输出 2 6 4" xfId="50809"/>
    <cellStyle name="输出 2 6 4 2" xfId="50810"/>
    <cellStyle name="输出 2 7" xfId="50811"/>
    <cellStyle name="输出 2 7 2" xfId="50812"/>
    <cellStyle name="输出 2 7 2 2" xfId="50813"/>
    <cellStyle name="输出 2 7 2 2 2" xfId="50814"/>
    <cellStyle name="输出 2 7 2 2 2 2" xfId="50815"/>
    <cellStyle name="输出 2 7 2 3" xfId="50816"/>
    <cellStyle name="输出 2 7 2 3 2" xfId="50817"/>
    <cellStyle name="输出 2 7 3" xfId="50818"/>
    <cellStyle name="输出 2 7 3 2" xfId="50819"/>
    <cellStyle name="输出 2 7 3 2 2" xfId="50820"/>
    <cellStyle name="输出 2 7 4" xfId="50821"/>
    <cellStyle name="输出 2 7 4 2" xfId="50822"/>
    <cellStyle name="输出 2 8" xfId="50823"/>
    <cellStyle name="输出 2 8 2" xfId="50824"/>
    <cellStyle name="输出 2 8 2 2" xfId="50825"/>
    <cellStyle name="输出 2 8 2 2 2" xfId="50826"/>
    <cellStyle name="输出 2 8 2 2 2 2" xfId="50827"/>
    <cellStyle name="输出 2 8 2 3" xfId="50828"/>
    <cellStyle name="输出 2 8 2 3 2" xfId="50829"/>
    <cellStyle name="输出 2 8 3" xfId="50830"/>
    <cellStyle name="输出 2 8 3 2" xfId="50831"/>
    <cellStyle name="输出 2 8 3 2 2" xfId="50832"/>
    <cellStyle name="输出 2 8 4" xfId="50833"/>
    <cellStyle name="输出 2 8 4 2" xfId="50834"/>
    <cellStyle name="输出 2 9" xfId="50835"/>
    <cellStyle name="输出 2 9 2" xfId="50836"/>
    <cellStyle name="输出 2 9 2 2" xfId="50837"/>
    <cellStyle name="输出 2 9 2 2 2" xfId="50838"/>
    <cellStyle name="输出 2 9 3" xfId="50839"/>
    <cellStyle name="输出 2 9 3 2" xfId="50840"/>
    <cellStyle name="输出 3" xfId="50841"/>
    <cellStyle name="输出 3 2" xfId="50842"/>
    <cellStyle name="输出 3 2 2" xfId="50843"/>
    <cellStyle name="输出 3 2 2 2" xfId="50844"/>
    <cellStyle name="输出 3 2 2 2 2" xfId="50845"/>
    <cellStyle name="输出 3 2 2 2 3" xfId="50846"/>
    <cellStyle name="输出 3 2 2 2 3 2" xfId="50847"/>
    <cellStyle name="输出 3 2 2 2 3 2 2" xfId="50848"/>
    <cellStyle name="输出 3 2 2 2 4" xfId="50849"/>
    <cellStyle name="输出 3 2 2 2 4 2" xfId="50850"/>
    <cellStyle name="输出 3 2 2 3" xfId="50851"/>
    <cellStyle name="输出 3 2 2 3 2" xfId="50852"/>
    <cellStyle name="输出 3 2 2 3 2 2" xfId="50853"/>
    <cellStyle name="输出 3 2 2 3 2 2 2" xfId="50854"/>
    <cellStyle name="输出 3 2 2 3 3" xfId="50855"/>
    <cellStyle name="输出 3 2 2 3 3 2" xfId="50856"/>
    <cellStyle name="输出 3 2 2 4" xfId="50857"/>
    <cellStyle name="输出 3 2 2 5" xfId="50858"/>
    <cellStyle name="输出 3 2 2 6" xfId="50859"/>
    <cellStyle name="输出 3 2 3" xfId="50860"/>
    <cellStyle name="输出 3 2 3 2" xfId="50861"/>
    <cellStyle name="输出 3 2 3 3" xfId="50862"/>
    <cellStyle name="输出 3 2 3 3 2" xfId="50863"/>
    <cellStyle name="输出 3 2 3 3 2 2" xfId="50864"/>
    <cellStyle name="输出 3 2 3 4" xfId="50865"/>
    <cellStyle name="输出 3 2 3 4 2" xfId="50866"/>
    <cellStyle name="输出 3 2 4" xfId="50867"/>
    <cellStyle name="输出 3 2 4 2" xfId="50868"/>
    <cellStyle name="输出 3 2 4 2 2" xfId="50869"/>
    <cellStyle name="输出 3 2 4 2 2 2" xfId="50870"/>
    <cellStyle name="输出 3 2 4 3" xfId="50871"/>
    <cellStyle name="输出 3 2 4 3 2" xfId="50872"/>
    <cellStyle name="输出 3 2 5" xfId="50873"/>
    <cellStyle name="输出 3 2 6" xfId="50874"/>
    <cellStyle name="输出 3 2 7" xfId="50875"/>
    <cellStyle name="输出 3 3" xfId="50876"/>
    <cellStyle name="输出 3 3 2" xfId="50877"/>
    <cellStyle name="输出 3 3 2 2" xfId="50878"/>
    <cellStyle name="输出 3 3 2 3" xfId="50879"/>
    <cellStyle name="输出 3 3 2 3 2" xfId="50880"/>
    <cellStyle name="输出 3 3 2 3 2 2" xfId="50881"/>
    <cellStyle name="输出 3 3 2 4" xfId="50882"/>
    <cellStyle name="输出 3 3 2 4 2" xfId="50883"/>
    <cellStyle name="输出 3 3 3" xfId="50884"/>
    <cellStyle name="输出 3 3 3 2" xfId="50885"/>
    <cellStyle name="输出 3 3 3 2 2" xfId="50886"/>
    <cellStyle name="输出 3 3 3 2 2 2" xfId="50887"/>
    <cellStyle name="输出 3 3 3 3" xfId="50888"/>
    <cellStyle name="输出 3 3 3 3 2" xfId="50889"/>
    <cellStyle name="输出 3 3 4" xfId="50890"/>
    <cellStyle name="输出 3 3 5" xfId="50891"/>
    <cellStyle name="输出 3 3 6" xfId="50892"/>
    <cellStyle name="输出 3 4" xfId="50893"/>
    <cellStyle name="输出 3 4 2" xfId="50894"/>
    <cellStyle name="输出 3 4 2 2" xfId="50895"/>
    <cellStyle name="输出 3 4 2 3" xfId="50896"/>
    <cellStyle name="输出 3 4 2 3 2" xfId="50897"/>
    <cellStyle name="输出 3 4 2 3 2 2" xfId="50898"/>
    <cellStyle name="输出 3 4 2 4" xfId="50899"/>
    <cellStyle name="输出 3 4 2 4 2" xfId="50900"/>
    <cellStyle name="输出 3 4 3" xfId="50901"/>
    <cellStyle name="输出 3 4 4" xfId="50902"/>
    <cellStyle name="输出 3 4 5" xfId="50903"/>
    <cellStyle name="输出 3 4 6" xfId="50904"/>
    <cellStyle name="输出 3 5" xfId="50905"/>
    <cellStyle name="输出 3 5 2" xfId="50906"/>
    <cellStyle name="输出 3 5 2 2" xfId="50907"/>
    <cellStyle name="输出 3 5 2 2 2" xfId="50908"/>
    <cellStyle name="输出 3 5 2 2 2 2" xfId="50909"/>
    <cellStyle name="输出 3 5 2 3" xfId="50910"/>
    <cellStyle name="输出 3 5 2 3 2" xfId="50911"/>
    <cellStyle name="输出 3 5 3" xfId="50912"/>
    <cellStyle name="输出 3 5 3 2" xfId="50913"/>
    <cellStyle name="输出 3 5 3 2 2" xfId="50914"/>
    <cellStyle name="输出 3 5 4" xfId="50915"/>
    <cellStyle name="输出 3 5 4 2" xfId="50916"/>
    <cellStyle name="输出 3 6" xfId="50917"/>
    <cellStyle name="输出 3 6 2" xfId="50918"/>
    <cellStyle name="输出 3 6 2 2" xfId="50919"/>
    <cellStyle name="输出 3 6 2 2 2" xfId="50920"/>
    <cellStyle name="输出 3 6 3" xfId="50921"/>
    <cellStyle name="输出 3 6 3 2" xfId="50922"/>
    <cellStyle name="输出 3 7" xfId="50923"/>
    <cellStyle name="输出 3 8" xfId="50924"/>
    <cellStyle name="适中 2" xfId="50925"/>
    <cellStyle name="适中 2 10" xfId="50926"/>
    <cellStyle name="适中 2 11" xfId="50927"/>
    <cellStyle name="适中 2 2" xfId="50928"/>
    <cellStyle name="适中 2 2 10" xfId="50929"/>
    <cellStyle name="适中 2 2 11" xfId="50930"/>
    <cellStyle name="适中 2 2 2" xfId="50931"/>
    <cellStyle name="适中 2 2 2 2" xfId="50932"/>
    <cellStyle name="适中 2 2 2 2 2" xfId="50933"/>
    <cellStyle name="适中 2 2 2 2 2 2" xfId="50934"/>
    <cellStyle name="适中 2 2 2 2 2 3" xfId="50935"/>
    <cellStyle name="适中 2 2 2 2 2 3 2" xfId="50936"/>
    <cellStyle name="适中 2 2 2 2 2 3 2 2" xfId="50937"/>
    <cellStyle name="适中 2 2 2 2 2 4" xfId="50938"/>
    <cellStyle name="适中 2 2 2 2 2 4 2" xfId="50939"/>
    <cellStyle name="适中 2 2 2 2 3" xfId="50940"/>
    <cellStyle name="适中 2 2 2 2 3 2" xfId="50941"/>
    <cellStyle name="适中 2 2 2 2 3 2 2" xfId="50942"/>
    <cellStyle name="适中 2 2 2 2 3 2 2 2" xfId="50943"/>
    <cellStyle name="适中 2 2 2 2 3 3" xfId="50944"/>
    <cellStyle name="适中 2 2 2 2 3 3 2" xfId="50945"/>
    <cellStyle name="适中 2 2 2 2 4" xfId="50946"/>
    <cellStyle name="适中 2 2 2 2 5" xfId="50947"/>
    <cellStyle name="适中 2 2 2 2 6" xfId="50948"/>
    <cellStyle name="适中 2 2 2 3" xfId="50949"/>
    <cellStyle name="适中 2 2 2 3 2" xfId="50950"/>
    <cellStyle name="适中 2 2 2 3 3" xfId="50951"/>
    <cellStyle name="适中 2 2 2 3 3 2" xfId="50952"/>
    <cellStyle name="适中 2 2 2 3 3 2 2" xfId="50953"/>
    <cellStyle name="适中 2 2 2 3 4" xfId="50954"/>
    <cellStyle name="适中 2 2 2 3 4 2" xfId="50955"/>
    <cellStyle name="适中 2 2 2 4" xfId="50956"/>
    <cellStyle name="适中 2 2 2 4 2" xfId="50957"/>
    <cellStyle name="适中 2 2 2 4 2 2" xfId="50958"/>
    <cellStyle name="适中 2 2 2 4 2 2 2" xfId="50959"/>
    <cellStyle name="适中 2 2 2 4 3" xfId="50960"/>
    <cellStyle name="适中 2 2 2 4 3 2" xfId="50961"/>
    <cellStyle name="适中 2 2 2 5" xfId="50962"/>
    <cellStyle name="适中 2 2 2 6" xfId="50963"/>
    <cellStyle name="适中 2 2 2 7" xfId="50964"/>
    <cellStyle name="适中 2 2 3" xfId="50965"/>
    <cellStyle name="适中 2 2 3 2" xfId="50966"/>
    <cellStyle name="适中 2 2 3 2 2" xfId="50967"/>
    <cellStyle name="适中 2 2 3 2 3" xfId="50968"/>
    <cellStyle name="适中 2 2 3 2 3 2" xfId="50969"/>
    <cellStyle name="适中 2 2 3 2 3 2 2" xfId="50970"/>
    <cellStyle name="适中 2 2 3 2 4" xfId="50971"/>
    <cellStyle name="适中 2 2 3 2 4 2" xfId="50972"/>
    <cellStyle name="适中 2 2 3 3" xfId="50973"/>
    <cellStyle name="适中 2 2 3 3 2" xfId="50974"/>
    <cellStyle name="适中 2 2 3 3 2 2" xfId="50975"/>
    <cellStyle name="适中 2 2 3 3 2 2 2" xfId="50976"/>
    <cellStyle name="适中 2 2 3 3 3" xfId="50977"/>
    <cellStyle name="适中 2 2 3 3 3 2" xfId="50978"/>
    <cellStyle name="适中 2 2 3 4" xfId="50979"/>
    <cellStyle name="适中 2 2 3 5" xfId="50980"/>
    <cellStyle name="适中 2 2 3 6" xfId="50981"/>
    <cellStyle name="适中 2 2 4" xfId="50982"/>
    <cellStyle name="适中 2 2 4 2" xfId="50983"/>
    <cellStyle name="适中 2 2 4 2 2" xfId="50984"/>
    <cellStyle name="适中 2 2 4 2 3" xfId="50985"/>
    <cellStyle name="适中 2 2 4 2 3 2" xfId="50986"/>
    <cellStyle name="适中 2 2 4 2 3 2 2" xfId="50987"/>
    <cellStyle name="适中 2 2 4 2 4" xfId="50988"/>
    <cellStyle name="适中 2 2 4 2 4 2" xfId="50989"/>
    <cellStyle name="适中 2 2 4 3" xfId="50990"/>
    <cellStyle name="适中 2 2 4 4" xfId="50991"/>
    <cellStyle name="适中 2 2 4 5" xfId="50992"/>
    <cellStyle name="适中 2 2 4 6" xfId="50993"/>
    <cellStyle name="适中 2 2 5" xfId="50994"/>
    <cellStyle name="适中 2 2 5 2" xfId="50995"/>
    <cellStyle name="适中 2 2 5 2 2" xfId="50996"/>
    <cellStyle name="适中 2 2 5 2 2 2" xfId="50997"/>
    <cellStyle name="适中 2 2 5 2 2 2 2" xfId="50998"/>
    <cellStyle name="适中 2 2 5 2 3" xfId="50999"/>
    <cellStyle name="适中 2 2 5 2 3 2" xfId="51000"/>
    <cellStyle name="适中 2 2 5 3" xfId="51001"/>
    <cellStyle name="适中 2 2 5 3 2" xfId="51002"/>
    <cellStyle name="适中 2 2 5 3 2 2" xfId="51003"/>
    <cellStyle name="适中 2 2 5 4" xfId="51004"/>
    <cellStyle name="适中 2 2 5 4 2" xfId="51005"/>
    <cellStyle name="适中 2 2 6" xfId="51006"/>
    <cellStyle name="适中 2 2 6 2" xfId="51007"/>
    <cellStyle name="适中 2 2 6 2 2" xfId="51008"/>
    <cellStyle name="适中 2 2 6 2 2 2" xfId="51009"/>
    <cellStyle name="适中 2 2 6 2 2 2 2" xfId="51010"/>
    <cellStyle name="适中 2 2 6 2 3" xfId="51011"/>
    <cellStyle name="适中 2 2 6 2 3 2" xfId="51012"/>
    <cellStyle name="适中 2 2 6 3" xfId="51013"/>
    <cellStyle name="适中 2 2 6 3 2" xfId="51014"/>
    <cellStyle name="适中 2 2 6 3 2 2" xfId="51015"/>
    <cellStyle name="适中 2 2 6 4" xfId="51016"/>
    <cellStyle name="适中 2 2 6 4 2" xfId="51017"/>
    <cellStyle name="适中 2 2 7" xfId="51018"/>
    <cellStyle name="适中 2 2 7 2" xfId="51019"/>
    <cellStyle name="适中 2 2 7 2 2" xfId="51020"/>
    <cellStyle name="适中 2 2 7 2 2 2" xfId="51021"/>
    <cellStyle name="适中 2 2 7 2 2 2 2" xfId="51022"/>
    <cellStyle name="适中 2 2 7 2 3" xfId="51023"/>
    <cellStyle name="适中 2 2 7 2 3 2" xfId="51024"/>
    <cellStyle name="适中 2 2 7 3" xfId="51025"/>
    <cellStyle name="适中 2 2 7 3 2" xfId="51026"/>
    <cellStyle name="适中 2 2 7 3 2 2" xfId="51027"/>
    <cellStyle name="适中 2 2 7 4" xfId="51028"/>
    <cellStyle name="适中 2 2 7 4 2" xfId="51029"/>
    <cellStyle name="适中 2 2 8" xfId="51030"/>
    <cellStyle name="适中 2 2 8 2" xfId="51031"/>
    <cellStyle name="适中 2 2 8 2 2" xfId="51032"/>
    <cellStyle name="适中 2 2 8 2 2 2" xfId="51033"/>
    <cellStyle name="适中 2 2 8 3" xfId="51034"/>
    <cellStyle name="适中 2 2 8 3 2" xfId="51035"/>
    <cellStyle name="适中 2 2 9" xfId="51036"/>
    <cellStyle name="适中 2 2 9 2" xfId="51037"/>
    <cellStyle name="适中 2 2 9 2 2" xfId="51038"/>
    <cellStyle name="适中 2 2 9 2 2 2" xfId="51039"/>
    <cellStyle name="适中 2 2 9 3" xfId="51040"/>
    <cellStyle name="适中 2 2 9 3 2" xfId="51041"/>
    <cellStyle name="适中 2 3" xfId="51042"/>
    <cellStyle name="适中 2 3 2" xfId="51043"/>
    <cellStyle name="适中 2 3 2 2" xfId="51044"/>
    <cellStyle name="适中 2 3 2 2 2" xfId="51045"/>
    <cellStyle name="适中 2 3 2 2 2 2" xfId="51046"/>
    <cellStyle name="适中 2 3 2 2 2 3" xfId="51047"/>
    <cellStyle name="适中 2 3 2 2 2 3 2" xfId="51048"/>
    <cellStyle name="适中 2 3 2 2 2 3 2 2" xfId="51049"/>
    <cellStyle name="适中 2 3 2 2 2 4" xfId="51050"/>
    <cellStyle name="适中 2 3 2 2 2 4 2" xfId="51051"/>
    <cellStyle name="适中 2 3 2 2 3" xfId="51052"/>
    <cellStyle name="适中 2 3 2 2 3 2" xfId="51053"/>
    <cellStyle name="适中 2 3 2 2 3 2 2" xfId="51054"/>
    <cellStyle name="适中 2 3 2 2 3 2 2 2" xfId="51055"/>
    <cellStyle name="适中 2 3 2 2 3 3" xfId="51056"/>
    <cellStyle name="适中 2 3 2 2 3 3 2" xfId="51057"/>
    <cellStyle name="适中 2 3 2 2 4" xfId="51058"/>
    <cellStyle name="适中 2 3 2 2 5" xfId="51059"/>
    <cellStyle name="适中 2 3 2 2 6" xfId="51060"/>
    <cellStyle name="适中 2 3 2 3" xfId="51061"/>
    <cellStyle name="适中 2 3 2 3 2" xfId="51062"/>
    <cellStyle name="适中 2 3 2 3 3" xfId="51063"/>
    <cellStyle name="适中 2 3 2 3 3 2" xfId="51064"/>
    <cellStyle name="适中 2 3 2 3 3 2 2" xfId="51065"/>
    <cellStyle name="适中 2 3 2 3 4" xfId="51066"/>
    <cellStyle name="适中 2 3 2 3 4 2" xfId="51067"/>
    <cellStyle name="适中 2 3 2 4" xfId="51068"/>
    <cellStyle name="适中 2 3 2 4 2" xfId="51069"/>
    <cellStyle name="适中 2 3 2 4 2 2" xfId="51070"/>
    <cellStyle name="适中 2 3 2 4 2 2 2" xfId="51071"/>
    <cellStyle name="适中 2 3 2 4 3" xfId="51072"/>
    <cellStyle name="适中 2 3 2 4 3 2" xfId="51073"/>
    <cellStyle name="适中 2 3 2 5" xfId="51074"/>
    <cellStyle name="适中 2 3 2 6" xfId="51075"/>
    <cellStyle name="适中 2 3 2 7" xfId="51076"/>
    <cellStyle name="适中 2 3 3" xfId="51077"/>
    <cellStyle name="适中 2 3 3 2" xfId="51078"/>
    <cellStyle name="适中 2 3 3 2 2" xfId="51079"/>
    <cellStyle name="适中 2 3 3 2 3" xfId="51080"/>
    <cellStyle name="适中 2 3 3 2 3 2" xfId="51081"/>
    <cellStyle name="适中 2 3 3 2 3 2 2" xfId="51082"/>
    <cellStyle name="适中 2 3 3 2 4" xfId="51083"/>
    <cellStyle name="适中 2 3 3 2 4 2" xfId="51084"/>
    <cellStyle name="适中 2 3 3 3" xfId="51085"/>
    <cellStyle name="适中 2 3 3 3 2" xfId="51086"/>
    <cellStyle name="适中 2 3 3 3 2 2" xfId="51087"/>
    <cellStyle name="适中 2 3 3 3 2 2 2" xfId="51088"/>
    <cellStyle name="适中 2 3 3 3 3" xfId="51089"/>
    <cellStyle name="适中 2 3 3 3 3 2" xfId="51090"/>
    <cellStyle name="适中 2 3 3 4" xfId="51091"/>
    <cellStyle name="适中 2 3 3 5" xfId="51092"/>
    <cellStyle name="适中 2 3 3 6" xfId="51093"/>
    <cellStyle name="适中 2 3 4" xfId="51094"/>
    <cellStyle name="适中 2 3 4 2" xfId="51095"/>
    <cellStyle name="适中 2 3 4 2 2" xfId="51096"/>
    <cellStyle name="适中 2 3 4 2 3" xfId="51097"/>
    <cellStyle name="适中 2 3 4 2 3 2" xfId="51098"/>
    <cellStyle name="适中 2 3 4 2 3 2 2" xfId="51099"/>
    <cellStyle name="适中 2 3 4 2 4" xfId="51100"/>
    <cellStyle name="适中 2 3 4 2 4 2" xfId="51101"/>
    <cellStyle name="适中 2 3 4 3" xfId="51102"/>
    <cellStyle name="适中 2 3 4 4" xfId="51103"/>
    <cellStyle name="适中 2 3 4 5" xfId="51104"/>
    <cellStyle name="适中 2 3 4 6" xfId="51105"/>
    <cellStyle name="适中 2 3 5" xfId="51106"/>
    <cellStyle name="适中 2 3 5 2" xfId="51107"/>
    <cellStyle name="适中 2 3 5 2 2" xfId="51108"/>
    <cellStyle name="适中 2 3 5 2 2 2" xfId="51109"/>
    <cellStyle name="适中 2 3 5 2 2 2 2" xfId="51110"/>
    <cellStyle name="适中 2 3 5 2 3" xfId="51111"/>
    <cellStyle name="适中 2 3 5 2 3 2" xfId="51112"/>
    <cellStyle name="适中 2 3 5 3" xfId="51113"/>
    <cellStyle name="适中 2 3 5 3 2" xfId="51114"/>
    <cellStyle name="适中 2 3 5 3 2 2" xfId="51115"/>
    <cellStyle name="适中 2 3 5 4" xfId="51116"/>
    <cellStyle name="适中 2 3 5 4 2" xfId="51117"/>
    <cellStyle name="适中 2 3 6" xfId="51118"/>
    <cellStyle name="适中 2 3 6 2" xfId="51119"/>
    <cellStyle name="适中 2 3 6 2 2" xfId="51120"/>
    <cellStyle name="适中 2 3 6 2 2 2" xfId="51121"/>
    <cellStyle name="适中 2 3 6 3" xfId="51122"/>
    <cellStyle name="适中 2 3 6 3 2" xfId="51123"/>
    <cellStyle name="适中 2 3 7" xfId="51124"/>
    <cellStyle name="适中 2 3 7 2" xfId="51125"/>
    <cellStyle name="适中 2 3 7 2 2" xfId="51126"/>
    <cellStyle name="适中 2 3 7 2 2 2" xfId="51127"/>
    <cellStyle name="适中 2 3 7 3" xfId="51128"/>
    <cellStyle name="适中 2 3 7 3 2" xfId="51129"/>
    <cellStyle name="适中 2 3 8" xfId="51130"/>
    <cellStyle name="适中 2 3 9" xfId="51131"/>
    <cellStyle name="适中 2 4" xfId="51132"/>
    <cellStyle name="适中 2 4 2" xfId="51133"/>
    <cellStyle name="适中 2 4 2 2" xfId="51134"/>
    <cellStyle name="适中 2 4 2 3" xfId="51135"/>
    <cellStyle name="适中 2 4 2 3 2" xfId="51136"/>
    <cellStyle name="适中 2 4 2 3 2 2" xfId="51137"/>
    <cellStyle name="适中 2 4 2 4" xfId="51138"/>
    <cellStyle name="适中 2 4 2 4 2" xfId="51139"/>
    <cellStyle name="适中 2 4 3" xfId="51140"/>
    <cellStyle name="适中 2 4 3 2" xfId="51141"/>
    <cellStyle name="适中 2 4 3 2 2" xfId="51142"/>
    <cellStyle name="适中 2 4 3 2 2 2" xfId="51143"/>
    <cellStyle name="适中 2 4 3 3" xfId="51144"/>
    <cellStyle name="适中 2 4 3 3 2" xfId="51145"/>
    <cellStyle name="适中 2 4 4" xfId="51146"/>
    <cellStyle name="适中 2 4 5" xfId="51147"/>
    <cellStyle name="适中 2 4 6" xfId="51148"/>
    <cellStyle name="适中 2 5" xfId="51149"/>
    <cellStyle name="适中 2 5 2" xfId="51150"/>
    <cellStyle name="适中 2 5 2 2" xfId="51151"/>
    <cellStyle name="适中 2 5 2 3" xfId="51152"/>
    <cellStyle name="适中 2 5 2 3 2" xfId="51153"/>
    <cellStyle name="适中 2 5 2 3 2 2" xfId="51154"/>
    <cellStyle name="适中 2 5 2 4" xfId="51155"/>
    <cellStyle name="适中 2 5 2 4 2" xfId="51156"/>
    <cellStyle name="适中 2 5 3" xfId="51157"/>
    <cellStyle name="适中 2 5 4" xfId="51158"/>
    <cellStyle name="适中 2 5 5" xfId="51159"/>
    <cellStyle name="适中 2 5 6" xfId="51160"/>
    <cellStyle name="适中 2 6" xfId="51161"/>
    <cellStyle name="适中 2 6 2" xfId="51162"/>
    <cellStyle name="适中 2 6 2 2" xfId="51163"/>
    <cellStyle name="适中 2 6 2 2 2" xfId="51164"/>
    <cellStyle name="适中 2 6 2 2 2 2" xfId="51165"/>
    <cellStyle name="适中 2 6 2 3" xfId="51166"/>
    <cellStyle name="适中 2 6 2 3 2" xfId="51167"/>
    <cellStyle name="适中 2 6 3" xfId="51168"/>
    <cellStyle name="适中 2 6 3 2" xfId="51169"/>
    <cellStyle name="适中 2 6 3 2 2" xfId="51170"/>
    <cellStyle name="适中 2 6 4" xfId="51171"/>
    <cellStyle name="适中 2 6 4 2" xfId="51172"/>
    <cellStyle name="适中 2 7" xfId="51173"/>
    <cellStyle name="适中 2 7 2" xfId="51174"/>
    <cellStyle name="适中 2 7 2 2" xfId="51175"/>
    <cellStyle name="适中 2 7 2 2 2" xfId="51176"/>
    <cellStyle name="适中 2 7 2 2 2 2" xfId="51177"/>
    <cellStyle name="适中 2 7 2 3" xfId="51178"/>
    <cellStyle name="适中 2 7 2 3 2" xfId="51179"/>
    <cellStyle name="适中 2 7 3" xfId="51180"/>
    <cellStyle name="适中 2 7 3 2" xfId="51181"/>
    <cellStyle name="适中 2 7 3 2 2" xfId="51182"/>
    <cellStyle name="适中 2 7 4" xfId="51183"/>
    <cellStyle name="适中 2 7 4 2" xfId="51184"/>
    <cellStyle name="适中 2 8" xfId="51185"/>
    <cellStyle name="适中 2 8 2" xfId="51186"/>
    <cellStyle name="适中 2 8 2 2" xfId="51187"/>
    <cellStyle name="适中 2 8 2 2 2" xfId="51188"/>
    <cellStyle name="适中 2 8 2 2 2 2" xfId="51189"/>
    <cellStyle name="适中 2 8 2 3" xfId="51190"/>
    <cellStyle name="适中 2 8 2 3 2" xfId="51191"/>
    <cellStyle name="适中 2 8 3" xfId="51192"/>
    <cellStyle name="适中 2 8 3 2" xfId="51193"/>
    <cellStyle name="适中 2 8 3 2 2" xfId="51194"/>
    <cellStyle name="适中 2 8 4" xfId="51195"/>
    <cellStyle name="适中 2 8 4 2" xfId="51196"/>
    <cellStyle name="适中 2 9" xfId="51197"/>
    <cellStyle name="适中 2 9 2" xfId="51198"/>
    <cellStyle name="适中 2 9 2 2" xfId="51199"/>
    <cellStyle name="适中 2 9 2 2 2" xfId="51200"/>
    <cellStyle name="适中 2 9 3" xfId="51201"/>
    <cellStyle name="适中 2 9 3 2" xfId="51202"/>
    <cellStyle name="适中 3" xfId="51203"/>
    <cellStyle name="适中 3 2" xfId="51204"/>
    <cellStyle name="适中 3 2 2" xfId="51205"/>
    <cellStyle name="适中 3 2 2 2" xfId="51206"/>
    <cellStyle name="适中 3 2 2 2 2" xfId="51207"/>
    <cellStyle name="适中 3 2 2 2 3" xfId="51208"/>
    <cellStyle name="适中 3 2 2 2 3 2" xfId="51209"/>
    <cellStyle name="适中 3 2 2 2 3 2 2" xfId="51210"/>
    <cellStyle name="适中 3 2 2 2 4" xfId="51211"/>
    <cellStyle name="适中 3 2 2 2 4 2" xfId="51212"/>
    <cellStyle name="适中 3 2 2 3" xfId="51213"/>
    <cellStyle name="适中 3 2 2 3 2" xfId="51214"/>
    <cellStyle name="适中 3 2 2 3 2 2" xfId="51215"/>
    <cellStyle name="适中 3 2 2 3 2 2 2" xfId="51216"/>
    <cellStyle name="适中 3 2 2 3 3" xfId="51217"/>
    <cellStyle name="适中 3 2 2 3 3 2" xfId="51218"/>
    <cellStyle name="适中 3 2 2 4" xfId="51219"/>
    <cellStyle name="适中 3 2 2 5" xfId="51220"/>
    <cellStyle name="适中 3 2 2 6" xfId="51221"/>
    <cellStyle name="适中 3 2 3" xfId="51222"/>
    <cellStyle name="适中 3 2 3 2" xfId="51223"/>
    <cellStyle name="适中 3 2 3 3" xfId="51224"/>
    <cellStyle name="适中 3 2 3 3 2" xfId="51225"/>
    <cellStyle name="适中 3 2 3 3 2 2" xfId="51226"/>
    <cellStyle name="适中 3 2 3 4" xfId="51227"/>
    <cellStyle name="适中 3 2 3 4 2" xfId="51228"/>
    <cellStyle name="适中 3 2 4" xfId="51229"/>
    <cellStyle name="适中 3 2 4 2" xfId="51230"/>
    <cellStyle name="适中 3 2 4 2 2" xfId="51231"/>
    <cellStyle name="适中 3 2 4 2 2 2" xfId="51232"/>
    <cellStyle name="适中 3 2 4 3" xfId="51233"/>
    <cellStyle name="适中 3 2 4 3 2" xfId="51234"/>
    <cellStyle name="适中 3 2 5" xfId="51235"/>
    <cellStyle name="适中 3 2 6" xfId="51236"/>
    <cellStyle name="适中 3 2 7" xfId="51237"/>
    <cellStyle name="适中 3 3" xfId="51238"/>
    <cellStyle name="适中 3 3 2" xfId="51239"/>
    <cellStyle name="适中 3 3 2 2" xfId="51240"/>
    <cellStyle name="适中 3 3 2 3" xfId="51241"/>
    <cellStyle name="适中 3 3 2 3 2" xfId="51242"/>
    <cellStyle name="适中 3 3 2 3 2 2" xfId="51243"/>
    <cellStyle name="适中 3 3 2 4" xfId="51244"/>
    <cellStyle name="适中 3 3 2 4 2" xfId="51245"/>
    <cellStyle name="适中 3 3 3" xfId="51246"/>
    <cellStyle name="适中 3 3 3 2" xfId="51247"/>
    <cellStyle name="适中 3 3 3 2 2" xfId="51248"/>
    <cellStyle name="适中 3 3 3 2 2 2" xfId="51249"/>
    <cellStyle name="适中 3 3 3 3" xfId="51250"/>
    <cellStyle name="适中 3 3 3 3 2" xfId="51251"/>
    <cellStyle name="适中 3 3 4" xfId="51252"/>
    <cellStyle name="适中 3 3 5" xfId="51253"/>
    <cellStyle name="适中 3 3 6" xfId="51254"/>
    <cellStyle name="适中 3 4" xfId="51255"/>
    <cellStyle name="适中 3 4 2" xfId="51256"/>
    <cellStyle name="适中 3 4 2 2" xfId="51257"/>
    <cellStyle name="适中 3 4 2 3" xfId="51258"/>
    <cellStyle name="适中 3 4 2 3 2" xfId="51259"/>
    <cellStyle name="适中 3 4 2 3 2 2" xfId="51260"/>
    <cellStyle name="适中 3 4 2 4" xfId="51261"/>
    <cellStyle name="适中 3 4 2 4 2" xfId="51262"/>
    <cellStyle name="适中 3 4 3" xfId="51263"/>
    <cellStyle name="适中 3 4 4" xfId="51264"/>
    <cellStyle name="适中 3 4 5" xfId="51265"/>
    <cellStyle name="适中 3 4 6" xfId="51266"/>
    <cellStyle name="适中 3 5" xfId="51267"/>
    <cellStyle name="适中 3 5 2" xfId="51268"/>
    <cellStyle name="适中 3 5 2 2" xfId="51269"/>
    <cellStyle name="适中 3 5 2 2 2" xfId="51270"/>
    <cellStyle name="适中 3 5 2 2 2 2" xfId="51271"/>
    <cellStyle name="适中 3 5 2 3" xfId="51272"/>
    <cellStyle name="适中 3 5 2 3 2" xfId="51273"/>
    <cellStyle name="适中 3 5 3" xfId="51274"/>
    <cellStyle name="适中 3 5 3 2" xfId="51275"/>
    <cellStyle name="适中 3 5 3 2 2" xfId="51276"/>
    <cellStyle name="适中 3 5 4" xfId="51277"/>
    <cellStyle name="适中 3 5 4 2" xfId="51278"/>
    <cellStyle name="适中 3 6" xfId="51279"/>
    <cellStyle name="适中 3 6 2" xfId="51280"/>
    <cellStyle name="适中 3 6 2 2" xfId="51281"/>
    <cellStyle name="适中 3 6 2 2 2" xfId="51282"/>
    <cellStyle name="适中 3 6 3" xfId="51283"/>
    <cellStyle name="适中 3 6 3 2" xfId="51284"/>
    <cellStyle name="适中 3 7" xfId="51285"/>
    <cellStyle name="适中 3 8" xfId="51286"/>
    <cellStyle name="链接单元格 2" xfId="51287"/>
    <cellStyle name="链接单元格 2 10" xfId="51288"/>
    <cellStyle name="链接单元格 2 11" xfId="51289"/>
    <cellStyle name="链接单元格 2 2" xfId="51290"/>
    <cellStyle name="链接单元格 2 2 10" xfId="51291"/>
    <cellStyle name="链接单元格 2 2 11" xfId="51292"/>
    <cellStyle name="链接单元格 2 2 2" xfId="51293"/>
    <cellStyle name="链接单元格 2 2 2 2" xfId="51294"/>
    <cellStyle name="链接单元格 2 2 2 2 2" xfId="51295"/>
    <cellStyle name="链接单元格 2 2 2 2 2 2" xfId="51296"/>
    <cellStyle name="链接单元格 2 2 2 2 2 3" xfId="51297"/>
    <cellStyle name="链接单元格 2 2 2 2 2 3 2" xfId="51298"/>
    <cellStyle name="链接单元格 2 2 2 2 2 3 2 2" xfId="51299"/>
    <cellStyle name="链接单元格 2 2 2 2 2 4" xfId="51300"/>
    <cellStyle name="链接单元格 2 2 2 2 2 4 2" xfId="51301"/>
    <cellStyle name="链接单元格 2 2 2 2 3" xfId="51302"/>
    <cellStyle name="链接单元格 2 2 2 2 3 2" xfId="51303"/>
    <cellStyle name="链接单元格 2 2 2 2 3 2 2" xfId="51304"/>
    <cellStyle name="链接单元格 2 2 2 2 3 2 2 2" xfId="51305"/>
    <cellStyle name="链接单元格 2 2 2 2 3 3" xfId="51306"/>
    <cellStyle name="链接单元格 2 2 2 2 3 3 2" xfId="51307"/>
    <cellStyle name="链接单元格 2 2 2 2 4" xfId="51308"/>
    <cellStyle name="链接单元格 2 2 2 2 5" xfId="51309"/>
    <cellStyle name="链接单元格 2 2 2 2 6" xfId="51310"/>
    <cellStyle name="链接单元格 2 2 2 3" xfId="51311"/>
    <cellStyle name="链接单元格 2 2 2 3 2" xfId="51312"/>
    <cellStyle name="链接单元格 2 2 2 3 3" xfId="51313"/>
    <cellStyle name="链接单元格 2 2 2 3 3 2" xfId="51314"/>
    <cellStyle name="链接单元格 2 2 2 3 3 2 2" xfId="51315"/>
    <cellStyle name="链接单元格 2 2 2 3 4" xfId="51316"/>
    <cellStyle name="链接单元格 2 2 2 3 4 2" xfId="51317"/>
    <cellStyle name="链接单元格 2 2 2 4" xfId="51318"/>
    <cellStyle name="链接单元格 2 2 2 4 2" xfId="51319"/>
    <cellStyle name="链接单元格 2 2 2 4 2 2" xfId="51320"/>
    <cellStyle name="链接单元格 2 2 2 4 2 2 2" xfId="51321"/>
    <cellStyle name="链接单元格 2 2 2 4 3" xfId="51322"/>
    <cellStyle name="链接单元格 2 2 2 4 3 2" xfId="51323"/>
    <cellStyle name="链接单元格 2 2 2 5" xfId="51324"/>
    <cellStyle name="链接单元格 2 2 2 6" xfId="51325"/>
    <cellStyle name="链接单元格 2 2 2 7" xfId="51326"/>
    <cellStyle name="链接单元格 2 2 3" xfId="51327"/>
    <cellStyle name="链接单元格 2 2 3 2" xfId="51328"/>
    <cellStyle name="链接单元格 2 2 3 2 2" xfId="51329"/>
    <cellStyle name="链接单元格 2 2 3 2 3" xfId="51330"/>
    <cellStyle name="链接单元格 2 2 3 2 3 2" xfId="51331"/>
    <cellStyle name="链接单元格 2 2 3 2 3 2 2" xfId="51332"/>
    <cellStyle name="链接单元格 2 2 3 2 4" xfId="51333"/>
    <cellStyle name="链接单元格 2 2 3 2 4 2" xfId="51334"/>
    <cellStyle name="链接单元格 2 2 3 3" xfId="51335"/>
    <cellStyle name="链接单元格 2 2 3 3 2" xfId="51336"/>
    <cellStyle name="链接单元格 2 2 3 3 2 2" xfId="51337"/>
    <cellStyle name="链接单元格 2 2 3 3 2 2 2" xfId="51338"/>
    <cellStyle name="链接单元格 2 2 3 3 3" xfId="51339"/>
    <cellStyle name="链接单元格 2 2 3 3 3 2" xfId="51340"/>
    <cellStyle name="链接单元格 2 2 3 4" xfId="51341"/>
    <cellStyle name="链接单元格 2 2 3 5" xfId="51342"/>
    <cellStyle name="链接单元格 2 2 3 6" xfId="51343"/>
    <cellStyle name="链接单元格 2 2 4" xfId="51344"/>
    <cellStyle name="链接单元格 2 2 4 2" xfId="51345"/>
    <cellStyle name="链接单元格 2 2 4 2 2" xfId="51346"/>
    <cellStyle name="链接单元格 2 2 4 2 3" xfId="51347"/>
    <cellStyle name="链接单元格 2 2 4 2 3 2" xfId="51348"/>
    <cellStyle name="链接单元格 2 2 4 2 3 2 2" xfId="51349"/>
    <cellStyle name="链接单元格 2 2 4 2 4" xfId="51350"/>
    <cellStyle name="链接单元格 2 2 4 2 4 2" xfId="51351"/>
    <cellStyle name="链接单元格 2 2 4 3" xfId="51352"/>
    <cellStyle name="链接单元格 2 2 4 4" xfId="51353"/>
    <cellStyle name="链接单元格 2 2 4 5" xfId="51354"/>
    <cellStyle name="链接单元格 2 2 4 6" xfId="51355"/>
    <cellStyle name="链接单元格 2 2 5" xfId="51356"/>
    <cellStyle name="链接单元格 2 2 5 2" xfId="51357"/>
    <cellStyle name="链接单元格 2 2 5 2 2" xfId="51358"/>
    <cellStyle name="链接单元格 2 2 5 2 2 2" xfId="51359"/>
    <cellStyle name="链接单元格 2 2 5 2 2 2 2" xfId="51360"/>
    <cellStyle name="链接单元格 2 2 5 2 3" xfId="51361"/>
    <cellStyle name="链接单元格 2 2 5 2 3 2" xfId="51362"/>
    <cellStyle name="链接单元格 2 2 5 3" xfId="51363"/>
    <cellStyle name="链接单元格 2 2 5 3 2" xfId="51364"/>
    <cellStyle name="链接单元格 2 2 5 3 2 2" xfId="51365"/>
    <cellStyle name="链接单元格 2 2 5 4" xfId="51366"/>
    <cellStyle name="链接单元格 2 2 5 4 2" xfId="51367"/>
    <cellStyle name="链接单元格 2 2 6" xfId="51368"/>
    <cellStyle name="链接单元格 2 2 6 2" xfId="51369"/>
    <cellStyle name="链接单元格 2 2 6 2 2" xfId="51370"/>
    <cellStyle name="链接单元格 2 2 6 2 2 2" xfId="51371"/>
    <cellStyle name="链接单元格 2 2 6 2 2 2 2" xfId="51372"/>
    <cellStyle name="链接单元格 2 2 6 2 3" xfId="51373"/>
    <cellStyle name="链接单元格 2 2 6 2 3 2" xfId="51374"/>
    <cellStyle name="链接单元格 2 2 6 3" xfId="51375"/>
    <cellStyle name="链接单元格 2 2 6 3 2" xfId="51376"/>
    <cellStyle name="链接单元格 2 2 6 3 2 2" xfId="51377"/>
    <cellStyle name="链接单元格 2 2 6 4" xfId="51378"/>
    <cellStyle name="链接单元格 2 2 6 4 2" xfId="51379"/>
    <cellStyle name="链接单元格 2 2 7" xfId="51380"/>
    <cellStyle name="链接单元格 2 2 7 2" xfId="51381"/>
    <cellStyle name="链接单元格 2 2 7 2 2" xfId="51382"/>
    <cellStyle name="链接单元格 2 2 7 2 2 2" xfId="51383"/>
    <cellStyle name="链接单元格 2 2 7 2 2 2 2" xfId="51384"/>
    <cellStyle name="链接单元格 2 2 7 2 3" xfId="51385"/>
    <cellStyle name="链接单元格 2 2 7 2 3 2" xfId="51386"/>
    <cellStyle name="链接单元格 2 2 7 3" xfId="51387"/>
    <cellStyle name="链接单元格 2 2 7 3 2" xfId="51388"/>
    <cellStyle name="链接单元格 2 2 7 3 2 2" xfId="51389"/>
    <cellStyle name="链接单元格 2 2 7 4" xfId="51390"/>
    <cellStyle name="链接单元格 2 2 7 4 2" xfId="51391"/>
    <cellStyle name="链接单元格 2 2 8" xfId="51392"/>
    <cellStyle name="链接单元格 2 2 8 2" xfId="51393"/>
    <cellStyle name="链接单元格 2 2 8 2 2" xfId="51394"/>
    <cellStyle name="链接单元格 2 2 8 2 2 2" xfId="51395"/>
    <cellStyle name="链接单元格 2 2 8 3" xfId="51396"/>
    <cellStyle name="链接单元格 2 2 8 3 2" xfId="51397"/>
    <cellStyle name="链接单元格 2 2 9" xfId="51398"/>
    <cellStyle name="链接单元格 2 2 9 2" xfId="51399"/>
    <cellStyle name="链接单元格 2 2 9 2 2" xfId="51400"/>
    <cellStyle name="链接单元格 2 2 9 2 2 2" xfId="51401"/>
    <cellStyle name="链接单元格 2 2 9 3" xfId="51402"/>
    <cellStyle name="链接单元格 2 2 9 3 2" xfId="51403"/>
    <cellStyle name="链接单元格 2 3" xfId="51404"/>
    <cellStyle name="链接单元格 2 3 2" xfId="51405"/>
    <cellStyle name="链接单元格 2 3 2 2" xfId="51406"/>
    <cellStyle name="链接单元格 2 3 2 2 2" xfId="51407"/>
    <cellStyle name="链接单元格 2 3 2 2 2 2" xfId="51408"/>
    <cellStyle name="链接单元格 2 3 2 2 2 3" xfId="51409"/>
    <cellStyle name="链接单元格 2 3 2 2 2 3 2" xfId="51410"/>
    <cellStyle name="链接单元格 2 3 2 2 2 3 2 2" xfId="51411"/>
    <cellStyle name="链接单元格 2 3 2 2 2 4" xfId="51412"/>
    <cellStyle name="链接单元格 2 3 2 2 2 4 2" xfId="51413"/>
    <cellStyle name="链接单元格 2 3 2 2 3" xfId="51414"/>
    <cellStyle name="链接单元格 2 3 2 2 3 2" xfId="51415"/>
    <cellStyle name="链接单元格 2 3 2 2 3 2 2" xfId="51416"/>
    <cellStyle name="链接单元格 2 3 2 2 3 2 2 2" xfId="51417"/>
    <cellStyle name="链接单元格 2 3 2 2 3 3" xfId="51418"/>
    <cellStyle name="链接单元格 2 3 2 2 3 3 2" xfId="51419"/>
    <cellStyle name="链接单元格 2 3 2 2 4" xfId="51420"/>
    <cellStyle name="链接单元格 2 3 2 2 5" xfId="51421"/>
    <cellStyle name="链接单元格 2 3 2 2 6" xfId="51422"/>
    <cellStyle name="链接单元格 2 3 2 3" xfId="51423"/>
    <cellStyle name="链接单元格 2 3 2 3 2" xfId="51424"/>
    <cellStyle name="链接单元格 2 3 2 3 3" xfId="51425"/>
    <cellStyle name="链接单元格 2 3 2 3 3 2" xfId="51426"/>
    <cellStyle name="链接单元格 2 3 2 3 3 2 2" xfId="51427"/>
    <cellStyle name="链接单元格 2 3 2 3 4" xfId="51428"/>
    <cellStyle name="链接单元格 2 3 2 3 4 2" xfId="51429"/>
    <cellStyle name="链接单元格 2 3 2 4" xfId="51430"/>
    <cellStyle name="链接单元格 2 3 2 4 2" xfId="51431"/>
    <cellStyle name="链接单元格 2 3 2 4 2 2" xfId="51432"/>
    <cellStyle name="链接单元格 2 3 2 4 2 2 2" xfId="51433"/>
    <cellStyle name="链接单元格 2 3 2 4 3" xfId="51434"/>
    <cellStyle name="链接单元格 2 3 2 4 3 2" xfId="51435"/>
    <cellStyle name="链接单元格 2 3 2 5" xfId="51436"/>
    <cellStyle name="链接单元格 2 3 2 6" xfId="51437"/>
    <cellStyle name="链接单元格 2 3 2 7" xfId="51438"/>
    <cellStyle name="链接单元格 2 3 3" xfId="51439"/>
    <cellStyle name="链接单元格 2 3 3 2" xfId="51440"/>
    <cellStyle name="链接单元格 2 3 3 2 2" xfId="51441"/>
    <cellStyle name="链接单元格 2 3 3 2 3" xfId="51442"/>
    <cellStyle name="链接单元格 2 3 3 2 3 2" xfId="51443"/>
    <cellStyle name="链接单元格 2 3 3 2 3 2 2" xfId="51444"/>
    <cellStyle name="链接单元格 2 3 3 2 4" xfId="51445"/>
    <cellStyle name="链接单元格 2 3 3 2 4 2" xfId="51446"/>
    <cellStyle name="链接单元格 2 3 3 3" xfId="51447"/>
    <cellStyle name="链接单元格 2 3 3 3 2" xfId="51448"/>
    <cellStyle name="链接单元格 2 3 3 3 2 2" xfId="51449"/>
    <cellStyle name="链接单元格 2 3 3 3 2 2 2" xfId="51450"/>
    <cellStyle name="链接单元格 2 3 3 3 3" xfId="51451"/>
    <cellStyle name="链接单元格 2 3 3 3 3 2" xfId="51452"/>
    <cellStyle name="链接单元格 2 3 3 4" xfId="51453"/>
    <cellStyle name="链接单元格 2 3 3 5" xfId="51454"/>
    <cellStyle name="链接单元格 2 3 3 6" xfId="51455"/>
    <cellStyle name="链接单元格 2 3 4" xfId="51456"/>
    <cellStyle name="链接单元格 2 3 4 2" xfId="51457"/>
    <cellStyle name="链接单元格 2 3 4 2 2" xfId="51458"/>
    <cellStyle name="链接单元格 2 3 4 2 3" xfId="51459"/>
    <cellStyle name="链接单元格 2 3 4 2 3 2" xfId="51460"/>
    <cellStyle name="链接单元格 2 3 4 2 3 2 2" xfId="51461"/>
    <cellStyle name="链接单元格 2 3 4 2 4" xfId="51462"/>
    <cellStyle name="链接单元格 2 3 4 2 4 2" xfId="51463"/>
    <cellStyle name="链接单元格 2 3 4 3" xfId="51464"/>
    <cellStyle name="链接单元格 2 3 4 4" xfId="51465"/>
    <cellStyle name="链接单元格 2 3 4 5" xfId="51466"/>
    <cellStyle name="链接单元格 2 3 4 6" xfId="51467"/>
    <cellStyle name="链接单元格 2 3 5" xfId="51468"/>
    <cellStyle name="链接单元格 2 3 5 2" xfId="51469"/>
    <cellStyle name="链接单元格 2 3 5 2 2" xfId="51470"/>
    <cellStyle name="链接单元格 2 3 5 2 2 2" xfId="51471"/>
    <cellStyle name="链接单元格 2 3 5 2 2 2 2" xfId="51472"/>
    <cellStyle name="链接单元格 2 3 5 2 3" xfId="51473"/>
    <cellStyle name="链接单元格 2 3 5 2 3 2" xfId="51474"/>
    <cellStyle name="链接单元格 2 3 5 3" xfId="51475"/>
    <cellStyle name="链接单元格 2 3 5 3 2" xfId="51476"/>
    <cellStyle name="链接单元格 2 3 5 3 2 2" xfId="51477"/>
    <cellStyle name="链接单元格 2 3 5 4" xfId="51478"/>
    <cellStyle name="链接单元格 2 3 5 4 2" xfId="51479"/>
    <cellStyle name="链接单元格 2 3 6" xfId="51480"/>
    <cellStyle name="链接单元格 2 3 6 2" xfId="51481"/>
    <cellStyle name="链接单元格 2 3 6 2 2" xfId="51482"/>
    <cellStyle name="链接单元格 2 3 6 2 2 2" xfId="51483"/>
    <cellStyle name="链接单元格 2 3 6 3" xfId="51484"/>
    <cellStyle name="链接单元格 2 3 6 3 2" xfId="51485"/>
    <cellStyle name="链接单元格 2 3 7" xfId="51486"/>
    <cellStyle name="链接单元格 2 3 7 2" xfId="51487"/>
    <cellStyle name="链接单元格 2 3 7 2 2" xfId="51488"/>
    <cellStyle name="链接单元格 2 3 7 2 2 2" xfId="51489"/>
    <cellStyle name="链接单元格 2 3 7 3" xfId="51490"/>
    <cellStyle name="链接单元格 2 3 7 3 2" xfId="51491"/>
    <cellStyle name="链接单元格 2 3 8" xfId="51492"/>
    <cellStyle name="链接单元格 2 3 9" xfId="51493"/>
    <cellStyle name="链接单元格 2 4" xfId="51494"/>
    <cellStyle name="链接单元格 2 4 2" xfId="51495"/>
    <cellStyle name="链接单元格 2 4 2 2" xfId="51496"/>
    <cellStyle name="链接单元格 2 4 2 3" xfId="51497"/>
    <cellStyle name="链接单元格 2 4 2 3 2" xfId="51498"/>
    <cellStyle name="链接单元格 2 4 2 3 2 2" xfId="51499"/>
    <cellStyle name="链接单元格 2 4 2 4" xfId="51500"/>
    <cellStyle name="链接单元格 2 4 2 4 2" xfId="51501"/>
    <cellStyle name="链接单元格 2 4 3" xfId="51502"/>
    <cellStyle name="链接单元格 2 4 3 2" xfId="51503"/>
    <cellStyle name="链接单元格 2 4 3 2 2" xfId="51504"/>
    <cellStyle name="链接单元格 2 4 3 2 2 2" xfId="51505"/>
    <cellStyle name="链接单元格 2 4 3 3" xfId="51506"/>
    <cellStyle name="链接单元格 2 4 3 3 2" xfId="51507"/>
    <cellStyle name="链接单元格 2 4 4" xfId="51508"/>
    <cellStyle name="链接单元格 2 4 5" xfId="51509"/>
    <cellStyle name="链接单元格 2 4 6" xfId="51510"/>
    <cellStyle name="链接单元格 2 5" xfId="51511"/>
    <cellStyle name="链接单元格 2 5 2" xfId="51512"/>
    <cellStyle name="链接单元格 2 5 2 2" xfId="51513"/>
    <cellStyle name="链接单元格 2 5 2 3" xfId="51514"/>
    <cellStyle name="链接单元格 2 5 2 3 2" xfId="51515"/>
    <cellStyle name="链接单元格 2 5 2 3 2 2" xfId="51516"/>
    <cellStyle name="链接单元格 2 5 2 4" xfId="51517"/>
    <cellStyle name="链接单元格 2 5 2 4 2" xfId="51518"/>
    <cellStyle name="链接单元格 2 5 3" xfId="51519"/>
    <cellStyle name="链接单元格 2 5 4" xfId="51520"/>
    <cellStyle name="链接单元格 2 5 5" xfId="51521"/>
    <cellStyle name="链接单元格 2 5 6" xfId="51522"/>
    <cellStyle name="链接单元格 2 6" xfId="51523"/>
    <cellStyle name="链接单元格 2 6 2" xfId="51524"/>
    <cellStyle name="链接单元格 2 6 2 2" xfId="51525"/>
    <cellStyle name="链接单元格 2 6 2 2 2" xfId="51526"/>
    <cellStyle name="链接单元格 2 6 2 2 2 2" xfId="51527"/>
    <cellStyle name="链接单元格 2 6 2 3" xfId="51528"/>
    <cellStyle name="链接单元格 2 6 2 3 2" xfId="51529"/>
    <cellStyle name="链接单元格 2 6 3" xfId="51530"/>
    <cellStyle name="链接单元格 2 6 3 2" xfId="51531"/>
    <cellStyle name="链接单元格 2 6 3 2 2" xfId="51532"/>
    <cellStyle name="链接单元格 2 6 4" xfId="51533"/>
    <cellStyle name="链接单元格 2 6 4 2" xfId="51534"/>
    <cellStyle name="链接单元格 2 7" xfId="51535"/>
    <cellStyle name="链接单元格 2 7 2" xfId="51536"/>
    <cellStyle name="链接单元格 2 7 2 2" xfId="51537"/>
    <cellStyle name="链接单元格 2 7 2 2 2" xfId="51538"/>
    <cellStyle name="链接单元格 2 7 2 2 2 2" xfId="51539"/>
    <cellStyle name="链接单元格 2 7 2 3" xfId="51540"/>
    <cellStyle name="链接单元格 2 7 2 3 2" xfId="51541"/>
    <cellStyle name="链接单元格 2 7 3" xfId="51542"/>
    <cellStyle name="链接单元格 2 7 3 2" xfId="51543"/>
    <cellStyle name="链接单元格 2 7 3 2 2" xfId="51544"/>
    <cellStyle name="链接单元格 2 7 4" xfId="51545"/>
    <cellStyle name="链接单元格 2 7 4 2" xfId="51546"/>
    <cellStyle name="链接单元格 2 8" xfId="51547"/>
    <cellStyle name="链接单元格 2 8 2" xfId="51548"/>
    <cellStyle name="链接单元格 2 8 2 2" xfId="51549"/>
    <cellStyle name="链接单元格 2 8 2 2 2" xfId="51550"/>
    <cellStyle name="链接单元格 2 8 2 2 2 2" xfId="51551"/>
    <cellStyle name="链接单元格 2 8 2 3" xfId="51552"/>
    <cellStyle name="链接单元格 2 8 2 3 2" xfId="51553"/>
    <cellStyle name="链接单元格 2 8 3" xfId="51554"/>
    <cellStyle name="链接单元格 2 8 3 2" xfId="51555"/>
    <cellStyle name="链接单元格 2 8 3 2 2" xfId="51556"/>
    <cellStyle name="链接单元格 2 8 4" xfId="51557"/>
    <cellStyle name="链接单元格 2 8 4 2" xfId="51558"/>
    <cellStyle name="链接单元格 2 9" xfId="51559"/>
    <cellStyle name="链接单元格 2 9 2" xfId="51560"/>
    <cellStyle name="链接单元格 2 9 2 2" xfId="51561"/>
    <cellStyle name="链接单元格 2 9 2 2 2" xfId="51562"/>
    <cellStyle name="链接单元格 2 9 3" xfId="51563"/>
    <cellStyle name="链接单元格 2 9 3 2" xfId="51564"/>
    <cellStyle name="链接单元格 3" xfId="51565"/>
    <cellStyle name="链接单元格 3 2" xfId="51566"/>
    <cellStyle name="链接单元格 3 2 2" xfId="51567"/>
    <cellStyle name="链接单元格 3 2 2 2" xfId="51568"/>
    <cellStyle name="链接单元格 3 2 2 2 2" xfId="51569"/>
    <cellStyle name="链接单元格 3 2 2 2 3" xfId="51570"/>
    <cellStyle name="链接单元格 3 2 2 2 3 2" xfId="51571"/>
    <cellStyle name="链接单元格 3 2 2 2 3 2 2" xfId="51572"/>
    <cellStyle name="链接单元格 3 2 2 2 4" xfId="51573"/>
    <cellStyle name="链接单元格 3 2 2 2 4 2" xfId="51574"/>
    <cellStyle name="链接单元格 3 2 2 3" xfId="51575"/>
    <cellStyle name="链接单元格 3 2 2 3 2" xfId="51576"/>
    <cellStyle name="链接单元格 3 2 2 3 2 2" xfId="51577"/>
    <cellStyle name="链接单元格 3 2 2 3 2 2 2" xfId="51578"/>
    <cellStyle name="链接单元格 3 2 2 3 3" xfId="51579"/>
    <cellStyle name="链接单元格 3 2 2 3 3 2" xfId="51580"/>
    <cellStyle name="链接单元格 3 2 2 4" xfId="51581"/>
    <cellStyle name="链接单元格 3 2 2 5" xfId="51582"/>
    <cellStyle name="链接单元格 3 2 2 6" xfId="51583"/>
    <cellStyle name="链接单元格 3 2 3" xfId="51584"/>
    <cellStyle name="链接单元格 3 2 3 2" xfId="51585"/>
    <cellStyle name="链接单元格 3 2 3 3" xfId="51586"/>
    <cellStyle name="链接单元格 3 2 3 3 2" xfId="51587"/>
    <cellStyle name="链接单元格 3 2 3 3 2 2" xfId="51588"/>
    <cellStyle name="链接单元格 3 2 3 4" xfId="51589"/>
    <cellStyle name="链接单元格 3 2 3 4 2" xfId="51590"/>
    <cellStyle name="链接单元格 3 2 4" xfId="51591"/>
    <cellStyle name="链接单元格 3 2 4 2" xfId="51592"/>
    <cellStyle name="链接单元格 3 2 4 2 2" xfId="51593"/>
    <cellStyle name="链接单元格 3 2 4 2 2 2" xfId="51594"/>
    <cellStyle name="链接单元格 3 2 4 3" xfId="51595"/>
    <cellStyle name="链接单元格 3 2 4 3 2" xfId="51596"/>
    <cellStyle name="链接单元格 3 2 5" xfId="51597"/>
    <cellStyle name="链接单元格 3 2 6" xfId="51598"/>
    <cellStyle name="链接单元格 3 2 7" xfId="51599"/>
    <cellStyle name="链接单元格 3 3" xfId="51600"/>
    <cellStyle name="链接单元格 3 3 2" xfId="51601"/>
    <cellStyle name="链接单元格 3 3 2 2" xfId="51602"/>
    <cellStyle name="链接单元格 3 3 2 3" xfId="51603"/>
    <cellStyle name="链接单元格 3 3 2 3 2" xfId="51604"/>
    <cellStyle name="链接单元格 3 3 2 3 2 2" xfId="51605"/>
    <cellStyle name="链接单元格 3 3 2 4" xfId="51606"/>
    <cellStyle name="链接单元格 3 3 2 4 2" xfId="51607"/>
    <cellStyle name="链接单元格 3 3 3" xfId="51608"/>
    <cellStyle name="链接单元格 3 3 3 2" xfId="51609"/>
    <cellStyle name="链接单元格 3 3 3 2 2" xfId="51610"/>
    <cellStyle name="链接单元格 3 3 3 2 2 2" xfId="51611"/>
    <cellStyle name="链接单元格 3 3 3 3" xfId="51612"/>
    <cellStyle name="链接单元格 3 3 3 3 2" xfId="51613"/>
    <cellStyle name="链接单元格 3 3 4" xfId="51614"/>
    <cellStyle name="链接单元格 3 3 5" xfId="51615"/>
    <cellStyle name="链接单元格 3 3 6" xfId="51616"/>
    <cellStyle name="链接单元格 3 4" xfId="51617"/>
    <cellStyle name="链接单元格 3 4 2" xfId="51618"/>
    <cellStyle name="链接单元格 3 4 2 2" xfId="51619"/>
    <cellStyle name="链接单元格 3 4 2 3" xfId="51620"/>
    <cellStyle name="链接单元格 3 4 2 3 2" xfId="51621"/>
    <cellStyle name="链接单元格 3 4 2 3 2 2" xfId="51622"/>
    <cellStyle name="链接单元格 3 4 2 4" xfId="51623"/>
    <cellStyle name="链接单元格 3 4 2 4 2" xfId="51624"/>
    <cellStyle name="链接单元格 3 4 3" xfId="51625"/>
    <cellStyle name="链接单元格 3 4 4" xfId="51626"/>
    <cellStyle name="链接单元格 3 4 5" xfId="51627"/>
    <cellStyle name="链接单元格 3 4 6" xfId="51628"/>
    <cellStyle name="链接单元格 3 5" xfId="51629"/>
    <cellStyle name="链接单元格 3 5 2" xfId="51630"/>
    <cellStyle name="链接单元格 3 5 2 2" xfId="51631"/>
    <cellStyle name="链接单元格 3 5 2 2 2" xfId="51632"/>
    <cellStyle name="链接单元格 3 5 2 2 2 2" xfId="51633"/>
    <cellStyle name="链接单元格 3 5 2 3" xfId="51634"/>
    <cellStyle name="链接单元格 3 5 2 3 2" xfId="51635"/>
    <cellStyle name="链接单元格 3 5 3" xfId="51636"/>
    <cellStyle name="链接单元格 3 5 3 2" xfId="51637"/>
    <cellStyle name="链接单元格 3 5 3 2 2" xfId="51638"/>
    <cellStyle name="链接单元格 3 5 4" xfId="51639"/>
    <cellStyle name="链接单元格 3 5 4 2" xfId="51640"/>
    <cellStyle name="链接单元格 3 6" xfId="51641"/>
    <cellStyle name="链接单元格 3 6 2" xfId="51642"/>
    <cellStyle name="链接单元格 3 6 2 2" xfId="51643"/>
    <cellStyle name="链接单元格 3 6 2 2 2" xfId="51644"/>
    <cellStyle name="链接单元格 3 6 3" xfId="51645"/>
    <cellStyle name="链接单元格 3 6 3 2" xfId="51646"/>
    <cellStyle name="链接单元格 3 7" xfId="51647"/>
    <cellStyle name="链接单元格 3 8" xfId="516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202"/>
  <sheetViews>
    <sheetView tabSelected="0" zoomScale="71" zoomScaleNormal="71" workbookViewId="0">
      <selection activeCell="DW15" sqref="DW15"/>
    </sheetView>
  </sheetViews>
  <sheetFormatPr baseColWidth="8" defaultColWidth="12.664" defaultRowHeight="14.4"/>
  <cols>
    <col width="12.664" customWidth="1" style="1" min="1" max="1"/>
    <col width="2.664" customWidth="1" style="1" min="2" max="2"/>
    <col width="4.664" customWidth="1" style="1" min="3" max="3"/>
    <col width="2.664" customWidth="1" style="1" min="4" max="4"/>
    <col width="4.664" customWidth="1" style="1" min="5" max="5"/>
    <col width="2.664" customWidth="1" style="1" min="6" max="6"/>
    <col width="16.664" customWidth="1" style="1" min="7" max="7"/>
    <col width="24.555" customWidth="1" style="1" min="8" max="8"/>
    <col hidden="1" width="11.332" customWidth="1" style="2" min="9" max="9"/>
    <col hidden="1" width="9.664" customWidth="1" style="2" min="10" max="10"/>
    <col width="11.664" customWidth="1" style="2" min="11" max="11"/>
    <col width="14.664" customWidth="1" style="2" min="12" max="12"/>
    <col width="7" customWidth="1" style="2" min="13" max="13"/>
    <col width="7.664" customWidth="1" style="2" min="14" max="14"/>
    <col hidden="1" width="5.664" customWidth="1" style="3" min="15" max="15"/>
    <col hidden="1" width="9" customWidth="1" style="3" min="16" max="16"/>
    <col hidden="1" width="6.332" customWidth="1" style="3" min="17" max="17"/>
    <col hidden="1" width="12" customWidth="1" style="3" min="18" max="18"/>
    <col hidden="1" width="4.441" customWidth="1" style="3" min="19" max="21"/>
    <col hidden="1" width="162.664" customWidth="1" style="3" min="22" max="22"/>
    <col hidden="1" width="4.441" customWidth="1" style="3" min="23" max="24"/>
    <col hidden="1" width="5.441" customWidth="1" style="3" min="25" max="25"/>
    <col hidden="1" width="11" customWidth="1" style="3" min="26" max="26"/>
    <col hidden="1" width="4.441" customWidth="1" style="3" min="27" max="29"/>
    <col hidden="1" width="7.555" customWidth="1" style="3" min="30" max="30"/>
    <col hidden="1" width="4.441" customWidth="1" style="3" min="31" max="33"/>
    <col hidden="1" width="7.555" customWidth="1" style="3" min="34" max="34"/>
    <col hidden="1" width="5.441" customWidth="1" style="3" min="35" max="36"/>
    <col hidden="1" width="4.441" customWidth="1" style="1" min="37" max="37"/>
    <col hidden="1" width="7.332" customWidth="1" style="1" min="38" max="38"/>
    <col hidden="1" width="4.441" customWidth="1" style="1" min="39" max="40"/>
    <col hidden="1" width="5.441" customWidth="1" style="1" min="41" max="41"/>
    <col hidden="1" width="10.441" customWidth="1" style="1" min="42" max="42"/>
    <col hidden="1" width="4.441" customWidth="1" style="1" min="43" max="43"/>
    <col hidden="1" width="5.441" customWidth="1" style="1" min="44" max="45"/>
    <col hidden="1" width="7.332" customWidth="1" style="1" min="46" max="46"/>
    <col hidden="1" width="4.441" customWidth="1" style="1" min="47" max="47"/>
    <col hidden="1" width="5.441" customWidth="1" style="1" min="48" max="48"/>
    <col hidden="1" width="4.441" customWidth="1" style="1" min="49" max="49"/>
    <col hidden="1" width="6.332" customWidth="1" style="1" min="50" max="50"/>
    <col hidden="1" width="5.441" customWidth="1" style="1" min="51" max="53"/>
    <col hidden="1" width="8.332000000000001" customWidth="1" style="1" min="54" max="54"/>
    <col hidden="1" width="5.441" customWidth="1" style="1" min="55" max="55"/>
    <col hidden="1" width="8.441000000000001" customWidth="1" style="1" min="56" max="56"/>
    <col hidden="1" width="21.441" customWidth="1" style="1" min="57" max="57"/>
    <col hidden="1" width="12.664" customWidth="1" style="1" min="58" max="58"/>
    <col hidden="1" width="5.441" customWidth="1" style="1" min="59" max="59"/>
    <col hidden="1" width="9" customWidth="1" style="1" min="60" max="60"/>
    <col hidden="1" width="6.332" customWidth="1" style="1" min="61" max="61"/>
    <col hidden="1" width="13.332" customWidth="1" style="1" min="62" max="62"/>
    <col hidden="1" width="6.664" customWidth="1" style="1" min="63" max="63"/>
    <col hidden="1" width="10.332" customWidth="1" style="1" min="64" max="64"/>
    <col hidden="1" width="5.664" customWidth="1" style="1" min="65" max="65"/>
    <col hidden="1" width="9" customWidth="1" style="1" min="66" max="66"/>
    <col hidden="1" width="6.332" customWidth="1" style="1" min="67" max="67"/>
    <col hidden="1" width="12.441" customWidth="1" style="1" min="68" max="68"/>
    <col hidden="1" width="5.664" customWidth="1" style="1" min="69" max="69"/>
    <col hidden="1" width="9" customWidth="1" style="1" min="70" max="70"/>
    <col hidden="1" width="6.332" customWidth="1" style="1" min="71" max="71"/>
    <col hidden="1" width="12.441" customWidth="1" style="1" min="72" max="72"/>
    <col hidden="1" width="5.664" customWidth="1" style="1" min="73" max="73"/>
    <col hidden="1" width="9" customWidth="1" style="1" min="74" max="74"/>
    <col hidden="1" width="6.332" customWidth="1" style="1" min="75" max="75"/>
    <col hidden="1" width="12.441" customWidth="1" style="1" min="76" max="76"/>
    <col hidden="1" width="5.664" customWidth="1" style="1" min="77" max="77"/>
    <col hidden="1" width="9" customWidth="1" style="1" min="78" max="78"/>
    <col hidden="1" width="6.332" customWidth="1" style="1" min="79" max="79"/>
    <col hidden="1" width="12.441" customWidth="1" style="1" min="80" max="80"/>
    <col hidden="1" width="12.664" customWidth="1" style="1" min="81" max="113"/>
    <col hidden="1" width="10.664" customWidth="1" style="1" min="114" max="126"/>
    <col hidden="1" width="10.664" customWidth="1" style="1" min="127" max="127"/>
    <col hidden="1" width="10.664" customWidth="1" style="1" min="128" max="128"/>
    <col hidden="1" width="10.664" customWidth="1" style="1" min="129" max="129"/>
    <col hidden="1" width="10.664" customWidth="1" style="1" min="130" max="130"/>
    <col width="10.664" customWidth="1" style="1" min="131" max="164"/>
    <col hidden="1" width="10.664" customWidth="1" style="1" min="165" max="264"/>
    <col hidden="1" style="1" min="265" max="265"/>
    <col width="12.664" customWidth="1" style="1" min="266" max="16384"/>
  </cols>
  <sheetData>
    <row r="1">
      <c r="E1" s="4" t="inlineStr">
        <is>
          <t>Дата</t>
        </is>
      </c>
      <c r="F1" s="4" t="n"/>
      <c r="G1" s="5" t="n">
        <v>46170</v>
      </c>
    </row>
    <row r="2">
      <c r="A2" s="6" t="n">
        <v>11.25</v>
      </c>
      <c r="B2" s="6" t="n"/>
      <c r="C2" s="7" t="inlineStr">
        <is>
          <t xml:space="preserve"> - курс юань/рубль</t>
        </is>
      </c>
      <c r="E2" s="6" t="n">
        <v>8.33</v>
      </c>
      <c r="F2" s="6" t="n"/>
      <c r="G2" s="7" t="inlineStr">
        <is>
          <t xml:space="preserve"> - курс евро/юань</t>
        </is>
      </c>
      <c r="BC2" s="8" t="n"/>
      <c r="BD2" s="8" t="n"/>
    </row>
    <row r="3" ht="43.2" customHeight="1">
      <c r="E3" s="4" t="n"/>
      <c r="F3" s="4" t="n"/>
      <c r="G3" s="7" t="n"/>
      <c r="I3" s="9" t="n">
        <v>2024</v>
      </c>
      <c r="J3" s="9" t="n">
        <v>2025</v>
      </c>
      <c r="K3" s="302" t="inlineStr">
        <is>
          <t>2026 - I полугодие</t>
        </is>
      </c>
      <c r="L3" s="302" t="inlineStr">
        <is>
          <t>2026 - II полугодие</t>
        </is>
      </c>
      <c r="M3" s="10" t="n"/>
      <c r="N3" s="10" t="inlineStr">
        <is>
          <t>Валюта продажи</t>
        </is>
      </c>
      <c r="O3" s="342" t="inlineStr">
        <is>
          <t>Продажи 2024</t>
        </is>
      </c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60" t="n"/>
      <c r="AA3" s="360" t="n"/>
      <c r="AB3" s="360" t="n"/>
      <c r="AC3" s="360" t="n"/>
      <c r="AD3" s="360" t="n"/>
      <c r="AE3" s="360" t="n"/>
      <c r="AF3" s="360" t="n"/>
      <c r="AG3" s="360" t="n"/>
      <c r="AH3" s="360" t="n"/>
      <c r="AI3" s="360" t="n"/>
      <c r="AJ3" s="360" t="n"/>
      <c r="AK3" s="360" t="n"/>
      <c r="AL3" s="360" t="n"/>
      <c r="AM3" s="360" t="n"/>
      <c r="AN3" s="360" t="n"/>
      <c r="AO3" s="360" t="n"/>
      <c r="AP3" s="360" t="n"/>
      <c r="AQ3" s="360" t="n"/>
      <c r="AR3" s="360" t="n"/>
      <c r="AS3" s="360" t="n"/>
      <c r="AT3" s="360" t="n"/>
      <c r="AU3" s="360" t="n"/>
      <c r="AV3" s="360" t="n"/>
      <c r="AW3" s="360" t="n"/>
      <c r="AX3" s="360" t="n"/>
      <c r="AY3" s="360" t="n"/>
      <c r="AZ3" s="360" t="n"/>
      <c r="BA3" s="360" t="n"/>
      <c r="BB3" s="360" t="n"/>
      <c r="BC3" s="360" t="n"/>
      <c r="BD3" s="360" t="n"/>
      <c r="BE3" s="360" t="n"/>
      <c r="BF3" s="360" t="n"/>
      <c r="BG3" s="360" t="n"/>
      <c r="BH3" s="360" t="n"/>
      <c r="BI3" s="360" t="n"/>
      <c r="BJ3" s="360" t="n"/>
      <c r="BK3" s="360" t="n"/>
      <c r="BL3" s="361" t="n"/>
      <c r="BM3" s="362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BN3" s="360" t="n"/>
      <c r="BO3" s="360" t="n"/>
      <c r="BP3" s="360" t="n"/>
      <c r="BQ3" s="360" t="n"/>
      <c r="BR3" s="360" t="n"/>
      <c r="BS3" s="360" t="n"/>
      <c r="BT3" s="360" t="n"/>
      <c r="BU3" s="360" t="n"/>
      <c r="BV3" s="360" t="n"/>
      <c r="BW3" s="360" t="n"/>
      <c r="BX3" s="360" t="n"/>
      <c r="BY3" s="360" t="n"/>
      <c r="BZ3" s="360" t="n"/>
      <c r="CA3" s="360" t="n"/>
      <c r="CB3" s="360" t="n"/>
      <c r="CC3" s="360" t="n"/>
      <c r="CD3" s="360" t="n"/>
      <c r="CE3" s="360" t="n"/>
      <c r="CF3" s="360" t="n"/>
      <c r="CG3" s="360" t="n"/>
      <c r="CH3" s="360" t="n"/>
      <c r="CI3" s="360" t="n"/>
      <c r="CJ3" s="360" t="n"/>
      <c r="CK3" s="360" t="n"/>
      <c r="CL3" s="360" t="n"/>
      <c r="CM3" s="360" t="n"/>
      <c r="CN3" s="360" t="n"/>
      <c r="CO3" s="360" t="n"/>
      <c r="CP3" s="360" t="n"/>
      <c r="CQ3" s="360" t="n"/>
      <c r="CR3" s="360" t="n"/>
      <c r="CS3" s="360" t="n"/>
      <c r="CT3" s="360" t="n"/>
      <c r="CU3" s="360" t="n"/>
      <c r="CV3" s="360" t="n"/>
      <c r="CW3" s="360" t="n"/>
      <c r="CX3" s="360" t="n"/>
      <c r="CY3" s="360" t="n"/>
      <c r="CZ3" s="360" t="n"/>
      <c r="DA3" s="360" t="n"/>
      <c r="DB3" s="360" t="n"/>
      <c r="DC3" s="360" t="n"/>
      <c r="DD3" s="360" t="n"/>
      <c r="DE3" s="360" t="n"/>
      <c r="DF3" s="360" t="n"/>
      <c r="DG3" s="360" t="n"/>
      <c r="DH3" s="360" t="n"/>
      <c r="DI3" s="360" t="n"/>
      <c r="DJ3" s="361" t="n"/>
      <c r="DK3" s="363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DL3" s="360" t="n"/>
      <c r="DM3" s="360" t="n"/>
      <c r="DN3" s="360" t="n"/>
      <c r="DO3" s="360" t="n"/>
      <c r="DP3" s="360" t="n"/>
      <c r="DQ3" s="360" t="n"/>
      <c r="DR3" s="360" t="n"/>
      <c r="DS3" s="360" t="n"/>
      <c r="DT3" s="360" t="n"/>
      <c r="DU3" s="360" t="n"/>
      <c r="DV3" s="360" t="n"/>
      <c r="DW3" s="360" t="n"/>
      <c r="DX3" s="360" t="n"/>
      <c r="DY3" s="360" t="n"/>
      <c r="DZ3" s="360" t="n"/>
      <c r="EA3" s="360" t="n"/>
      <c r="EB3" s="360" t="n"/>
      <c r="EC3" s="360" t="n"/>
      <c r="ED3" s="360" t="n"/>
      <c r="EE3" s="360" t="n"/>
      <c r="EF3" s="360" t="n"/>
      <c r="EG3" s="360" t="n"/>
      <c r="EH3" s="360" t="n"/>
      <c r="EI3" s="360" t="n"/>
      <c r="EJ3" s="360" t="n"/>
      <c r="EK3" s="360" t="n"/>
      <c r="EL3" s="360" t="n"/>
      <c r="EM3" s="360" t="n"/>
      <c r="EN3" s="360" t="n"/>
      <c r="EO3" s="360" t="n"/>
      <c r="EP3" s="360" t="n"/>
      <c r="EQ3" s="360" t="n"/>
      <c r="ER3" s="360" t="n"/>
      <c r="ES3" s="360" t="n"/>
      <c r="ET3" s="360" t="n"/>
      <c r="EU3" s="360" t="n"/>
      <c r="EV3" s="360" t="n"/>
      <c r="EW3" s="360" t="n"/>
      <c r="EX3" s="360" t="n"/>
      <c r="EY3" s="360" t="n"/>
      <c r="EZ3" s="360" t="n"/>
      <c r="FA3" s="360" t="n"/>
      <c r="FB3" s="360" t="n"/>
      <c r="FC3" s="360" t="n"/>
      <c r="FD3" s="360" t="n"/>
      <c r="FE3" s="360" t="n"/>
      <c r="FF3" s="360" t="n"/>
      <c r="FG3" s="360" t="n"/>
      <c r="FH3" s="361" t="n"/>
      <c r="FI3" s="364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FJ3" s="360" t="n"/>
      <c r="FK3" s="360" t="n"/>
      <c r="FL3" s="360" t="n"/>
      <c r="FM3" s="360" t="n"/>
      <c r="FN3" s="360" t="n"/>
      <c r="FO3" s="360" t="n"/>
      <c r="FP3" s="360" t="n"/>
      <c r="FQ3" s="360" t="n"/>
      <c r="FR3" s="360" t="n"/>
      <c r="FS3" s="360" t="n"/>
      <c r="FT3" s="360" t="n"/>
      <c r="FU3" s="360" t="n"/>
      <c r="FV3" s="360" t="n"/>
      <c r="FW3" s="360" t="n"/>
      <c r="FX3" s="360" t="n"/>
      <c r="FY3" s="360" t="n"/>
      <c r="FZ3" s="360" t="n"/>
      <c r="GA3" s="360" t="n"/>
      <c r="GB3" s="360" t="n"/>
      <c r="GC3" s="360" t="n"/>
      <c r="GD3" s="360" t="n"/>
      <c r="GE3" s="360" t="n"/>
      <c r="GF3" s="360" t="n"/>
      <c r="GG3" s="360" t="n"/>
      <c r="GH3" s="360" t="n"/>
      <c r="GI3" s="360" t="n"/>
      <c r="GJ3" s="360" t="n"/>
      <c r="GK3" s="360" t="n"/>
      <c r="GL3" s="360" t="n"/>
      <c r="GM3" s="360" t="n"/>
      <c r="GN3" s="360" t="n"/>
      <c r="GO3" s="360" t="n"/>
      <c r="GP3" s="360" t="n"/>
      <c r="GQ3" s="360" t="n"/>
      <c r="GR3" s="360" t="n"/>
      <c r="GS3" s="360" t="n"/>
      <c r="GT3" s="360" t="n"/>
      <c r="GU3" s="360" t="n"/>
      <c r="GV3" s="360" t="n"/>
      <c r="GW3" s="360" t="n"/>
      <c r="GX3" s="360" t="n"/>
      <c r="GY3" s="360" t="n"/>
      <c r="GZ3" s="360" t="n"/>
      <c r="HA3" s="360" t="n"/>
      <c r="HB3" s="360" t="n"/>
      <c r="HC3" s="360" t="n"/>
      <c r="HD3" s="360" t="n"/>
      <c r="HE3" s="360" t="n"/>
      <c r="HF3" s="361" t="n"/>
      <c r="HG3" s="365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HH3" s="360" t="n"/>
      <c r="HI3" s="360" t="n"/>
      <c r="HJ3" s="360" t="n"/>
      <c r="HK3" s="360" t="n"/>
      <c r="HL3" s="360" t="n"/>
      <c r="HM3" s="360" t="n"/>
      <c r="HN3" s="360" t="n"/>
      <c r="HO3" s="360" t="n"/>
      <c r="HP3" s="360" t="n"/>
      <c r="HQ3" s="360" t="n"/>
      <c r="HR3" s="360" t="n"/>
      <c r="HS3" s="360" t="n"/>
      <c r="HT3" s="360" t="n"/>
      <c r="HU3" s="360" t="n"/>
      <c r="HV3" s="360" t="n"/>
      <c r="HW3" s="360" t="n"/>
      <c r="HX3" s="360" t="n"/>
      <c r="HY3" s="360" t="n"/>
      <c r="HZ3" s="360" t="n"/>
      <c r="IA3" s="360" t="n"/>
      <c r="IB3" s="360" t="n"/>
      <c r="IC3" s="360" t="n"/>
      <c r="ID3" s="360" t="n"/>
      <c r="IE3" s="360" t="n"/>
      <c r="IF3" s="360" t="n"/>
      <c r="IG3" s="360" t="n"/>
      <c r="IH3" s="360" t="n"/>
      <c r="II3" s="360" t="n"/>
      <c r="IJ3" s="360" t="n"/>
      <c r="IK3" s="360" t="n"/>
      <c r="IL3" s="360" t="n"/>
      <c r="IM3" s="360" t="n"/>
      <c r="IN3" s="360" t="n"/>
      <c r="IO3" s="360" t="n"/>
      <c r="IP3" s="360" t="n"/>
      <c r="IQ3" s="360" t="n"/>
      <c r="IR3" s="360" t="n"/>
      <c r="IS3" s="360" t="n"/>
      <c r="IT3" s="360" t="n"/>
      <c r="IU3" s="360" t="n"/>
      <c r="IV3" s="360" t="n"/>
      <c r="IW3" s="360" t="n"/>
      <c r="IX3" s="360" t="n"/>
      <c r="IY3" s="360" t="n"/>
      <c r="IZ3" s="360" t="n"/>
      <c r="JA3" s="360" t="n"/>
      <c r="JB3" s="360" t="n"/>
      <c r="JC3" s="360" t="n"/>
      <c r="JD3" s="361" t="n"/>
    </row>
    <row r="4" ht="15" customHeight="1">
      <c r="A4" s="355" t="inlineStr">
        <is>
          <t>Клиент</t>
        </is>
      </c>
      <c r="B4" s="316" t="inlineStr">
        <is>
          <t>Условия платежа</t>
        </is>
      </c>
      <c r="C4" s="355" t="inlineStr">
        <is>
          <t>Поставщик</t>
        </is>
      </c>
      <c r="D4" s="355" t="inlineStr">
        <is>
          <t>Менеджер</t>
        </is>
      </c>
      <c r="E4" s="355" t="inlineStr">
        <is>
          <t>п\п</t>
        </is>
      </c>
      <c r="F4" s="356" t="inlineStr">
        <is>
          <t>2 - продукт WABCO</t>
        </is>
      </c>
      <c r="G4" s="316" t="inlineStr">
        <is>
          <t>Номер изделия/ артикул</t>
        </is>
      </c>
      <c r="H4" s="357" t="inlineStr">
        <is>
          <t>Наименование</t>
        </is>
      </c>
      <c r="I4" s="310" t="inlineStr">
        <is>
          <t>Цена, 
юань, без НДС</t>
        </is>
      </c>
      <c r="J4" s="310" t="inlineStr">
        <is>
          <t>Цена, 
юань, без НДС</t>
        </is>
      </c>
      <c r="K4" s="310" t="inlineStr">
        <is>
          <t>Цена, 
юань, без НДС</t>
        </is>
      </c>
      <c r="L4" s="310" t="inlineStr">
        <is>
          <t>Цена, 
юань, без НДС</t>
        </is>
      </c>
      <c r="M4" s="366" t="inlineStr">
        <is>
          <t>Цена в валюте из контракта с клиентом, без НДС</t>
        </is>
      </c>
      <c r="N4" s="366" t="inlineStr">
        <is>
          <t>Валюта из контракта с клиентом</t>
        </is>
      </c>
      <c r="O4" s="339" t="inlineStr">
        <is>
          <t>Январь 2024</t>
        </is>
      </c>
      <c r="P4" s="360" t="n"/>
      <c r="Q4" s="360" t="n"/>
      <c r="R4" s="340" t="n"/>
      <c r="S4" s="339" t="inlineStr">
        <is>
          <t>Февраль 2024</t>
        </is>
      </c>
      <c r="T4" s="360" t="n"/>
      <c r="U4" s="360" t="n"/>
      <c r="V4" s="340" t="n"/>
      <c r="W4" s="339" t="inlineStr">
        <is>
          <t>Март 2024</t>
        </is>
      </c>
      <c r="X4" s="360" t="n"/>
      <c r="Y4" s="360" t="n"/>
      <c r="Z4" s="340" t="n"/>
      <c r="AA4" s="339" t="inlineStr">
        <is>
          <t>Апрель 2024</t>
        </is>
      </c>
      <c r="AB4" s="360" t="n"/>
      <c r="AC4" s="360" t="n"/>
      <c r="AD4" s="340" t="n"/>
      <c r="AE4" s="339" t="inlineStr">
        <is>
          <t>Май 2024</t>
        </is>
      </c>
      <c r="AF4" s="360" t="n"/>
      <c r="AG4" s="360" t="n"/>
      <c r="AH4" s="340" t="n"/>
      <c r="AI4" s="339" t="inlineStr">
        <is>
          <t>Июнь 2024</t>
        </is>
      </c>
      <c r="AJ4" s="360" t="n"/>
      <c r="AK4" s="360" t="n"/>
      <c r="AL4" s="340" t="n"/>
      <c r="AM4" s="339" t="inlineStr">
        <is>
          <t>Июль 2024</t>
        </is>
      </c>
      <c r="AN4" s="360" t="n"/>
      <c r="AO4" s="360" t="n"/>
      <c r="AP4" s="340" t="n"/>
      <c r="AQ4" s="339" t="inlineStr">
        <is>
          <t>Август 2024</t>
        </is>
      </c>
      <c r="AR4" s="360" t="n"/>
      <c r="AS4" s="360" t="n"/>
      <c r="AT4" s="340" t="n"/>
      <c r="AU4" s="339" t="inlineStr">
        <is>
          <t>Сентябрь 2024</t>
        </is>
      </c>
      <c r="AV4" s="360" t="n"/>
      <c r="AW4" s="360" t="n"/>
      <c r="AX4" s="340" t="n"/>
      <c r="AY4" s="339" t="inlineStr">
        <is>
          <t>Октябрь 2024</t>
        </is>
      </c>
      <c r="AZ4" s="360" t="n"/>
      <c r="BA4" s="360" t="n"/>
      <c r="BB4" s="340" t="n"/>
      <c r="BC4" s="367" t="n">
        <v>45597</v>
      </c>
      <c r="BD4" s="360" t="n"/>
      <c r="BE4" s="360" t="n"/>
      <c r="BF4" s="368" t="n"/>
      <c r="BG4" s="367" t="n">
        <v>45627</v>
      </c>
      <c r="BH4" s="360" t="n"/>
      <c r="BI4" s="360" t="n"/>
      <c r="BJ4" s="368" t="n"/>
      <c r="BK4" s="341" t="inlineStr">
        <is>
          <t>ИТОГО, 2024</t>
        </is>
      </c>
      <c r="BL4" s="361" t="n"/>
      <c r="BM4" s="367" t="n">
        <v>45658</v>
      </c>
      <c r="BN4" s="360" t="n"/>
      <c r="BO4" s="360" t="n"/>
      <c r="BP4" s="369" t="n"/>
      <c r="BQ4" s="367" t="n">
        <v>45689</v>
      </c>
      <c r="BR4" s="360" t="n"/>
      <c r="BS4" s="360" t="n"/>
      <c r="BT4" s="369" t="n"/>
      <c r="BU4" s="367" t="n">
        <v>45717</v>
      </c>
      <c r="BV4" s="360" t="n"/>
      <c r="BW4" s="360" t="n"/>
      <c r="BX4" s="369" t="n"/>
      <c r="BY4" s="367" t="n">
        <v>45748</v>
      </c>
      <c r="BZ4" s="360" t="n"/>
      <c r="CA4" s="360" t="n"/>
      <c r="CB4" s="369" t="n"/>
      <c r="CC4" s="367" t="n">
        <v>45778</v>
      </c>
      <c r="CD4" s="360" t="n"/>
      <c r="CE4" s="360" t="n"/>
      <c r="CF4" s="369" t="n"/>
      <c r="CG4" s="367" t="n">
        <v>45809</v>
      </c>
      <c r="CH4" s="360" t="n"/>
      <c r="CI4" s="360" t="n"/>
      <c r="CJ4" s="369" t="n"/>
      <c r="CK4" s="367" t="n">
        <v>45839</v>
      </c>
      <c r="CL4" s="360" t="n"/>
      <c r="CM4" s="360" t="n"/>
      <c r="CN4" s="369" t="n"/>
      <c r="CO4" s="367" t="n">
        <v>45870</v>
      </c>
      <c r="CP4" s="360" t="n"/>
      <c r="CQ4" s="360" t="n"/>
      <c r="CR4" s="369" t="n"/>
      <c r="CS4" s="367" t="n">
        <v>45901</v>
      </c>
      <c r="CT4" s="360" t="n"/>
      <c r="CU4" s="360" t="n"/>
      <c r="CV4" s="369" t="n"/>
      <c r="CW4" s="367" t="n">
        <v>45931</v>
      </c>
      <c r="CX4" s="360" t="n"/>
      <c r="CY4" s="360" t="n"/>
      <c r="CZ4" s="369" t="n"/>
      <c r="DA4" s="367" t="n">
        <v>45962</v>
      </c>
      <c r="DB4" s="360" t="n"/>
      <c r="DC4" s="360" t="n"/>
      <c r="DD4" s="369" t="n"/>
      <c r="DE4" s="367" t="n">
        <v>45992</v>
      </c>
      <c r="DF4" s="360" t="n"/>
      <c r="DG4" s="360" t="n"/>
      <c r="DH4" s="369" t="n"/>
      <c r="DI4" s="338" t="inlineStr">
        <is>
          <t>ИТОГО, 2025</t>
        </is>
      </c>
      <c r="DJ4" s="361" t="n"/>
      <c r="DK4" s="370" t="n">
        <v>46023</v>
      </c>
      <c r="DL4" s="360" t="n"/>
      <c r="DM4" s="360" t="n"/>
      <c r="DN4" s="371" t="n"/>
      <c r="DO4" s="370" t="n">
        <v>46054</v>
      </c>
      <c r="DP4" s="360" t="n"/>
      <c r="DQ4" s="360" t="n"/>
      <c r="DR4" s="371" t="n"/>
      <c r="DS4" s="370" t="n">
        <v>46082</v>
      </c>
      <c r="DT4" s="360" t="n"/>
      <c r="DU4" s="360" t="n"/>
      <c r="DV4" s="371" t="n"/>
      <c r="DW4" s="370" t="n">
        <v>46113</v>
      </c>
      <c r="DX4" s="360" t="n"/>
      <c r="DY4" s="360" t="n"/>
      <c r="DZ4" s="371" t="n"/>
      <c r="EA4" s="370" t="n">
        <v>46143</v>
      </c>
      <c r="EB4" s="360" t="n"/>
      <c r="EC4" s="360" t="n"/>
      <c r="ED4" s="371" t="n"/>
      <c r="EE4" s="370" t="n">
        <v>46174</v>
      </c>
      <c r="EF4" s="360" t="n"/>
      <c r="EG4" s="360" t="n"/>
      <c r="EH4" s="371" t="n"/>
      <c r="EI4" s="370" t="n">
        <v>46204</v>
      </c>
      <c r="EJ4" s="360" t="n"/>
      <c r="EK4" s="360" t="n"/>
      <c r="EL4" s="371" t="n"/>
      <c r="EM4" s="370" t="n">
        <v>46235</v>
      </c>
      <c r="EN4" s="360" t="n"/>
      <c r="EO4" s="360" t="n"/>
      <c r="EP4" s="371" t="n"/>
      <c r="EQ4" s="370" t="n">
        <v>46266</v>
      </c>
      <c r="ER4" s="360" t="n"/>
      <c r="ES4" s="360" t="n"/>
      <c r="ET4" s="371" t="n"/>
      <c r="EU4" s="370" t="n">
        <v>46296</v>
      </c>
      <c r="EV4" s="360" t="n"/>
      <c r="EW4" s="360" t="n"/>
      <c r="EX4" s="371" t="n"/>
      <c r="EY4" s="370" t="n">
        <v>46327</v>
      </c>
      <c r="EZ4" s="360" t="n"/>
      <c r="FA4" s="360" t="n"/>
      <c r="FB4" s="371" t="n"/>
      <c r="FC4" s="370" t="n">
        <v>46357</v>
      </c>
      <c r="FD4" s="360" t="n"/>
      <c r="FE4" s="360" t="n"/>
      <c r="FF4" s="371" t="n"/>
      <c r="FG4" s="335" t="inlineStr">
        <is>
          <t>ИТОГО, 2026</t>
        </is>
      </c>
      <c r="FH4" s="361" t="n"/>
      <c r="FI4" s="372" t="n">
        <v>46388</v>
      </c>
      <c r="FJ4" s="360" t="n"/>
      <c r="FK4" s="360" t="n"/>
      <c r="FL4" s="373" t="n"/>
      <c r="FM4" s="372" t="n">
        <v>46419</v>
      </c>
      <c r="FN4" s="360" t="n"/>
      <c r="FO4" s="360" t="n"/>
      <c r="FP4" s="373" t="n"/>
      <c r="FQ4" s="372" t="n">
        <v>46447</v>
      </c>
      <c r="FR4" s="360" t="n"/>
      <c r="FS4" s="360" t="n"/>
      <c r="FT4" s="373" t="n"/>
      <c r="FU4" s="372" t="n">
        <v>46478</v>
      </c>
      <c r="FV4" s="360" t="n"/>
      <c r="FW4" s="360" t="n"/>
      <c r="FX4" s="373" t="n"/>
      <c r="FY4" s="372" t="n">
        <v>46508</v>
      </c>
      <c r="FZ4" s="360" t="n"/>
      <c r="GA4" s="360" t="n"/>
      <c r="GB4" s="373" t="n"/>
      <c r="GC4" s="372" t="n">
        <v>46539</v>
      </c>
      <c r="GD4" s="360" t="n"/>
      <c r="GE4" s="360" t="n"/>
      <c r="GF4" s="373" t="n"/>
      <c r="GG4" s="372" t="n">
        <v>46569</v>
      </c>
      <c r="GH4" s="360" t="n"/>
      <c r="GI4" s="360" t="n"/>
      <c r="GJ4" s="373" t="n"/>
      <c r="GK4" s="372" t="n">
        <v>46600</v>
      </c>
      <c r="GL4" s="360" t="n"/>
      <c r="GM4" s="360" t="n"/>
      <c r="GN4" s="373" t="n"/>
      <c r="GO4" s="372" t="n">
        <v>46631</v>
      </c>
      <c r="GP4" s="360" t="n"/>
      <c r="GQ4" s="360" t="n"/>
      <c r="GR4" s="373" t="n"/>
      <c r="GS4" s="372" t="n">
        <v>46661</v>
      </c>
      <c r="GT4" s="360" t="n"/>
      <c r="GU4" s="360" t="n"/>
      <c r="GV4" s="373" t="n"/>
      <c r="GW4" s="372" t="n">
        <v>46692</v>
      </c>
      <c r="GX4" s="360" t="n"/>
      <c r="GY4" s="360" t="n"/>
      <c r="GZ4" s="373" t="n"/>
      <c r="HA4" s="372" t="n">
        <v>46722</v>
      </c>
      <c r="HB4" s="360" t="n"/>
      <c r="HC4" s="360" t="n"/>
      <c r="HD4" s="373" t="n"/>
      <c r="HE4" s="330" t="inlineStr">
        <is>
          <t>ИТОГО, 2027</t>
        </is>
      </c>
      <c r="HF4" s="361" t="n"/>
      <c r="HG4" s="374" t="n">
        <v>46753</v>
      </c>
      <c r="HH4" s="360" t="n"/>
      <c r="HI4" s="360" t="n"/>
      <c r="HJ4" s="375" t="n"/>
      <c r="HK4" s="374" t="n">
        <v>46784</v>
      </c>
      <c r="HL4" s="360" t="n"/>
      <c r="HM4" s="360" t="n"/>
      <c r="HN4" s="375" t="n"/>
      <c r="HO4" s="374" t="n">
        <v>46813</v>
      </c>
      <c r="HP4" s="360" t="n"/>
      <c r="HQ4" s="360" t="n"/>
      <c r="HR4" s="375" t="n"/>
      <c r="HS4" s="374" t="n">
        <v>46844</v>
      </c>
      <c r="HT4" s="360" t="n"/>
      <c r="HU4" s="360" t="n"/>
      <c r="HV4" s="375" t="n"/>
      <c r="HW4" s="374" t="n">
        <v>46874</v>
      </c>
      <c r="HX4" s="360" t="n"/>
      <c r="HY4" s="360" t="n"/>
      <c r="HZ4" s="375" t="n"/>
      <c r="IA4" s="374" t="n">
        <v>46905</v>
      </c>
      <c r="IB4" s="360" t="n"/>
      <c r="IC4" s="360" t="n"/>
      <c r="ID4" s="375" t="n"/>
      <c r="IE4" s="374" t="n">
        <v>46935</v>
      </c>
      <c r="IF4" s="360" t="n"/>
      <c r="IG4" s="360" t="n"/>
      <c r="IH4" s="375" t="n"/>
      <c r="II4" s="374" t="n">
        <v>46966</v>
      </c>
      <c r="IJ4" s="360" t="n"/>
      <c r="IK4" s="360" t="n"/>
      <c r="IL4" s="375" t="n"/>
      <c r="IM4" s="374" t="n">
        <v>46997</v>
      </c>
      <c r="IN4" s="360" t="n"/>
      <c r="IO4" s="360" t="n"/>
      <c r="IP4" s="375" t="n"/>
      <c r="IQ4" s="374" t="n">
        <v>47027</v>
      </c>
      <c r="IR4" s="360" t="n"/>
      <c r="IS4" s="360" t="n"/>
      <c r="IT4" s="375" t="n"/>
      <c r="IU4" s="374" t="n">
        <v>47058</v>
      </c>
      <c r="IV4" s="360" t="n"/>
      <c r="IW4" s="360" t="n"/>
      <c r="IX4" s="375" t="n"/>
      <c r="IY4" s="374" t="n">
        <v>47088</v>
      </c>
      <c r="IZ4" s="360" t="n"/>
      <c r="JA4" s="360" t="n"/>
      <c r="JB4" s="375" t="n"/>
      <c r="JC4" s="329" t="inlineStr">
        <is>
          <t>ИТОГО, 2028</t>
        </is>
      </c>
      <c r="JD4" s="361" t="n"/>
    </row>
    <row r="5" ht="57.6" customHeight="1">
      <c r="A5" s="232" t="n"/>
      <c r="B5" s="232" t="n"/>
      <c r="C5" s="232" t="n"/>
      <c r="D5" s="232" t="n"/>
      <c r="E5" s="232" t="n"/>
      <c r="F5" s="376" t="n"/>
      <c r="G5" s="232" t="n"/>
      <c r="H5" s="377" t="n"/>
      <c r="I5" s="232" t="n"/>
      <c r="J5" s="232" t="n"/>
      <c r="K5" s="232" t="n"/>
      <c r="L5" s="232" t="n"/>
      <c r="M5" s="376" t="n"/>
      <c r="N5" s="376" t="n"/>
      <c r="O5" s="19" t="inlineStr">
        <is>
          <t>AOP,
шт</t>
        </is>
      </c>
      <c r="P5" s="20" t="inlineStr">
        <is>
          <t>Прогноз,
шт</t>
        </is>
      </c>
      <c r="Q5" s="21" t="inlineStr">
        <is>
          <t>Факт,
шт</t>
        </is>
      </c>
      <c r="R5" s="22" t="inlineStr">
        <is>
          <t>Коментарий</t>
        </is>
      </c>
      <c r="S5" s="19" t="inlineStr">
        <is>
          <t>AOP,
шт</t>
        </is>
      </c>
      <c r="T5" s="20" t="inlineStr">
        <is>
          <t>Прогноз,
шт</t>
        </is>
      </c>
      <c r="U5" s="21" t="inlineStr">
        <is>
          <t>Факт,
шт</t>
        </is>
      </c>
      <c r="V5" s="22" t="inlineStr">
        <is>
          <t>Коментарий</t>
        </is>
      </c>
      <c r="W5" s="19" t="inlineStr">
        <is>
          <t>AOP,
шт</t>
        </is>
      </c>
      <c r="X5" s="20" t="inlineStr">
        <is>
          <t>Прогноз,
шт</t>
        </is>
      </c>
      <c r="Y5" s="21" t="inlineStr">
        <is>
          <t>Факт,
шт</t>
        </is>
      </c>
      <c r="Z5" s="22" t="inlineStr">
        <is>
          <t>Коментарий</t>
        </is>
      </c>
      <c r="AA5" s="19" t="inlineStr">
        <is>
          <t>AOP,
шт</t>
        </is>
      </c>
      <c r="AB5" s="20" t="inlineStr">
        <is>
          <t>Прогноз,
шт</t>
        </is>
      </c>
      <c r="AC5" s="21" t="inlineStr">
        <is>
          <t>Факт,
шт</t>
        </is>
      </c>
      <c r="AD5" s="22" t="inlineStr">
        <is>
          <t>Коментарий</t>
        </is>
      </c>
      <c r="AE5" s="19" t="inlineStr">
        <is>
          <t>AOP,
шт</t>
        </is>
      </c>
      <c r="AF5" s="23" t="inlineStr">
        <is>
          <t>Прогноз,
шт</t>
        </is>
      </c>
      <c r="AG5" s="21" t="inlineStr">
        <is>
          <t>Факт,
шт</t>
        </is>
      </c>
      <c r="AH5" s="22" t="inlineStr">
        <is>
          <t>Коментарий</t>
        </is>
      </c>
      <c r="AI5" s="19" t="inlineStr">
        <is>
          <t>AOP,
шт</t>
        </is>
      </c>
      <c r="AJ5" s="20" t="inlineStr">
        <is>
          <t>Прогноз,
шт</t>
        </is>
      </c>
      <c r="AK5" s="21" t="inlineStr">
        <is>
          <t>Факт,
шт</t>
        </is>
      </c>
      <c r="AL5" s="22" t="inlineStr">
        <is>
          <t>Коментарий</t>
        </is>
      </c>
      <c r="AM5" s="19" t="inlineStr">
        <is>
          <t>AOP,
шт</t>
        </is>
      </c>
      <c r="AN5" s="20" t="inlineStr">
        <is>
          <t>Прогноз,
шт</t>
        </is>
      </c>
      <c r="AO5" s="21" t="inlineStr">
        <is>
          <t>Факт,
шт</t>
        </is>
      </c>
      <c r="AP5" s="22" t="inlineStr">
        <is>
          <t>Коментарий</t>
        </is>
      </c>
      <c r="AQ5" s="19" t="inlineStr">
        <is>
          <t>AOP,
шт</t>
        </is>
      </c>
      <c r="AR5" s="20" t="inlineStr">
        <is>
          <t>Прогноз,
шт</t>
        </is>
      </c>
      <c r="AS5" s="21" t="inlineStr">
        <is>
          <t>Факт,
шт</t>
        </is>
      </c>
      <c r="AT5" s="22" t="inlineStr">
        <is>
          <t>Коментарий</t>
        </is>
      </c>
      <c r="AU5" s="19" t="inlineStr">
        <is>
          <t>AOP,
шт</t>
        </is>
      </c>
      <c r="AV5" s="20" t="inlineStr">
        <is>
          <t>Прогноз,
шт</t>
        </is>
      </c>
      <c r="AW5" s="21" t="inlineStr">
        <is>
          <t>Факт,
шт</t>
        </is>
      </c>
      <c r="AX5" s="22" t="inlineStr">
        <is>
          <t>Коментарий</t>
        </is>
      </c>
      <c r="AY5" s="19" t="inlineStr">
        <is>
          <t>AOP,
шт</t>
        </is>
      </c>
      <c r="AZ5" s="20" t="inlineStr">
        <is>
          <t>Прогноз,
шт</t>
        </is>
      </c>
      <c r="BA5" s="21" t="inlineStr">
        <is>
          <t>Факт,
шт</t>
        </is>
      </c>
      <c r="BB5" s="22" t="inlineStr">
        <is>
          <t>Коментарий</t>
        </is>
      </c>
      <c r="BC5" s="19" t="inlineStr">
        <is>
          <t>AOP,
шт</t>
        </is>
      </c>
      <c r="BD5" s="20" t="inlineStr">
        <is>
          <t>Прогноз,
шт</t>
        </is>
      </c>
      <c r="BE5" s="21" t="inlineStr">
        <is>
          <t>Факт,
шт</t>
        </is>
      </c>
      <c r="BF5" s="22" t="inlineStr">
        <is>
          <t>Коментарий</t>
        </is>
      </c>
      <c r="BG5" s="19" t="inlineStr">
        <is>
          <t>AOP,
шт</t>
        </is>
      </c>
      <c r="BH5" s="20" t="inlineStr">
        <is>
          <t>Прогноз,
шт</t>
        </is>
      </c>
      <c r="BI5" s="21" t="inlineStr">
        <is>
          <t>Факт,
шт</t>
        </is>
      </c>
      <c r="BJ5" s="22" t="inlineStr">
        <is>
          <t>Коментарий</t>
        </is>
      </c>
      <c r="BK5" s="24" t="inlineStr">
        <is>
          <t>AOP,
шт</t>
        </is>
      </c>
      <c r="BL5" s="24" t="inlineStr">
        <is>
          <t>Продажи AOP, CNY</t>
        </is>
      </c>
      <c r="BM5" s="19" t="inlineStr">
        <is>
          <t>AOP,
шт</t>
        </is>
      </c>
      <c r="BN5" s="20" t="inlineStr">
        <is>
          <t>Прогноз,
шт</t>
        </is>
      </c>
      <c r="BO5" s="21" t="inlineStr">
        <is>
          <t>Факт,
шт</t>
        </is>
      </c>
      <c r="BP5" s="22" t="inlineStr">
        <is>
          <t>Коментарий</t>
        </is>
      </c>
      <c r="BQ5" s="19" t="inlineStr">
        <is>
          <t>AOP,
шт</t>
        </is>
      </c>
      <c r="BR5" s="20" t="inlineStr">
        <is>
          <t>Прогноз,
шт</t>
        </is>
      </c>
      <c r="BS5" s="21" t="inlineStr">
        <is>
          <t>Факт,
шт</t>
        </is>
      </c>
      <c r="BT5" s="22" t="inlineStr">
        <is>
          <t>Коментарий</t>
        </is>
      </c>
      <c r="BU5" s="19" t="inlineStr">
        <is>
          <t>AOP,
шт</t>
        </is>
      </c>
      <c r="BV5" s="20" t="inlineStr">
        <is>
          <t>Прогноз,
шт</t>
        </is>
      </c>
      <c r="BW5" s="21" t="inlineStr">
        <is>
          <t>Факт,
шт</t>
        </is>
      </c>
      <c r="BX5" s="22" t="inlineStr">
        <is>
          <t>Коментарий</t>
        </is>
      </c>
      <c r="BY5" s="19" t="inlineStr">
        <is>
          <t>AOP,
шт</t>
        </is>
      </c>
      <c r="BZ5" s="20" t="inlineStr">
        <is>
          <t>Прогноз,
шт</t>
        </is>
      </c>
      <c r="CA5" s="21" t="inlineStr">
        <is>
          <t>Факт,
шт</t>
        </is>
      </c>
      <c r="CB5" s="22" t="inlineStr">
        <is>
          <t>Коментарий</t>
        </is>
      </c>
      <c r="CC5" s="19" t="inlineStr">
        <is>
          <t>AOP,
шт</t>
        </is>
      </c>
      <c r="CD5" s="23" t="inlineStr">
        <is>
          <t>Прогноз,
шт</t>
        </is>
      </c>
      <c r="CE5" s="21" t="inlineStr">
        <is>
          <t>Факт,
шт</t>
        </is>
      </c>
      <c r="CF5" s="22" t="inlineStr">
        <is>
          <t>Коментарий</t>
        </is>
      </c>
      <c r="CG5" s="19" t="inlineStr">
        <is>
          <t>AOP,
шт</t>
        </is>
      </c>
      <c r="CH5" s="20" t="inlineStr">
        <is>
          <t>Прогноз,
шт</t>
        </is>
      </c>
      <c r="CI5" s="21" t="inlineStr">
        <is>
          <t>Факт,
шт</t>
        </is>
      </c>
      <c r="CJ5" s="22" t="inlineStr">
        <is>
          <t>Коментарий</t>
        </is>
      </c>
      <c r="CK5" s="19" t="inlineStr">
        <is>
          <t>AOP,
шт</t>
        </is>
      </c>
      <c r="CL5" s="20" t="inlineStr">
        <is>
          <t>Прогноз,
шт</t>
        </is>
      </c>
      <c r="CM5" s="21" t="inlineStr">
        <is>
          <t>Факт,
шт</t>
        </is>
      </c>
      <c r="CN5" s="22" t="inlineStr">
        <is>
          <t>Коментарий</t>
        </is>
      </c>
      <c r="CO5" s="19" t="inlineStr">
        <is>
          <t>AOP,
шт</t>
        </is>
      </c>
      <c r="CP5" s="20" t="inlineStr">
        <is>
          <t>Прогноз,
шт</t>
        </is>
      </c>
      <c r="CQ5" s="21" t="inlineStr">
        <is>
          <t>Факт,
шт</t>
        </is>
      </c>
      <c r="CR5" s="22" t="inlineStr">
        <is>
          <t>Коментарий</t>
        </is>
      </c>
      <c r="CS5" s="19" t="inlineStr">
        <is>
          <t>AOP,
шт</t>
        </is>
      </c>
      <c r="CT5" s="20" t="inlineStr">
        <is>
          <t>Прогноз,
шт</t>
        </is>
      </c>
      <c r="CU5" s="21" t="inlineStr">
        <is>
          <t>Факт,
шт</t>
        </is>
      </c>
      <c r="CV5" s="22" t="inlineStr">
        <is>
          <t>Коментарий</t>
        </is>
      </c>
      <c r="CW5" s="19" t="inlineStr">
        <is>
          <t>AOP,
шт</t>
        </is>
      </c>
      <c r="CX5" s="20" t="inlineStr">
        <is>
          <t>Прогноз,
шт</t>
        </is>
      </c>
      <c r="CY5" s="21" t="inlineStr">
        <is>
          <t>Факт,
шт</t>
        </is>
      </c>
      <c r="CZ5" s="22" t="inlineStr">
        <is>
          <t>Коментарий</t>
        </is>
      </c>
      <c r="DA5" s="19" t="inlineStr">
        <is>
          <t>AOP,
шт</t>
        </is>
      </c>
      <c r="DB5" s="20" t="inlineStr">
        <is>
          <t>Прогноз,
шт</t>
        </is>
      </c>
      <c r="DC5" s="21" t="inlineStr">
        <is>
          <t>Факт,
шт</t>
        </is>
      </c>
      <c r="DD5" s="22" t="inlineStr">
        <is>
          <t>Коментарий</t>
        </is>
      </c>
      <c r="DE5" s="19" t="inlineStr">
        <is>
          <t>AOP,
шт</t>
        </is>
      </c>
      <c r="DF5" s="20" t="inlineStr">
        <is>
          <t>Прогноз,
шт</t>
        </is>
      </c>
      <c r="DG5" s="21" t="inlineStr">
        <is>
          <t>Факт,
шт</t>
        </is>
      </c>
      <c r="DH5" s="22" t="inlineStr">
        <is>
          <t>Коментарий</t>
        </is>
      </c>
      <c r="DI5" s="24" t="inlineStr">
        <is>
          <t>AOP,
шт</t>
        </is>
      </c>
      <c r="DJ5" s="24" t="inlineStr">
        <is>
          <t>Продажи AOP, CNY</t>
        </is>
      </c>
      <c r="DK5" s="19" t="inlineStr">
        <is>
          <t>AOP,
шт</t>
        </is>
      </c>
      <c r="DL5" s="20" t="inlineStr">
        <is>
          <t>Прогноз,
шт</t>
        </is>
      </c>
      <c r="DM5" s="21" t="inlineStr">
        <is>
          <t>Факт,
шт</t>
        </is>
      </c>
      <c r="DN5" s="22" t="inlineStr">
        <is>
          <t>Коментарий</t>
        </is>
      </c>
      <c r="DO5" s="19" t="inlineStr">
        <is>
          <t>AOP,
шт</t>
        </is>
      </c>
      <c r="DP5" s="20" t="inlineStr">
        <is>
          <t>Прогноз,
шт</t>
        </is>
      </c>
      <c r="DQ5" s="21" t="inlineStr">
        <is>
          <t>Факт,
шт</t>
        </is>
      </c>
      <c r="DR5" s="22" t="inlineStr">
        <is>
          <t>Коментарий</t>
        </is>
      </c>
      <c r="DS5" s="19" t="inlineStr">
        <is>
          <t>AOP,
шт</t>
        </is>
      </c>
      <c r="DT5" s="20" t="inlineStr">
        <is>
          <t>Прогноз,
шт</t>
        </is>
      </c>
      <c r="DU5" s="21" t="inlineStr">
        <is>
          <t>Факт,
шт</t>
        </is>
      </c>
      <c r="DV5" s="22" t="inlineStr">
        <is>
          <t>Коментарий</t>
        </is>
      </c>
      <c r="DW5" s="19" t="inlineStr">
        <is>
          <t>AOP,
шт</t>
        </is>
      </c>
      <c r="DX5" s="20" t="inlineStr">
        <is>
          <t>Прогноз,
шт</t>
        </is>
      </c>
      <c r="DY5" s="21" t="inlineStr">
        <is>
          <t>Факт,
шт</t>
        </is>
      </c>
      <c r="DZ5" s="22" t="inlineStr">
        <is>
          <t>Коментарий</t>
        </is>
      </c>
      <c r="EA5" s="19" t="inlineStr">
        <is>
          <t>AOP,
шт</t>
        </is>
      </c>
      <c r="EB5" s="304" t="inlineStr">
        <is>
          <t>Прогноз,
шт</t>
        </is>
      </c>
      <c r="EC5" s="21" t="inlineStr">
        <is>
          <t>Факт,
шт</t>
        </is>
      </c>
      <c r="ED5" s="22" t="inlineStr">
        <is>
          <t>Коментарий</t>
        </is>
      </c>
      <c r="EE5" s="19" t="inlineStr">
        <is>
          <t>AOP,
шт</t>
        </is>
      </c>
      <c r="EF5" s="20" t="inlineStr">
        <is>
          <t>Прогноз,
шт</t>
        </is>
      </c>
      <c r="EG5" s="21" t="inlineStr">
        <is>
          <t>Факт,
шт</t>
        </is>
      </c>
      <c r="EH5" s="22" t="inlineStr">
        <is>
          <t>Коментарий</t>
        </is>
      </c>
      <c r="EI5" s="19" t="inlineStr">
        <is>
          <t>AOP,
шт</t>
        </is>
      </c>
      <c r="EJ5" s="20" t="inlineStr">
        <is>
          <t>Прогноз,
шт</t>
        </is>
      </c>
      <c r="EK5" s="21" t="inlineStr">
        <is>
          <t>Факт,
шт</t>
        </is>
      </c>
      <c r="EL5" s="22" t="inlineStr">
        <is>
          <t>Коментарий</t>
        </is>
      </c>
      <c r="EM5" s="19" t="inlineStr">
        <is>
          <t>AOP,
шт</t>
        </is>
      </c>
      <c r="EN5" s="20" t="inlineStr">
        <is>
          <t>Прогноз,
шт</t>
        </is>
      </c>
      <c r="EO5" s="21" t="inlineStr">
        <is>
          <t>Факт,
шт</t>
        </is>
      </c>
      <c r="EP5" s="22" t="inlineStr">
        <is>
          <t>Коментарий</t>
        </is>
      </c>
      <c r="EQ5" s="19" t="inlineStr">
        <is>
          <t>AOP,
шт</t>
        </is>
      </c>
      <c r="ER5" s="20" t="inlineStr">
        <is>
          <t>Прогноз,
шт</t>
        </is>
      </c>
      <c r="ES5" s="21" t="inlineStr">
        <is>
          <t>Факт,
шт</t>
        </is>
      </c>
      <c r="ET5" s="22" t="inlineStr">
        <is>
          <t>Коментарий</t>
        </is>
      </c>
      <c r="EU5" s="19" t="inlineStr">
        <is>
          <t>AOP,
шт</t>
        </is>
      </c>
      <c r="EV5" s="20" t="inlineStr">
        <is>
          <t>Прогноз,
шт</t>
        </is>
      </c>
      <c r="EW5" s="21" t="inlineStr">
        <is>
          <t>Факт,
шт</t>
        </is>
      </c>
      <c r="EX5" s="22" t="inlineStr">
        <is>
          <t>Коментарий</t>
        </is>
      </c>
      <c r="EY5" s="19" t="inlineStr">
        <is>
          <t>AOP,
шт</t>
        </is>
      </c>
      <c r="EZ5" s="20" t="inlineStr">
        <is>
          <t>Прогноз,
шт</t>
        </is>
      </c>
      <c r="FA5" s="21" t="inlineStr">
        <is>
          <t>Факт,
шт</t>
        </is>
      </c>
      <c r="FB5" s="22" t="inlineStr">
        <is>
          <t>Коментарий</t>
        </is>
      </c>
      <c r="FC5" s="19" t="inlineStr">
        <is>
          <t>AOP,
шт</t>
        </is>
      </c>
      <c r="FD5" s="20" t="inlineStr">
        <is>
          <t>Прогноз,
шт</t>
        </is>
      </c>
      <c r="FE5" s="21" t="inlineStr">
        <is>
          <t>Факт,
шт</t>
        </is>
      </c>
      <c r="FF5" s="22" t="inlineStr">
        <is>
          <t>Коментарий</t>
        </is>
      </c>
      <c r="FG5" s="24" t="inlineStr">
        <is>
          <t>AOP,
шт</t>
        </is>
      </c>
      <c r="FH5" s="24" t="inlineStr">
        <is>
          <t>Продажи AOP, CNY</t>
        </is>
      </c>
      <c r="FI5" s="19" t="inlineStr">
        <is>
          <t>AOP,
шт</t>
        </is>
      </c>
      <c r="FJ5" s="20" t="inlineStr">
        <is>
          <t>Прогноз,
шт</t>
        </is>
      </c>
      <c r="FK5" s="21" t="inlineStr">
        <is>
          <t>Факт,
шт</t>
        </is>
      </c>
      <c r="FL5" s="22" t="inlineStr">
        <is>
          <t>Коментарий</t>
        </is>
      </c>
      <c r="FM5" s="19" t="inlineStr">
        <is>
          <t>AOP,
шт</t>
        </is>
      </c>
      <c r="FN5" s="20" t="inlineStr">
        <is>
          <t>Прогноз,
шт</t>
        </is>
      </c>
      <c r="FO5" s="21" t="inlineStr">
        <is>
          <t>Факт,
шт</t>
        </is>
      </c>
      <c r="FP5" s="22" t="inlineStr">
        <is>
          <t>Коментарий</t>
        </is>
      </c>
      <c r="FQ5" s="19" t="inlineStr">
        <is>
          <t>AOP,
шт</t>
        </is>
      </c>
      <c r="FR5" s="20" t="inlineStr">
        <is>
          <t>Прогноз,
шт</t>
        </is>
      </c>
      <c r="FS5" s="21" t="inlineStr">
        <is>
          <t>Факт,
шт</t>
        </is>
      </c>
      <c r="FT5" s="22" t="inlineStr">
        <is>
          <t>Коментарий</t>
        </is>
      </c>
      <c r="FU5" s="19" t="inlineStr">
        <is>
          <t>AOP,
шт</t>
        </is>
      </c>
      <c r="FV5" s="20" t="inlineStr">
        <is>
          <t>Прогноз,
шт</t>
        </is>
      </c>
      <c r="FW5" s="21" t="inlineStr">
        <is>
          <t>Факт,
шт</t>
        </is>
      </c>
      <c r="FX5" s="22" t="inlineStr">
        <is>
          <t>Коментарий</t>
        </is>
      </c>
      <c r="FY5" s="19" t="inlineStr">
        <is>
          <t>AOP,
шт</t>
        </is>
      </c>
      <c r="FZ5" s="20" t="inlineStr">
        <is>
          <t>Прогноз,
шт</t>
        </is>
      </c>
      <c r="GA5" s="21" t="inlineStr">
        <is>
          <t>Факт,
шт</t>
        </is>
      </c>
      <c r="GB5" s="22" t="inlineStr">
        <is>
          <t>Коментарий</t>
        </is>
      </c>
      <c r="GC5" s="19" t="inlineStr">
        <is>
          <t>AOP,
шт</t>
        </is>
      </c>
      <c r="GD5" s="20" t="inlineStr">
        <is>
          <t>Прогноз,
шт</t>
        </is>
      </c>
      <c r="GE5" s="21" t="inlineStr">
        <is>
          <t>Факт,
шт</t>
        </is>
      </c>
      <c r="GF5" s="22" t="inlineStr">
        <is>
          <t>Коментарий</t>
        </is>
      </c>
      <c r="GG5" s="19" t="inlineStr">
        <is>
          <t>AOP,
шт</t>
        </is>
      </c>
      <c r="GH5" s="20" t="inlineStr">
        <is>
          <t>Прогноз,
шт</t>
        </is>
      </c>
      <c r="GI5" s="21" t="inlineStr">
        <is>
          <t>Факт,
шт</t>
        </is>
      </c>
      <c r="GJ5" s="22" t="inlineStr">
        <is>
          <t>Коментарий</t>
        </is>
      </c>
      <c r="GK5" s="19" t="inlineStr">
        <is>
          <t>AOP,
шт</t>
        </is>
      </c>
      <c r="GL5" s="20" t="inlineStr">
        <is>
          <t>Прогноз,
шт</t>
        </is>
      </c>
      <c r="GM5" s="21" t="inlineStr">
        <is>
          <t>Факт,
шт</t>
        </is>
      </c>
      <c r="GN5" s="22" t="inlineStr">
        <is>
          <t>Коментарий</t>
        </is>
      </c>
      <c r="GO5" s="19" t="inlineStr">
        <is>
          <t>AOP,
шт</t>
        </is>
      </c>
      <c r="GP5" s="20" t="inlineStr">
        <is>
          <t>Прогноз,
шт</t>
        </is>
      </c>
      <c r="GQ5" s="21" t="inlineStr">
        <is>
          <t>Факт,
шт</t>
        </is>
      </c>
      <c r="GR5" s="22" t="inlineStr">
        <is>
          <t>Коментарий</t>
        </is>
      </c>
      <c r="GS5" s="19" t="inlineStr">
        <is>
          <t>AOP,
шт</t>
        </is>
      </c>
      <c r="GT5" s="20" t="inlineStr">
        <is>
          <t>Прогноз,
шт</t>
        </is>
      </c>
      <c r="GU5" s="21" t="inlineStr">
        <is>
          <t>Факт,
шт</t>
        </is>
      </c>
      <c r="GV5" s="22" t="inlineStr">
        <is>
          <t>Коментарий</t>
        </is>
      </c>
      <c r="GW5" s="19" t="inlineStr">
        <is>
          <t>AOP,
шт</t>
        </is>
      </c>
      <c r="GX5" s="20" t="inlineStr">
        <is>
          <t>Прогноз,
шт</t>
        </is>
      </c>
      <c r="GY5" s="21" t="inlineStr">
        <is>
          <t>Факт,
шт</t>
        </is>
      </c>
      <c r="GZ5" s="22" t="inlineStr">
        <is>
          <t>Коментарий</t>
        </is>
      </c>
      <c r="HA5" s="19" t="inlineStr">
        <is>
          <t>AOP,
шт</t>
        </is>
      </c>
      <c r="HB5" s="20" t="inlineStr">
        <is>
          <t>Прогноз,
шт</t>
        </is>
      </c>
      <c r="HC5" s="21" t="inlineStr">
        <is>
          <t>Факт,
шт</t>
        </is>
      </c>
      <c r="HD5" s="22" t="inlineStr">
        <is>
          <t>Коментарий</t>
        </is>
      </c>
      <c r="HE5" s="24" t="inlineStr">
        <is>
          <t>AOP,
шт</t>
        </is>
      </c>
      <c r="HF5" s="24" t="inlineStr">
        <is>
          <t>Продажи AOP, CNY</t>
        </is>
      </c>
      <c r="HG5" s="19" t="inlineStr">
        <is>
          <t>AOP,
шт</t>
        </is>
      </c>
      <c r="HH5" s="20" t="inlineStr">
        <is>
          <t>Прогноз,
шт</t>
        </is>
      </c>
      <c r="HI5" s="21" t="inlineStr">
        <is>
          <t>Факт,
шт</t>
        </is>
      </c>
      <c r="HJ5" s="22" t="inlineStr">
        <is>
          <t>Коментарий</t>
        </is>
      </c>
      <c r="HK5" s="19" t="inlineStr">
        <is>
          <t>AOP,
шт</t>
        </is>
      </c>
      <c r="HL5" s="20" t="inlineStr">
        <is>
          <t>Прогноз,
шт</t>
        </is>
      </c>
      <c r="HM5" s="21" t="inlineStr">
        <is>
          <t>Факт,
шт</t>
        </is>
      </c>
      <c r="HN5" s="22" t="inlineStr">
        <is>
          <t>Коментарий</t>
        </is>
      </c>
      <c r="HO5" s="19" t="inlineStr">
        <is>
          <t>AOP,
шт</t>
        </is>
      </c>
      <c r="HP5" s="20" t="inlineStr">
        <is>
          <t>Прогноз,
шт</t>
        </is>
      </c>
      <c r="HQ5" s="21" t="inlineStr">
        <is>
          <t>Факт,
шт</t>
        </is>
      </c>
      <c r="HR5" s="22" t="inlineStr">
        <is>
          <t>Коментарий</t>
        </is>
      </c>
      <c r="HS5" s="19" t="inlineStr">
        <is>
          <t>AOP,
шт</t>
        </is>
      </c>
      <c r="HT5" s="20" t="inlineStr">
        <is>
          <t>Прогноз,
шт</t>
        </is>
      </c>
      <c r="HU5" s="21" t="inlineStr">
        <is>
          <t>Факт,
шт</t>
        </is>
      </c>
      <c r="HV5" s="22" t="inlineStr">
        <is>
          <t>Коментарий</t>
        </is>
      </c>
      <c r="HW5" s="19" t="inlineStr">
        <is>
          <t>AOP,
шт</t>
        </is>
      </c>
      <c r="HX5" s="20" t="inlineStr">
        <is>
          <t>Прогноз,
шт</t>
        </is>
      </c>
      <c r="HY5" s="21" t="inlineStr">
        <is>
          <t>Факт,
шт</t>
        </is>
      </c>
      <c r="HZ5" s="22" t="inlineStr">
        <is>
          <t>Коментарий</t>
        </is>
      </c>
      <c r="IA5" s="19" t="inlineStr">
        <is>
          <t>AOP,
шт</t>
        </is>
      </c>
      <c r="IB5" s="20" t="inlineStr">
        <is>
          <t>Прогноз,
шт</t>
        </is>
      </c>
      <c r="IC5" s="21" t="inlineStr">
        <is>
          <t>Факт,
шт</t>
        </is>
      </c>
      <c r="ID5" s="22" t="inlineStr">
        <is>
          <t>Коментарий</t>
        </is>
      </c>
      <c r="IE5" s="19" t="inlineStr">
        <is>
          <t>AOP,
шт</t>
        </is>
      </c>
      <c r="IF5" s="20" t="inlineStr">
        <is>
          <t>Прогноз,
шт</t>
        </is>
      </c>
      <c r="IG5" s="21" t="inlineStr">
        <is>
          <t>Факт,
шт</t>
        </is>
      </c>
      <c r="IH5" s="22" t="inlineStr">
        <is>
          <t>Коментарий</t>
        </is>
      </c>
      <c r="II5" s="19" t="inlineStr">
        <is>
          <t>AOP,
шт</t>
        </is>
      </c>
      <c r="IJ5" s="20" t="inlineStr">
        <is>
          <t>Прогноз,
шт</t>
        </is>
      </c>
      <c r="IK5" s="21" t="inlineStr">
        <is>
          <t>Факт,
шт</t>
        </is>
      </c>
      <c r="IL5" s="22" t="inlineStr">
        <is>
          <t>Коментарий</t>
        </is>
      </c>
      <c r="IM5" s="19" t="inlineStr">
        <is>
          <t>AOP,
шт</t>
        </is>
      </c>
      <c r="IN5" s="20" t="inlineStr">
        <is>
          <t>Прогноз,
шт</t>
        </is>
      </c>
      <c r="IO5" s="21" t="inlineStr">
        <is>
          <t>Факт,
шт</t>
        </is>
      </c>
      <c r="IP5" s="22" t="inlineStr">
        <is>
          <t>Коментарий</t>
        </is>
      </c>
      <c r="IQ5" s="19" t="inlineStr">
        <is>
          <t>AOP,
шт</t>
        </is>
      </c>
      <c r="IR5" s="20" t="inlineStr">
        <is>
          <t>Прогноз,
шт</t>
        </is>
      </c>
      <c r="IS5" s="21" t="inlineStr">
        <is>
          <t>Факт,
шт</t>
        </is>
      </c>
      <c r="IT5" s="22" t="inlineStr">
        <is>
          <t>Коментарий</t>
        </is>
      </c>
      <c r="IU5" s="19" t="inlineStr">
        <is>
          <t>AOP,
шт</t>
        </is>
      </c>
      <c r="IV5" s="20" t="inlineStr">
        <is>
          <t>Прогноз,
шт</t>
        </is>
      </c>
      <c r="IW5" s="21" t="inlineStr">
        <is>
          <t>Факт,
шт</t>
        </is>
      </c>
      <c r="IX5" s="22" t="inlineStr">
        <is>
          <t>Коментарий</t>
        </is>
      </c>
      <c r="IY5" s="19" t="inlineStr">
        <is>
          <t>AOP,
шт</t>
        </is>
      </c>
      <c r="IZ5" s="20" t="inlineStr">
        <is>
          <t>Прогноз,
шт</t>
        </is>
      </c>
      <c r="JA5" s="21" t="inlineStr">
        <is>
          <t>Факт,
шт</t>
        </is>
      </c>
      <c r="JB5" s="22" t="inlineStr">
        <is>
          <t>Коментарий</t>
        </is>
      </c>
      <c r="JC5" s="24" t="inlineStr">
        <is>
          <t>AOP,
шт</t>
        </is>
      </c>
      <c r="JD5" s="24" t="inlineStr">
        <is>
          <t>Продажи AOP, CNY</t>
        </is>
      </c>
    </row>
    <row r="6" ht="14.7" customHeight="1">
      <c r="A6" s="312" t="inlineStr">
        <is>
          <t>БОНУМ ООО</t>
        </is>
      </c>
      <c r="B6" s="314" t="inlineStr">
        <is>
          <t>отсрочка 30 дней</t>
        </is>
      </c>
      <c r="C6" s="378" t="inlineStr">
        <is>
          <t>ВБК Восток</t>
        </is>
      </c>
      <c r="D6" s="316" t="inlineStr">
        <is>
          <t>Александр Хорошевский</t>
        </is>
      </c>
      <c r="E6" s="25" t="n">
        <v>1</v>
      </c>
      <c r="F6" s="25" t="n">
        <v>1</v>
      </c>
      <c r="G6" s="26" t="n">
        <v>9522010010</v>
      </c>
      <c r="H6" s="27" t="inlineStr">
        <is>
          <t>Соединительная головка + маг. Фильтр</t>
        </is>
      </c>
      <c r="I6" s="28" t="n">
        <v>45.35</v>
      </c>
      <c r="J6" s="29" t="n">
        <v>45.35</v>
      </c>
      <c r="K6" s="297" t="n">
        <v>44.26</v>
      </c>
      <c r="L6" s="297" t="n">
        <v>44.26</v>
      </c>
      <c r="M6" s="29" t="n"/>
      <c r="N6" s="29" t="n"/>
      <c r="O6" s="30" t="n">
        <v>350</v>
      </c>
      <c r="P6" s="31" t="n">
        <v>350</v>
      </c>
      <c r="Q6" s="32" t="n">
        <v>350</v>
      </c>
      <c r="R6" s="31" t="n"/>
      <c r="S6" s="30" t="n">
        <v>350</v>
      </c>
      <c r="T6" s="31" t="n">
        <v>350</v>
      </c>
      <c r="U6" s="32" t="n">
        <v>0</v>
      </c>
      <c r="V6" s="33" t="inlineStr">
        <is>
          <t>Не было отгрузки из=за не погашенного долга. Есть предположение, что прогноз завышен, чтобы компания могла работать не облачивая нам продукцию еще один месяц.</t>
        </is>
      </c>
      <c r="W6" s="30" t="n">
        <v>500</v>
      </c>
      <c r="X6" s="31" t="n">
        <v>370</v>
      </c>
      <c r="Y6" s="32" t="n">
        <v>700</v>
      </c>
      <c r="Z6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6" s="30" t="n">
        <v>500</v>
      </c>
      <c r="AB6" s="35" t="n">
        <v>350</v>
      </c>
      <c r="AC6" s="32" t="n">
        <v>385</v>
      </c>
      <c r="AD6" s="36" t="inlineStr">
        <is>
          <t>Корректировка прогноза клиентом, в связи с уточнением получаемых заказов</t>
        </is>
      </c>
      <c r="AE6" s="30" t="n">
        <v>500</v>
      </c>
      <c r="AF6" s="35" t="n">
        <v>380</v>
      </c>
      <c r="AG6" s="32" t="n">
        <v>390</v>
      </c>
      <c r="AH6" s="36" t="inlineStr">
        <is>
          <t>Корректировка прогноза клиентом, в связи с уточнением получаемых заказов</t>
        </is>
      </c>
      <c r="AI6" s="30" t="n">
        <v>500</v>
      </c>
      <c r="AJ6" s="35" t="n">
        <v>400</v>
      </c>
      <c r="AK6" s="32" t="n">
        <v>190</v>
      </c>
      <c r="AL6" s="31" t="n"/>
      <c r="AM6" s="30" t="n">
        <v>500</v>
      </c>
      <c r="AN6" s="31" t="n">
        <v>500</v>
      </c>
      <c r="AO6" s="32" t="n">
        <v>200</v>
      </c>
      <c r="AP6" s="31" t="n"/>
      <c r="AQ6" s="30" t="n">
        <v>500</v>
      </c>
      <c r="AR6" s="37" t="n">
        <v>400</v>
      </c>
      <c r="AS6" s="32" t="n">
        <v>160</v>
      </c>
      <c r="AT6" s="31" t="inlineStr">
        <is>
          <t>Уменьшение прогноза в связи с уменьшением заказа от клиентов из-за поышения ключевой ставки</t>
        </is>
      </c>
      <c r="AU6" s="30" t="n">
        <v>500</v>
      </c>
      <c r="AV6" s="37" t="n">
        <v>400</v>
      </c>
      <c r="AW6" s="32" t="n">
        <v>400</v>
      </c>
      <c r="AX6" s="31" t="inlineStr">
        <is>
          <t>Уменьшение прогноза в связи с уменьшением заказа от клиентов из-за поышения ключевой ставки</t>
        </is>
      </c>
      <c r="AY6" s="30" t="n">
        <v>700</v>
      </c>
      <c r="AZ6" s="38" t="n">
        <v>370</v>
      </c>
      <c r="BA6" s="32" t="n">
        <v>330</v>
      </c>
      <c r="BB6" s="34" t="inlineStr">
        <is>
          <t>Уменьшение прогноза в связи с уменьшением заказа от клиентов из-за поышения ключевой ставки</t>
        </is>
      </c>
      <c r="BC6" s="30" t="n">
        <v>700</v>
      </c>
      <c r="BD6" s="39" t="n">
        <v>0</v>
      </c>
      <c r="BE6" s="40" t="n">
        <v>40</v>
      </c>
      <c r="BF6" s="34" t="inlineStr">
        <is>
          <t>Уменьшение прогноза в связи с уменьшением заказа от клиентов из-за поышения ключевой ставки</t>
        </is>
      </c>
      <c r="BG6" s="41" t="n">
        <v>700</v>
      </c>
      <c r="BH6" s="37" t="n">
        <v>0</v>
      </c>
      <c r="BI6" s="42" t="n">
        <v>0</v>
      </c>
      <c r="BJ6" s="36" t="inlineStr">
        <is>
          <t>Уменьшение прогноза в связи с уменьшением заказа от клиентов из-за поышения ключевой ставки</t>
        </is>
      </c>
      <c r="BK6" s="379">
        <f>O6+S6+W6+AA6+AE6+AI6+AM6+AQ6+AU6+AY6+BC6+BG6</f>
        <v/>
      </c>
      <c r="BL6" s="379">
        <f>BK6*$I6</f>
        <v/>
      </c>
      <c r="BM6" s="41" t="n">
        <v>350</v>
      </c>
      <c r="BN6" s="35" t="n">
        <v>250</v>
      </c>
      <c r="BO6" s="44" t="n">
        <v>0</v>
      </c>
      <c r="BP6" s="35" t="n"/>
      <c r="BQ6" s="45" t="n">
        <v>350</v>
      </c>
      <c r="BR6" s="35" t="n">
        <v>0</v>
      </c>
      <c r="BS6" s="44" t="n">
        <v>0</v>
      </c>
      <c r="BT6" s="35" t="n"/>
      <c r="BU6" s="45" t="n">
        <v>400</v>
      </c>
      <c r="BV6" s="46" t="n">
        <v>110</v>
      </c>
      <c r="BW6" s="44" t="n">
        <v>0</v>
      </c>
      <c r="BX6" s="36" t="n"/>
      <c r="BY6" s="45" t="n">
        <v>400</v>
      </c>
      <c r="BZ6" s="47" t="n">
        <v>0</v>
      </c>
      <c r="CA6" s="44" t="n">
        <v>0</v>
      </c>
      <c r="CB6" s="36" t="n"/>
      <c r="CC6" s="45" t="n">
        <v>550</v>
      </c>
      <c r="CD6" s="35" t="n">
        <v>0</v>
      </c>
      <c r="CE6" s="32" t="n">
        <v>0</v>
      </c>
      <c r="CF6" s="36" t="n"/>
      <c r="CG6" s="41" t="n">
        <v>550</v>
      </c>
      <c r="CH6" s="48" t="n">
        <v>50</v>
      </c>
      <c r="CI6" s="32" t="n">
        <v>50</v>
      </c>
      <c r="CJ6" s="31" t="n"/>
      <c r="CK6" s="41" t="n">
        <v>600</v>
      </c>
      <c r="CL6" s="47" t="n">
        <v>0</v>
      </c>
      <c r="CM6" s="44" t="n">
        <v>50</v>
      </c>
      <c r="CN6" s="35" t="n"/>
      <c r="CO6" s="45" t="n">
        <v>600</v>
      </c>
      <c r="CP6" s="47" t="n">
        <v>50</v>
      </c>
      <c r="CQ6" s="44" t="n">
        <v>50</v>
      </c>
      <c r="CR6" s="35" t="n"/>
      <c r="CS6" s="45" t="n">
        <v>650</v>
      </c>
      <c r="CT6" s="47" t="n">
        <v>50</v>
      </c>
      <c r="CU6" s="44" t="n">
        <v>0</v>
      </c>
      <c r="CV6" s="35" t="n"/>
      <c r="CW6" s="45" t="n">
        <v>650</v>
      </c>
      <c r="CX6" s="277" t="n">
        <v>50</v>
      </c>
      <c r="CY6" s="44" t="n">
        <v>100</v>
      </c>
      <c r="CZ6" s="35" t="n"/>
      <c r="DA6" s="45" t="n">
        <v>700</v>
      </c>
      <c r="DB6" s="277" t="n">
        <v>50</v>
      </c>
      <c r="DC6" s="155" t="n">
        <v>80</v>
      </c>
      <c r="DD6" s="35" t="n"/>
      <c r="DE6" s="45" t="n">
        <v>700</v>
      </c>
      <c r="DF6" s="278" t="n">
        <v>50</v>
      </c>
      <c r="DG6" s="380" t="n">
        <v>100</v>
      </c>
      <c r="DH6" s="35" t="n"/>
      <c r="DI6" s="379">
        <f>BM6+BQ6+BU6+BY6+CC6+CG6+CK6+CO6+CS6+CW6+DA6+DE6</f>
        <v/>
      </c>
      <c r="DJ6" s="379">
        <f>DI6*$I6</f>
        <v/>
      </c>
      <c r="DK6" s="82" t="n">
        <v>50</v>
      </c>
      <c r="DL6" s="35" t="n">
        <v>100</v>
      </c>
      <c r="DM6" s="44" t="n">
        <v>100</v>
      </c>
      <c r="DN6" s="35" t="n"/>
      <c r="DO6" s="82" t="n">
        <v>50</v>
      </c>
      <c r="DP6" s="35" t="n">
        <v>150</v>
      </c>
      <c r="DQ6" s="44" t="n">
        <v>150</v>
      </c>
      <c r="DR6" s="35" t="n"/>
      <c r="DS6" s="82" t="n">
        <v>50</v>
      </c>
      <c r="DT6" s="35" t="n">
        <v>150</v>
      </c>
      <c r="DU6" s="44" t="n">
        <v>0</v>
      </c>
      <c r="DV6" s="35" t="n"/>
      <c r="DW6" s="82" t="n">
        <v>50</v>
      </c>
      <c r="DX6" s="281" t="n">
        <v>100</v>
      </c>
      <c r="DY6" s="44" t="n">
        <v>100</v>
      </c>
      <c r="DZ6" s="36" t="n"/>
      <c r="EA6" s="82" t="n">
        <v>50</v>
      </c>
      <c r="EB6" s="47" t="n">
        <v>160</v>
      </c>
      <c r="EC6" s="44" t="n">
        <v>0</v>
      </c>
      <c r="ED6" s="36" t="n"/>
      <c r="EE6" s="82" t="n">
        <v>100</v>
      </c>
      <c r="EF6" s="35" t="n">
        <v>150</v>
      </c>
      <c r="EG6" s="44" t="n">
        <v>0</v>
      </c>
      <c r="EH6" s="35" t="n"/>
      <c r="EI6" s="82" t="n">
        <v>100</v>
      </c>
      <c r="EJ6" s="35" t="n">
        <v>100</v>
      </c>
      <c r="EK6" s="44" t="n">
        <v>0</v>
      </c>
      <c r="EL6" s="35" t="n"/>
      <c r="EM6" s="82" t="n">
        <v>100</v>
      </c>
      <c r="EN6" s="35" t="n">
        <v>100</v>
      </c>
      <c r="EO6" s="44" t="n">
        <v>0</v>
      </c>
      <c r="EP6" s="35" t="n"/>
      <c r="EQ6" s="82" t="n">
        <v>100</v>
      </c>
      <c r="ER6" s="91" t="n">
        <v>100</v>
      </c>
      <c r="ES6" s="44" t="n">
        <v>0</v>
      </c>
      <c r="ET6" s="35" t="n"/>
      <c r="EU6" s="82" t="n">
        <v>150</v>
      </c>
      <c r="EV6" s="91" t="n">
        <v>150</v>
      </c>
      <c r="EW6" s="44" t="n">
        <v>0</v>
      </c>
      <c r="EX6" s="35" t="n"/>
      <c r="EY6" s="82" t="n">
        <v>150</v>
      </c>
      <c r="EZ6" s="53" t="n">
        <v>150</v>
      </c>
      <c r="FA6" s="288" t="n">
        <v>0</v>
      </c>
      <c r="FB6" s="35" t="n"/>
      <c r="FC6" s="82" t="n">
        <v>150</v>
      </c>
      <c r="FD6" s="92" t="n">
        <v>150</v>
      </c>
      <c r="FE6" s="380" t="n">
        <v>0</v>
      </c>
      <c r="FF6" s="35" t="n"/>
      <c r="FG6" s="379">
        <f>DK6+DO6+DS6+DW6+EA6+EE6+EI6+EM6+EQ6+EU6+EY6+FC6</f>
        <v/>
      </c>
      <c r="FH6" s="379">
        <f>FG6*$I6</f>
        <v/>
      </c>
      <c r="FI6" s="47" t="n">
        <v>150</v>
      </c>
      <c r="FJ6" s="35" t="n"/>
      <c r="FK6" s="44" t="n">
        <v>0</v>
      </c>
      <c r="FL6" s="35" t="n"/>
      <c r="FM6" s="51" t="n">
        <v>200</v>
      </c>
      <c r="FN6" s="35" t="n"/>
      <c r="FO6" s="44" t="n">
        <v>0</v>
      </c>
      <c r="FP6" s="35" t="n"/>
      <c r="FQ6" s="51" t="n">
        <v>200</v>
      </c>
      <c r="FR6" s="46" t="n"/>
      <c r="FS6" s="44" t="n">
        <v>0</v>
      </c>
      <c r="FT6" s="36" t="n"/>
      <c r="FU6" s="51" t="n">
        <v>200</v>
      </c>
      <c r="FV6" s="47" t="n"/>
      <c r="FW6" s="44" t="n">
        <v>0</v>
      </c>
      <c r="FX6" s="36" t="n"/>
      <c r="FY6" s="51" t="n">
        <v>200</v>
      </c>
      <c r="FZ6" s="47" t="n"/>
      <c r="GA6" s="44" t="n">
        <v>0</v>
      </c>
      <c r="GB6" s="36" t="n"/>
      <c r="GC6" s="51" t="n">
        <v>300</v>
      </c>
      <c r="GD6" s="47" t="n"/>
      <c r="GE6" s="44" t="n">
        <v>0</v>
      </c>
      <c r="GF6" s="35" t="n"/>
      <c r="GG6" s="51" t="n">
        <v>300</v>
      </c>
      <c r="GH6" s="47" t="n"/>
      <c r="GI6" s="44" t="n">
        <v>0</v>
      </c>
      <c r="GJ6" s="35" t="n"/>
      <c r="GK6" s="51" t="n">
        <v>300</v>
      </c>
      <c r="GL6" s="47" t="n"/>
      <c r="GM6" s="44" t="n">
        <v>0</v>
      </c>
      <c r="GN6" s="35" t="n"/>
      <c r="GO6" s="51" t="n">
        <v>300</v>
      </c>
      <c r="GP6" s="51" t="n"/>
      <c r="GQ6" s="44" t="n">
        <v>0</v>
      </c>
      <c r="GR6" s="35" t="n"/>
      <c r="GS6" s="51" t="n">
        <v>300</v>
      </c>
      <c r="GT6" s="52" t="n"/>
      <c r="GU6" s="44" t="n">
        <v>0</v>
      </c>
      <c r="GV6" s="35" t="n"/>
      <c r="GW6" s="51" t="n">
        <v>300</v>
      </c>
      <c r="GX6" s="51" t="n"/>
      <c r="GY6" s="49" t="n">
        <v>0</v>
      </c>
      <c r="GZ6" s="35" t="n"/>
      <c r="HA6" s="51" t="n">
        <v>300</v>
      </c>
      <c r="HB6" s="53" t="n"/>
      <c r="HC6" s="380" t="n">
        <v>0</v>
      </c>
      <c r="HD6" s="35" t="n"/>
      <c r="HE6" s="379">
        <f>FI6+FM6+FQ6+FU6+FY6+GC6+GG6+GK6+GO6+GS6+GW6+HA6</f>
        <v/>
      </c>
      <c r="HF6" s="379">
        <f>HE6*$I6</f>
        <v/>
      </c>
      <c r="HG6" s="51" t="n">
        <v>300</v>
      </c>
      <c r="HH6" s="35" t="n"/>
      <c r="HI6" s="44" t="n">
        <v>0</v>
      </c>
      <c r="HJ6" s="35" t="n"/>
      <c r="HK6" s="51" t="n">
        <v>350</v>
      </c>
      <c r="HL6" s="35" t="n"/>
      <c r="HM6" s="44" t="n">
        <v>0</v>
      </c>
      <c r="HN6" s="35" t="n"/>
      <c r="HO6" s="51" t="n">
        <v>350</v>
      </c>
      <c r="HP6" s="46" t="n"/>
      <c r="HQ6" s="44" t="n">
        <v>0</v>
      </c>
      <c r="HR6" s="36" t="n"/>
      <c r="HS6" s="51" t="n">
        <v>350</v>
      </c>
      <c r="HT6" s="47" t="n"/>
      <c r="HU6" s="44" t="n">
        <v>0</v>
      </c>
      <c r="HV6" s="36" t="n"/>
      <c r="HW6" s="51" t="n">
        <v>350</v>
      </c>
      <c r="HX6" s="47" t="n"/>
      <c r="HY6" s="44" t="n">
        <v>0</v>
      </c>
      <c r="HZ6" s="36" t="n"/>
      <c r="IA6" s="51" t="n">
        <v>350</v>
      </c>
      <c r="IB6" s="47" t="n"/>
      <c r="IC6" s="44" t="n">
        <v>0</v>
      </c>
      <c r="ID6" s="35" t="n"/>
      <c r="IE6" s="51" t="n">
        <v>350</v>
      </c>
      <c r="IF6" s="47" t="n"/>
      <c r="IG6" s="44" t="n">
        <v>0</v>
      </c>
      <c r="IH6" s="35" t="n"/>
      <c r="II6" s="51" t="n">
        <v>400</v>
      </c>
      <c r="IJ6" s="47" t="n"/>
      <c r="IK6" s="44" t="n">
        <v>0</v>
      </c>
      <c r="IL6" s="35" t="n"/>
      <c r="IM6" s="51" t="n">
        <v>400</v>
      </c>
      <c r="IN6" s="51" t="n"/>
      <c r="IO6" s="44" t="n">
        <v>0</v>
      </c>
      <c r="IP6" s="35" t="n"/>
      <c r="IQ6" s="51" t="n">
        <v>400</v>
      </c>
      <c r="IR6" s="52" t="n"/>
      <c r="IS6" s="44" t="n">
        <v>0</v>
      </c>
      <c r="IT6" s="35" t="n"/>
      <c r="IU6" s="51" t="n">
        <v>400</v>
      </c>
      <c r="IV6" s="47" t="n"/>
      <c r="IW6" s="49" t="n">
        <v>0</v>
      </c>
      <c r="IX6" s="35" t="n"/>
      <c r="IY6" s="51" t="n">
        <v>400</v>
      </c>
      <c r="IZ6" s="53" t="n"/>
      <c r="JA6" s="380" t="n">
        <v>0</v>
      </c>
      <c r="JB6" s="35" t="n"/>
      <c r="JC6" s="381">
        <f>HG6+HK6+HO6+HS6+HW6+IA6+IE6+II6+IM6+IQ6+IU6+IY6</f>
        <v/>
      </c>
      <c r="JD6" s="381">
        <f>JC6*$I6</f>
        <v/>
      </c>
    </row>
    <row r="7">
      <c r="A7" s="382" t="n"/>
      <c r="B7" s="382" t="n"/>
      <c r="C7" s="382" t="n"/>
      <c r="D7" s="382" t="n"/>
      <c r="E7" s="25" t="n">
        <v>2</v>
      </c>
      <c r="F7" s="25" t="n">
        <v>1</v>
      </c>
      <c r="G7" s="26" t="n">
        <v>9522010020</v>
      </c>
      <c r="H7" s="27" t="inlineStr">
        <is>
          <t>Соединительная головка + маг. Фильтр</t>
        </is>
      </c>
      <c r="I7" s="28" t="n">
        <v>45.35</v>
      </c>
      <c r="J7" s="29" t="n">
        <v>45.35</v>
      </c>
      <c r="K7" s="297" t="n">
        <v>44.26</v>
      </c>
      <c r="L7" s="297" t="n">
        <v>44.26</v>
      </c>
      <c r="M7" s="29" t="n"/>
      <c r="N7" s="29" t="n"/>
      <c r="O7" s="30" t="n">
        <v>350</v>
      </c>
      <c r="P7" s="31" t="n">
        <v>350</v>
      </c>
      <c r="Q7" s="32" t="n">
        <v>350</v>
      </c>
      <c r="R7" s="31" t="n"/>
      <c r="S7" s="30" t="n">
        <v>350</v>
      </c>
      <c r="T7" s="31" t="n">
        <v>350</v>
      </c>
      <c r="U7" s="32" t="n">
        <v>0</v>
      </c>
      <c r="V7" s="31" t="n"/>
      <c r="W7" s="30" t="n">
        <v>500</v>
      </c>
      <c r="X7" s="31" t="n">
        <v>370</v>
      </c>
      <c r="Y7" s="32" t="n">
        <v>700</v>
      </c>
      <c r="Z7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7" s="30" t="n">
        <v>500</v>
      </c>
      <c r="AB7" s="35" t="n">
        <v>350</v>
      </c>
      <c r="AC7" s="32" t="n">
        <v>385</v>
      </c>
      <c r="AD7" s="36" t="inlineStr">
        <is>
          <t>Корректировка прогноза клиентом, в связи с уточнением получаемых заказов</t>
        </is>
      </c>
      <c r="AE7" s="30" t="n">
        <v>500</v>
      </c>
      <c r="AF7" s="35" t="n">
        <v>380</v>
      </c>
      <c r="AG7" s="32" t="n">
        <v>390</v>
      </c>
      <c r="AH7" s="36" t="inlineStr">
        <is>
          <t>Корректировка прогноза клиентом, в связи с уточнением получаемых заказов</t>
        </is>
      </c>
      <c r="AI7" s="30" t="n">
        <v>500</v>
      </c>
      <c r="AJ7" s="35" t="n">
        <v>400</v>
      </c>
      <c r="AK7" s="32" t="n">
        <v>190</v>
      </c>
      <c r="AL7" s="31" t="n"/>
      <c r="AM7" s="30" t="n">
        <v>500</v>
      </c>
      <c r="AN7" s="31" t="n">
        <v>500</v>
      </c>
      <c r="AO7" s="32" t="n">
        <v>200</v>
      </c>
      <c r="AP7" s="31" t="n"/>
      <c r="AQ7" s="30" t="n">
        <v>500</v>
      </c>
      <c r="AR7" s="37" t="n">
        <v>400</v>
      </c>
      <c r="AS7" s="32" t="n">
        <v>160</v>
      </c>
      <c r="AT7" s="31" t="inlineStr">
        <is>
          <t>Уменьшение прогноза в связи с уменьшением заказа от клиентов из-за поышения ключевой ставки</t>
        </is>
      </c>
      <c r="AU7" s="30" t="n">
        <v>500</v>
      </c>
      <c r="AV7" s="37" t="n">
        <v>400</v>
      </c>
      <c r="AW7" s="32" t="n">
        <v>400</v>
      </c>
      <c r="AX7" s="31" t="inlineStr">
        <is>
          <t>Уменьшение прогноза в связи с уменьшением заказа от клиентов из-за поышения ключевой ставки</t>
        </is>
      </c>
      <c r="AY7" s="30" t="n">
        <v>700</v>
      </c>
      <c r="AZ7" s="38" t="n">
        <v>370</v>
      </c>
      <c r="BA7" s="32" t="n">
        <v>330</v>
      </c>
      <c r="BB7" s="34" t="inlineStr">
        <is>
          <t>Уменьшение прогноза в связи с уменьшением заказа от клиентов из-за поышения ключевой ставки</t>
        </is>
      </c>
      <c r="BC7" s="30" t="n">
        <v>700</v>
      </c>
      <c r="BD7" s="39" t="n">
        <v>0</v>
      </c>
      <c r="BE7" s="40" t="n">
        <v>40</v>
      </c>
      <c r="BF7" s="34" t="inlineStr">
        <is>
          <t>Уменьшение прогноза в связи с уменьшением заказа от клиентов из-за поышения ключевой ставки</t>
        </is>
      </c>
      <c r="BG7" s="41" t="n">
        <v>700</v>
      </c>
      <c r="BH7" s="37" t="n">
        <v>0</v>
      </c>
      <c r="BI7" s="42" t="n">
        <v>0</v>
      </c>
      <c r="BJ7" s="36" t="inlineStr">
        <is>
          <t>Уменьшение прогноза в связи с уменьшением заказа от клиентов из-за поышения ключевой ставки</t>
        </is>
      </c>
      <c r="BK7" s="379">
        <f>O7+S7+W7+AA7+AE7+AI7+AM7+AQ7+AU7+AY7+BC7+BG7</f>
        <v/>
      </c>
      <c r="BL7" s="379">
        <f>BK7*$I7</f>
        <v/>
      </c>
      <c r="BM7" s="41" t="n">
        <v>350</v>
      </c>
      <c r="BN7" s="35" t="n">
        <v>250</v>
      </c>
      <c r="BO7" s="44" t="n">
        <v>0</v>
      </c>
      <c r="BP7" s="35" t="n"/>
      <c r="BQ7" s="45" t="n">
        <v>350</v>
      </c>
      <c r="BR7" s="35" t="n">
        <v>0</v>
      </c>
      <c r="BS7" s="44" t="n">
        <v>0</v>
      </c>
      <c r="BT7" s="35" t="n"/>
      <c r="BU7" s="45" t="n">
        <v>400</v>
      </c>
      <c r="BV7" s="46" t="n">
        <v>110</v>
      </c>
      <c r="BW7" s="44" t="n">
        <v>0</v>
      </c>
      <c r="BX7" s="36" t="n"/>
      <c r="BY7" s="45" t="n">
        <v>400</v>
      </c>
      <c r="BZ7" s="47" t="n">
        <v>0</v>
      </c>
      <c r="CA7" s="44" t="n">
        <v>0</v>
      </c>
      <c r="CB7" s="36" t="n"/>
      <c r="CC7" s="45" t="n">
        <v>550</v>
      </c>
      <c r="CD7" s="35" t="n">
        <v>0</v>
      </c>
      <c r="CE7" s="32" t="n">
        <v>0</v>
      </c>
      <c r="CF7" s="36" t="n"/>
      <c r="CG7" s="41" t="n">
        <v>550</v>
      </c>
      <c r="CH7" s="48" t="n">
        <v>50</v>
      </c>
      <c r="CI7" s="55" t="n">
        <v>50</v>
      </c>
      <c r="CJ7" s="31" t="n"/>
      <c r="CK7" s="41" t="n">
        <v>600</v>
      </c>
      <c r="CL7" s="47" t="n">
        <v>0</v>
      </c>
      <c r="CM7" s="44" t="n">
        <v>50</v>
      </c>
      <c r="CN7" s="35" t="n"/>
      <c r="CO7" s="45" t="n">
        <v>600</v>
      </c>
      <c r="CP7" s="47" t="n">
        <v>50</v>
      </c>
      <c r="CQ7" s="44" t="n">
        <v>50</v>
      </c>
      <c r="CR7" s="35" t="n"/>
      <c r="CS7" s="45" t="n">
        <v>650</v>
      </c>
      <c r="CT7" s="47" t="n">
        <v>50</v>
      </c>
      <c r="CU7" s="44" t="n">
        <v>0</v>
      </c>
      <c r="CV7" s="35" t="n"/>
      <c r="CW7" s="45" t="n">
        <v>650</v>
      </c>
      <c r="CX7" s="277" t="n">
        <v>50</v>
      </c>
      <c r="CY7" s="56" t="n">
        <v>100</v>
      </c>
      <c r="CZ7" s="35" t="n"/>
      <c r="DA7" s="45" t="n">
        <v>700</v>
      </c>
      <c r="DB7" s="277" t="n">
        <v>50</v>
      </c>
      <c r="DC7" s="155" t="n">
        <v>80</v>
      </c>
      <c r="DD7" s="35" t="n"/>
      <c r="DE7" s="45" t="n">
        <v>700</v>
      </c>
      <c r="DF7" s="278" t="n">
        <v>50</v>
      </c>
      <c r="DG7" s="380" t="n">
        <v>100</v>
      </c>
      <c r="DH7" s="35" t="n"/>
      <c r="DI7" s="379">
        <f>BM7+BQ7+BU7+BY7+CC7+CG7+CK7+CO7+CS7+CW7+DA7+DE7</f>
        <v/>
      </c>
      <c r="DJ7" s="379">
        <f>DI7*$I7</f>
        <v/>
      </c>
      <c r="DK7" s="82" t="n">
        <v>50</v>
      </c>
      <c r="DL7" s="35" t="n">
        <v>100</v>
      </c>
      <c r="DM7" s="44" t="n">
        <v>100</v>
      </c>
      <c r="DN7" s="35" t="n"/>
      <c r="DO7" s="82" t="n">
        <v>50</v>
      </c>
      <c r="DP7" s="35" t="n">
        <v>150</v>
      </c>
      <c r="DQ7" s="44" t="n">
        <v>150</v>
      </c>
      <c r="DR7" s="35" t="n"/>
      <c r="DS7" s="82" t="n">
        <v>50</v>
      </c>
      <c r="DT7" s="35" t="n">
        <v>150</v>
      </c>
      <c r="DU7" s="44" t="n">
        <v>0</v>
      </c>
      <c r="DV7" s="35" t="n"/>
      <c r="DW7" s="82" t="n">
        <v>50</v>
      </c>
      <c r="DX7" s="281" t="n">
        <v>100</v>
      </c>
      <c r="DY7" s="44" t="n">
        <v>100</v>
      </c>
      <c r="DZ7" s="36" t="n"/>
      <c r="EA7" s="82" t="n">
        <v>50</v>
      </c>
      <c r="EB7" s="47" t="n">
        <v>160</v>
      </c>
      <c r="EC7" s="44" t="n">
        <v>0</v>
      </c>
      <c r="ED7" s="36" t="n"/>
      <c r="EE7" s="82" t="n">
        <v>100</v>
      </c>
      <c r="EF7" s="35" t="n">
        <v>150</v>
      </c>
      <c r="EG7" s="44" t="n">
        <v>0</v>
      </c>
      <c r="EH7" s="35" t="n"/>
      <c r="EI7" s="82" t="n">
        <v>100</v>
      </c>
      <c r="EJ7" s="35" t="n">
        <v>100</v>
      </c>
      <c r="EK7" s="44" t="n">
        <v>0</v>
      </c>
      <c r="EL7" s="35" t="n"/>
      <c r="EM7" s="82" t="n">
        <v>100</v>
      </c>
      <c r="EN7" s="35" t="n">
        <v>100</v>
      </c>
      <c r="EO7" s="44" t="n">
        <v>0</v>
      </c>
      <c r="EP7" s="35" t="n"/>
      <c r="EQ7" s="82" t="n">
        <v>100</v>
      </c>
      <c r="ER7" s="91" t="n">
        <v>100</v>
      </c>
      <c r="ES7" s="44" t="n">
        <v>0</v>
      </c>
      <c r="ET7" s="35" t="n"/>
      <c r="EU7" s="82" t="n">
        <v>150</v>
      </c>
      <c r="EV7" s="91" t="n">
        <v>150</v>
      </c>
      <c r="EW7" s="44" t="n">
        <v>0</v>
      </c>
      <c r="EX7" s="35" t="n"/>
      <c r="EY7" s="82" t="n">
        <v>150</v>
      </c>
      <c r="EZ7" s="53" t="n">
        <v>150</v>
      </c>
      <c r="FA7" s="288" t="n">
        <v>0</v>
      </c>
      <c r="FB7" s="35" t="n"/>
      <c r="FC7" s="82" t="n">
        <v>150</v>
      </c>
      <c r="FD7" s="92" t="n">
        <v>150</v>
      </c>
      <c r="FE7" s="380" t="n">
        <v>0</v>
      </c>
      <c r="FF7" s="35" t="n"/>
      <c r="FG7" s="379">
        <f>DK7+DO7+DS7+DW7+EA7+EE7+EI7+EM7+EQ7+EU7+EY7+FC7</f>
        <v/>
      </c>
      <c r="FH7" s="379">
        <f>FG7*$I7</f>
        <v/>
      </c>
      <c r="FI7" s="47" t="n">
        <v>150</v>
      </c>
      <c r="FJ7" s="35" t="n"/>
      <c r="FK7" s="44" t="n">
        <v>0</v>
      </c>
      <c r="FL7" s="35" t="n"/>
      <c r="FM7" s="51" t="n">
        <v>200</v>
      </c>
      <c r="FN7" s="35" t="n"/>
      <c r="FO7" s="44" t="n">
        <v>0</v>
      </c>
      <c r="FP7" s="35" t="n"/>
      <c r="FQ7" s="51" t="n">
        <v>200</v>
      </c>
      <c r="FR7" s="46" t="n"/>
      <c r="FS7" s="44" t="n">
        <v>0</v>
      </c>
      <c r="FT7" s="36" t="n"/>
      <c r="FU7" s="51" t="n">
        <v>200</v>
      </c>
      <c r="FV7" s="47" t="n"/>
      <c r="FW7" s="44" t="n">
        <v>0</v>
      </c>
      <c r="FX7" s="36" t="n"/>
      <c r="FY7" s="51" t="n">
        <v>200</v>
      </c>
      <c r="FZ7" s="47" t="n"/>
      <c r="GA7" s="44" t="n">
        <v>0</v>
      </c>
      <c r="GB7" s="36" t="n"/>
      <c r="GC7" s="51" t="n">
        <v>300</v>
      </c>
      <c r="GD7" s="47" t="n"/>
      <c r="GE7" s="44" t="n">
        <v>0</v>
      </c>
      <c r="GF7" s="35" t="n"/>
      <c r="GG7" s="51" t="n">
        <v>300</v>
      </c>
      <c r="GH7" s="47" t="n"/>
      <c r="GI7" s="44" t="n">
        <v>0</v>
      </c>
      <c r="GJ7" s="35" t="n"/>
      <c r="GK7" s="51" t="n">
        <v>300</v>
      </c>
      <c r="GL7" s="47" t="n"/>
      <c r="GM7" s="44" t="n">
        <v>0</v>
      </c>
      <c r="GN7" s="35" t="n"/>
      <c r="GO7" s="51" t="n">
        <v>300</v>
      </c>
      <c r="GP7" s="51" t="n"/>
      <c r="GQ7" s="44" t="n">
        <v>0</v>
      </c>
      <c r="GR7" s="35" t="n"/>
      <c r="GS7" s="51" t="n">
        <v>300</v>
      </c>
      <c r="GT7" s="52" t="n"/>
      <c r="GU7" s="44" t="n">
        <v>0</v>
      </c>
      <c r="GV7" s="35" t="n"/>
      <c r="GW7" s="51" t="n">
        <v>300</v>
      </c>
      <c r="GX7" s="51" t="n"/>
      <c r="GY7" s="49" t="n">
        <v>0</v>
      </c>
      <c r="GZ7" s="35" t="n"/>
      <c r="HA7" s="51" t="n">
        <v>300</v>
      </c>
      <c r="HB7" s="53" t="n"/>
      <c r="HC7" s="380" t="n">
        <v>0</v>
      </c>
      <c r="HD7" s="35" t="n"/>
      <c r="HE7" s="379">
        <f>FI7+FM7+FQ7+FU7+FY7+GC7+GG7+GK7+GO7+GS7+GW7+HA7</f>
        <v/>
      </c>
      <c r="HF7" s="379">
        <f>HE7*$I7</f>
        <v/>
      </c>
      <c r="HG7" s="51" t="n">
        <v>300</v>
      </c>
      <c r="HH7" s="35" t="n"/>
      <c r="HI7" s="44" t="n">
        <v>0</v>
      </c>
      <c r="HJ7" s="35" t="n"/>
      <c r="HK7" s="51" t="n">
        <v>350</v>
      </c>
      <c r="HL7" s="35" t="n"/>
      <c r="HM7" s="44" t="n">
        <v>0</v>
      </c>
      <c r="HN7" s="35" t="n"/>
      <c r="HO7" s="51" t="n">
        <v>350</v>
      </c>
      <c r="HP7" s="46" t="n"/>
      <c r="HQ7" s="44" t="n">
        <v>0</v>
      </c>
      <c r="HR7" s="36" t="n"/>
      <c r="HS7" s="51" t="n">
        <v>350</v>
      </c>
      <c r="HT7" s="47" t="n"/>
      <c r="HU7" s="44" t="n">
        <v>0</v>
      </c>
      <c r="HV7" s="36" t="n"/>
      <c r="HW7" s="51" t="n">
        <v>350</v>
      </c>
      <c r="HX7" s="47" t="n"/>
      <c r="HY7" s="44" t="n">
        <v>0</v>
      </c>
      <c r="HZ7" s="36" t="n"/>
      <c r="IA7" s="51" t="n">
        <v>350</v>
      </c>
      <c r="IB7" s="47" t="n"/>
      <c r="IC7" s="44" t="n">
        <v>0</v>
      </c>
      <c r="ID7" s="35" t="n"/>
      <c r="IE7" s="51" t="n">
        <v>350</v>
      </c>
      <c r="IF7" s="47" t="n"/>
      <c r="IG7" s="44" t="n">
        <v>0</v>
      </c>
      <c r="IH7" s="35" t="n"/>
      <c r="II7" s="51" t="n">
        <v>400</v>
      </c>
      <c r="IJ7" s="47" t="n"/>
      <c r="IK7" s="44" t="n">
        <v>0</v>
      </c>
      <c r="IL7" s="35" t="n"/>
      <c r="IM7" s="51" t="n">
        <v>400</v>
      </c>
      <c r="IN7" s="51" t="n"/>
      <c r="IO7" s="44" t="n">
        <v>0</v>
      </c>
      <c r="IP7" s="35" t="n"/>
      <c r="IQ7" s="51" t="n">
        <v>400</v>
      </c>
      <c r="IR7" s="52" t="n"/>
      <c r="IS7" s="44" t="n">
        <v>0</v>
      </c>
      <c r="IT7" s="35" t="n"/>
      <c r="IU7" s="51" t="n">
        <v>400</v>
      </c>
      <c r="IV7" s="47" t="n"/>
      <c r="IW7" s="49" t="n">
        <v>0</v>
      </c>
      <c r="IX7" s="35" t="n"/>
      <c r="IY7" s="51" t="n">
        <v>400</v>
      </c>
      <c r="IZ7" s="53" t="n"/>
      <c r="JA7" s="380" t="n">
        <v>0</v>
      </c>
      <c r="JB7" s="35" t="n"/>
      <c r="JC7" s="381">
        <f>HG7+HK7+HO7+HS7+HW7+IA7+IE7+II7+IM7+IQ7+IU7+IY7</f>
        <v/>
      </c>
      <c r="JD7" s="381">
        <f>JC7*$I7</f>
        <v/>
      </c>
    </row>
    <row r="8">
      <c r="A8" s="382" t="n"/>
      <c r="B8" s="382" t="n"/>
      <c r="C8" s="382" t="n"/>
      <c r="D8" s="382" t="n"/>
      <c r="E8" s="25" t="n">
        <v>3</v>
      </c>
      <c r="F8" s="25" t="n">
        <v>1</v>
      </c>
      <c r="G8" s="26" t="n">
        <v>9710029000</v>
      </c>
      <c r="H8" s="27" t="inlineStr">
        <is>
          <t>PREV</t>
        </is>
      </c>
      <c r="I8" s="28" t="n">
        <v>354.67</v>
      </c>
      <c r="J8" s="29" t="n">
        <v>354.67</v>
      </c>
      <c r="K8" s="297" t="n">
        <v>349.18</v>
      </c>
      <c r="L8" s="297" t="n">
        <v>349.18</v>
      </c>
      <c r="M8" s="29" t="n"/>
      <c r="N8" s="29" t="n"/>
      <c r="O8" s="30" t="n">
        <v>350</v>
      </c>
      <c r="P8" s="31" t="n">
        <v>350</v>
      </c>
      <c r="Q8" s="32" t="n">
        <v>350</v>
      </c>
      <c r="R8" s="31" t="n"/>
      <c r="S8" s="30" t="n">
        <v>350</v>
      </c>
      <c r="T8" s="31" t="n">
        <v>350</v>
      </c>
      <c r="U8" s="32" t="n">
        <v>0</v>
      </c>
      <c r="V8" s="31" t="n"/>
      <c r="W8" s="30" t="n">
        <v>500</v>
      </c>
      <c r="X8" s="31" t="n">
        <v>370</v>
      </c>
      <c r="Y8" s="32" t="n">
        <v>700</v>
      </c>
      <c r="Z8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8" s="30" t="n">
        <v>500</v>
      </c>
      <c r="AB8" s="35" t="n">
        <v>350</v>
      </c>
      <c r="AC8" s="32" t="n">
        <v>385</v>
      </c>
      <c r="AD8" s="36" t="inlineStr">
        <is>
          <t>Корректировка прогноза клиентом, в связи с уточнением получаемых заказов</t>
        </is>
      </c>
      <c r="AE8" s="30" t="n">
        <v>500</v>
      </c>
      <c r="AF8" s="35" t="n">
        <v>380</v>
      </c>
      <c r="AG8" s="32" t="n">
        <v>390</v>
      </c>
      <c r="AH8" s="36" t="inlineStr">
        <is>
          <t>Корректировка прогноза клиентом, в связи с уточнением получаемых заказов</t>
        </is>
      </c>
      <c r="AI8" s="30" t="n">
        <v>500</v>
      </c>
      <c r="AJ8" s="35" t="n">
        <v>400</v>
      </c>
      <c r="AK8" s="32" t="n">
        <v>190</v>
      </c>
      <c r="AL8" s="31" t="n"/>
      <c r="AM8" s="30" t="n">
        <v>500</v>
      </c>
      <c r="AN8" s="31" t="n">
        <v>500</v>
      </c>
      <c r="AO8" s="32" t="n">
        <v>200</v>
      </c>
      <c r="AP8" s="31" t="n"/>
      <c r="AQ8" s="30" t="n">
        <v>500</v>
      </c>
      <c r="AR8" s="37" t="n">
        <v>400</v>
      </c>
      <c r="AS8" s="32" t="n">
        <v>160</v>
      </c>
      <c r="AT8" s="31" t="inlineStr">
        <is>
          <t>Уменьшение прогноза в связи с уменьшением заказа от клиентов из-за поышения ключевой ставки</t>
        </is>
      </c>
      <c r="AU8" s="30" t="n">
        <v>500</v>
      </c>
      <c r="AV8" s="37" t="n">
        <v>400</v>
      </c>
      <c r="AW8" s="32" t="n">
        <v>400</v>
      </c>
      <c r="AX8" s="31" t="inlineStr">
        <is>
          <t>Уменьшение прогноза в связи с уменьшением заказа от клиентов из-за поышения ключевой ставки</t>
        </is>
      </c>
      <c r="AY8" s="30" t="n">
        <v>700</v>
      </c>
      <c r="AZ8" s="38" t="n">
        <v>370</v>
      </c>
      <c r="BA8" s="32" t="n">
        <v>330</v>
      </c>
      <c r="BB8" s="34" t="inlineStr">
        <is>
          <t>Уменьшение прогноза в связи с уменьшением заказа от клиентов из-за поышения ключевой ставки</t>
        </is>
      </c>
      <c r="BC8" s="30" t="n">
        <v>700</v>
      </c>
      <c r="BD8" s="39" t="n">
        <v>0</v>
      </c>
      <c r="BE8" s="40" t="n">
        <v>40</v>
      </c>
      <c r="BF8" s="34" t="inlineStr">
        <is>
          <t>Уменьшение прогноза в связи с уменьшением заказа от клиентов из-за поышения ключевой ставки</t>
        </is>
      </c>
      <c r="BG8" s="41" t="n">
        <v>700</v>
      </c>
      <c r="BH8" s="37" t="n">
        <v>40</v>
      </c>
      <c r="BI8" s="380" t="n">
        <v>40</v>
      </c>
      <c r="BJ8" s="36" t="inlineStr">
        <is>
          <t>Уменьшение прогноза в связи с уменьшением заказа от клиентов из-за поышения ключевой ставки</t>
        </is>
      </c>
      <c r="BK8" s="379">
        <f>O8+S8+W8+AA8+AE8+AI8+AM8+AQ8+AU8+AY8+BC8+BG8</f>
        <v/>
      </c>
      <c r="BL8" s="379">
        <f>BK8*$I8</f>
        <v/>
      </c>
      <c r="BM8" s="41" t="n">
        <v>350</v>
      </c>
      <c r="BN8" s="35" t="n">
        <v>250</v>
      </c>
      <c r="BO8" s="44" t="n">
        <v>0</v>
      </c>
      <c r="BP8" s="35" t="n"/>
      <c r="BQ8" s="45" t="n">
        <v>350</v>
      </c>
      <c r="BR8" s="35" t="n">
        <v>0</v>
      </c>
      <c r="BS8" s="44" t="n">
        <v>0</v>
      </c>
      <c r="BT8" s="35" t="n"/>
      <c r="BU8" s="45" t="n">
        <v>400</v>
      </c>
      <c r="BV8" s="46" t="n">
        <v>110</v>
      </c>
      <c r="BW8" s="44" t="n">
        <v>0</v>
      </c>
      <c r="BX8" s="36" t="n"/>
      <c r="BY8" s="45" t="n">
        <v>400</v>
      </c>
      <c r="BZ8" s="47" t="n">
        <v>0</v>
      </c>
      <c r="CA8" s="44" t="n">
        <v>0</v>
      </c>
      <c r="CB8" s="36" t="n"/>
      <c r="CC8" s="45" t="n">
        <v>550</v>
      </c>
      <c r="CD8" s="35" t="n">
        <v>0</v>
      </c>
      <c r="CE8" s="32" t="n">
        <v>0</v>
      </c>
      <c r="CF8" s="36" t="n"/>
      <c r="CG8" s="41" t="n">
        <v>550</v>
      </c>
      <c r="CH8" s="48" t="n">
        <v>50</v>
      </c>
      <c r="CI8" s="32" t="n">
        <v>50</v>
      </c>
      <c r="CJ8" s="31" t="n"/>
      <c r="CK8" s="41" t="n">
        <v>600</v>
      </c>
      <c r="CL8" s="47" t="n">
        <v>0</v>
      </c>
      <c r="CM8" s="44" t="n">
        <v>50</v>
      </c>
      <c r="CN8" s="35" t="n"/>
      <c r="CO8" s="45" t="n">
        <v>600</v>
      </c>
      <c r="CP8" s="47" t="n">
        <v>50</v>
      </c>
      <c r="CQ8" s="44" t="n">
        <v>50</v>
      </c>
      <c r="CR8" s="35" t="n"/>
      <c r="CS8" s="45" t="n">
        <v>650</v>
      </c>
      <c r="CT8" s="47" t="n">
        <v>50</v>
      </c>
      <c r="CU8" s="44" t="n">
        <v>0</v>
      </c>
      <c r="CV8" s="35" t="n"/>
      <c r="CW8" s="45" t="n">
        <v>650</v>
      </c>
      <c r="CX8" s="277" t="n">
        <v>50</v>
      </c>
      <c r="CY8" s="44" t="n">
        <v>100</v>
      </c>
      <c r="CZ8" s="35" t="n"/>
      <c r="DA8" s="45" t="n">
        <v>700</v>
      </c>
      <c r="DB8" s="277" t="n">
        <v>50</v>
      </c>
      <c r="DC8" s="155" t="n">
        <v>80</v>
      </c>
      <c r="DD8" s="35" t="n"/>
      <c r="DE8" s="45" t="n">
        <v>700</v>
      </c>
      <c r="DF8" s="278" t="n">
        <v>50</v>
      </c>
      <c r="DG8" s="380" t="n">
        <v>100</v>
      </c>
      <c r="DH8" s="35" t="n"/>
      <c r="DI8" s="379">
        <f>BM8+BQ8+BU8+BY8+CC8+CG8+CK8+CO8+CS8+CW8+DA8+DE8</f>
        <v/>
      </c>
      <c r="DJ8" s="379">
        <f>DI8*$I8</f>
        <v/>
      </c>
      <c r="DK8" s="82" t="n">
        <v>50</v>
      </c>
      <c r="DL8" s="35" t="n">
        <v>100</v>
      </c>
      <c r="DM8" s="44" t="n">
        <v>100</v>
      </c>
      <c r="DN8" s="35" t="n"/>
      <c r="DO8" s="82" t="n">
        <v>50</v>
      </c>
      <c r="DP8" s="35" t="n">
        <v>150</v>
      </c>
      <c r="DQ8" s="44" t="n">
        <v>150</v>
      </c>
      <c r="DR8" s="35" t="n"/>
      <c r="DS8" s="82" t="n">
        <v>50</v>
      </c>
      <c r="DT8" s="35" t="n">
        <v>150</v>
      </c>
      <c r="DU8" s="44" t="n">
        <v>0</v>
      </c>
      <c r="DV8" s="35" t="n"/>
      <c r="DW8" s="82" t="n">
        <v>50</v>
      </c>
      <c r="DX8" s="281" t="n">
        <v>100</v>
      </c>
      <c r="DY8" s="44" t="n">
        <v>100</v>
      </c>
      <c r="DZ8" s="36" t="n"/>
      <c r="EA8" s="82" t="n">
        <v>50</v>
      </c>
      <c r="EB8" s="47" t="n">
        <v>160</v>
      </c>
      <c r="EC8" s="44" t="n">
        <v>0</v>
      </c>
      <c r="ED8" s="36" t="n"/>
      <c r="EE8" s="82" t="n">
        <v>100</v>
      </c>
      <c r="EF8" s="35" t="n">
        <v>150</v>
      </c>
      <c r="EG8" s="44" t="n">
        <v>0</v>
      </c>
      <c r="EH8" s="35" t="n"/>
      <c r="EI8" s="82" t="n">
        <v>100</v>
      </c>
      <c r="EJ8" s="35" t="n">
        <v>100</v>
      </c>
      <c r="EK8" s="44" t="n">
        <v>0</v>
      </c>
      <c r="EL8" s="35" t="n"/>
      <c r="EM8" s="82" t="n">
        <v>100</v>
      </c>
      <c r="EN8" s="35" t="n">
        <v>100</v>
      </c>
      <c r="EO8" s="44" t="n">
        <v>0</v>
      </c>
      <c r="EP8" s="35" t="n"/>
      <c r="EQ8" s="82" t="n">
        <v>100</v>
      </c>
      <c r="ER8" s="91" t="n">
        <v>100</v>
      </c>
      <c r="ES8" s="44" t="n">
        <v>0</v>
      </c>
      <c r="ET8" s="35" t="n"/>
      <c r="EU8" s="82" t="n">
        <v>150</v>
      </c>
      <c r="EV8" s="91" t="n">
        <v>150</v>
      </c>
      <c r="EW8" s="44" t="n">
        <v>0</v>
      </c>
      <c r="EX8" s="35" t="n"/>
      <c r="EY8" s="82" t="n">
        <v>150</v>
      </c>
      <c r="EZ8" s="53" t="n">
        <v>150</v>
      </c>
      <c r="FA8" s="288" t="n">
        <v>0</v>
      </c>
      <c r="FB8" s="35" t="n"/>
      <c r="FC8" s="82" t="n">
        <v>150</v>
      </c>
      <c r="FD8" s="92" t="n">
        <v>150</v>
      </c>
      <c r="FE8" s="380" t="n">
        <v>0</v>
      </c>
      <c r="FF8" s="35" t="n"/>
      <c r="FG8" s="379">
        <f>DK8+DO8+DS8+DW8+EA8+EE8+EI8+EM8+EQ8+EU8+EY8+FC8</f>
        <v/>
      </c>
      <c r="FH8" s="379">
        <f>FG8*$I8</f>
        <v/>
      </c>
      <c r="FI8" s="47" t="n">
        <v>150</v>
      </c>
      <c r="FJ8" s="35" t="n"/>
      <c r="FK8" s="44" t="n">
        <v>0</v>
      </c>
      <c r="FL8" s="35" t="n"/>
      <c r="FM8" s="51" t="n">
        <v>200</v>
      </c>
      <c r="FN8" s="35" t="n"/>
      <c r="FO8" s="44" t="n">
        <v>0</v>
      </c>
      <c r="FP8" s="35" t="n"/>
      <c r="FQ8" s="51" t="n">
        <v>200</v>
      </c>
      <c r="FR8" s="46" t="n"/>
      <c r="FS8" s="44" t="n">
        <v>0</v>
      </c>
      <c r="FT8" s="36" t="n"/>
      <c r="FU8" s="51" t="n">
        <v>200</v>
      </c>
      <c r="FV8" s="47" t="n"/>
      <c r="FW8" s="44" t="n">
        <v>0</v>
      </c>
      <c r="FX8" s="36" t="n"/>
      <c r="FY8" s="51" t="n">
        <v>200</v>
      </c>
      <c r="FZ8" s="47" t="n"/>
      <c r="GA8" s="44" t="n">
        <v>0</v>
      </c>
      <c r="GB8" s="36" t="n"/>
      <c r="GC8" s="51" t="n">
        <v>300</v>
      </c>
      <c r="GD8" s="47" t="n"/>
      <c r="GE8" s="44" t="n">
        <v>0</v>
      </c>
      <c r="GF8" s="35" t="n"/>
      <c r="GG8" s="51" t="n">
        <v>300</v>
      </c>
      <c r="GH8" s="47" t="n"/>
      <c r="GI8" s="44" t="n">
        <v>0</v>
      </c>
      <c r="GJ8" s="35" t="n"/>
      <c r="GK8" s="51" t="n">
        <v>300</v>
      </c>
      <c r="GL8" s="47" t="n"/>
      <c r="GM8" s="44" t="n">
        <v>0</v>
      </c>
      <c r="GN8" s="35" t="n"/>
      <c r="GO8" s="51" t="n">
        <v>300</v>
      </c>
      <c r="GP8" s="51" t="n"/>
      <c r="GQ8" s="44" t="n">
        <v>0</v>
      </c>
      <c r="GR8" s="35" t="n"/>
      <c r="GS8" s="51" t="n">
        <v>300</v>
      </c>
      <c r="GT8" s="52" t="n"/>
      <c r="GU8" s="44" t="n">
        <v>0</v>
      </c>
      <c r="GV8" s="35" t="n"/>
      <c r="GW8" s="51" t="n">
        <v>300</v>
      </c>
      <c r="GX8" s="51" t="n"/>
      <c r="GY8" s="49" t="n">
        <v>0</v>
      </c>
      <c r="GZ8" s="35" t="n"/>
      <c r="HA8" s="51" t="n">
        <v>300</v>
      </c>
      <c r="HB8" s="53" t="n"/>
      <c r="HC8" s="380" t="n">
        <v>0</v>
      </c>
      <c r="HD8" s="35" t="n"/>
      <c r="HE8" s="379">
        <f>FI8+FM8+FQ8+FU8+FY8+GC8+GG8+GK8+GO8+GS8+GW8+HA8</f>
        <v/>
      </c>
      <c r="HF8" s="379">
        <f>HE8*$I8</f>
        <v/>
      </c>
      <c r="HG8" s="51" t="n">
        <v>300</v>
      </c>
      <c r="HH8" s="35" t="n"/>
      <c r="HI8" s="44" t="n">
        <v>0</v>
      </c>
      <c r="HJ8" s="35" t="n"/>
      <c r="HK8" s="51" t="n">
        <v>350</v>
      </c>
      <c r="HL8" s="35" t="n"/>
      <c r="HM8" s="44" t="n">
        <v>0</v>
      </c>
      <c r="HN8" s="35" t="n"/>
      <c r="HO8" s="51" t="n">
        <v>350</v>
      </c>
      <c r="HP8" s="46" t="n"/>
      <c r="HQ8" s="44" t="n">
        <v>0</v>
      </c>
      <c r="HR8" s="36" t="n"/>
      <c r="HS8" s="51" t="n">
        <v>350</v>
      </c>
      <c r="HT8" s="47" t="n"/>
      <c r="HU8" s="44" t="n">
        <v>0</v>
      </c>
      <c r="HV8" s="36" t="n"/>
      <c r="HW8" s="51" t="n">
        <v>350</v>
      </c>
      <c r="HX8" s="47" t="n"/>
      <c r="HY8" s="44" t="n">
        <v>0</v>
      </c>
      <c r="HZ8" s="36" t="n"/>
      <c r="IA8" s="51" t="n">
        <v>350</v>
      </c>
      <c r="IB8" s="47" t="n"/>
      <c r="IC8" s="44" t="n">
        <v>0</v>
      </c>
      <c r="ID8" s="35" t="n"/>
      <c r="IE8" s="51" t="n">
        <v>350</v>
      </c>
      <c r="IF8" s="47" t="n"/>
      <c r="IG8" s="44" t="n">
        <v>0</v>
      </c>
      <c r="IH8" s="35" t="n"/>
      <c r="II8" s="51" t="n">
        <v>400</v>
      </c>
      <c r="IJ8" s="47" t="n"/>
      <c r="IK8" s="44" t="n">
        <v>0</v>
      </c>
      <c r="IL8" s="35" t="n"/>
      <c r="IM8" s="51" t="n">
        <v>400</v>
      </c>
      <c r="IN8" s="51" t="n"/>
      <c r="IO8" s="44" t="n">
        <v>0</v>
      </c>
      <c r="IP8" s="35" t="n"/>
      <c r="IQ8" s="51" t="n">
        <v>400</v>
      </c>
      <c r="IR8" s="52" t="n"/>
      <c r="IS8" s="44" t="n">
        <v>0</v>
      </c>
      <c r="IT8" s="35" t="n"/>
      <c r="IU8" s="51" t="n">
        <v>400</v>
      </c>
      <c r="IV8" s="47" t="n"/>
      <c r="IW8" s="49" t="n">
        <v>0</v>
      </c>
      <c r="IX8" s="35" t="n"/>
      <c r="IY8" s="51" t="n">
        <v>400</v>
      </c>
      <c r="IZ8" s="53" t="n"/>
      <c r="JA8" s="380" t="n">
        <v>0</v>
      </c>
      <c r="JB8" s="35" t="n"/>
      <c r="JC8" s="381">
        <f>HG8+HK8+HO8+HS8+HW8+IA8+IE8+II8+IM8+IQ8+IU8+IY8</f>
        <v/>
      </c>
      <c r="JD8" s="381">
        <f>JC8*$I8</f>
        <v/>
      </c>
    </row>
    <row r="9">
      <c r="A9" s="382" t="n"/>
      <c r="B9" s="382" t="n"/>
      <c r="C9" s="382" t="n"/>
      <c r="D9" s="382" t="n"/>
      <c r="E9" s="25" t="n">
        <v>4</v>
      </c>
      <c r="F9" s="25" t="n">
        <v>1</v>
      </c>
      <c r="G9" s="26" t="n">
        <v>4801020640</v>
      </c>
      <c r="H9" s="27" t="inlineStr">
        <is>
          <t xml:space="preserve">Блок TEBS-E Premium + PEM </t>
        </is>
      </c>
      <c r="I9" s="28" t="n">
        <v>3408.56</v>
      </c>
      <c r="J9" s="57" t="n">
        <v>3613.55</v>
      </c>
      <c r="K9" s="297" t="n">
        <v>4057.89</v>
      </c>
      <c r="L9" s="297" t="n">
        <v>4057.89</v>
      </c>
      <c r="M9" s="57" t="n"/>
      <c r="N9" s="57" t="n"/>
      <c r="O9" s="30" t="n">
        <v>350</v>
      </c>
      <c r="P9" s="31" t="n">
        <v>350</v>
      </c>
      <c r="Q9" s="32" t="n">
        <v>350</v>
      </c>
      <c r="R9" s="31" t="n"/>
      <c r="S9" s="30" t="n">
        <v>350</v>
      </c>
      <c r="T9" s="31" t="n">
        <v>350</v>
      </c>
      <c r="U9" s="32" t="n">
        <v>0</v>
      </c>
      <c r="V9" s="31" t="n"/>
      <c r="W9" s="30" t="n">
        <v>500</v>
      </c>
      <c r="X9" s="31" t="n">
        <v>300</v>
      </c>
      <c r="Y9" s="32" t="n">
        <v>700</v>
      </c>
      <c r="Z9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9" s="30" t="n">
        <v>500</v>
      </c>
      <c r="AB9" s="35" t="n">
        <v>350</v>
      </c>
      <c r="AC9" s="32" t="n">
        <v>385</v>
      </c>
      <c r="AD9" s="36" t="inlineStr">
        <is>
          <t>Корректировка прогноза клиентом, в связи с уточнением получаемых заказов</t>
        </is>
      </c>
      <c r="AE9" s="30" t="n">
        <v>500</v>
      </c>
      <c r="AF9" s="35" t="n">
        <v>380</v>
      </c>
      <c r="AG9" s="32" t="n">
        <v>390</v>
      </c>
      <c r="AH9" s="36" t="inlineStr">
        <is>
          <t>Корректировка прогноза клиентом, в связи с уточнением получаемых заказов</t>
        </is>
      </c>
      <c r="AI9" s="30" t="n">
        <v>500</v>
      </c>
      <c r="AJ9" s="35" t="n">
        <v>400</v>
      </c>
      <c r="AK9" s="32" t="n">
        <v>190</v>
      </c>
      <c r="AL9" s="31" t="n"/>
      <c r="AM9" s="30" t="n">
        <v>500</v>
      </c>
      <c r="AN9" s="35" t="n">
        <v>500</v>
      </c>
      <c r="AO9" s="32" t="n">
        <v>200</v>
      </c>
      <c r="AP9" s="31" t="n"/>
      <c r="AQ9" s="30" t="n">
        <v>500</v>
      </c>
      <c r="AR9" s="37" t="n">
        <v>400</v>
      </c>
      <c r="AS9" s="32" t="n">
        <v>160</v>
      </c>
      <c r="AT9" s="31" t="inlineStr">
        <is>
          <t>Уменьшение прогноза в связи с уменьшением заказа от клиентов из-за поышения ключевой ставки</t>
        </is>
      </c>
      <c r="AU9" s="30" t="n">
        <v>500</v>
      </c>
      <c r="AV9" s="37" t="n">
        <v>400</v>
      </c>
      <c r="AW9" s="32" t="n">
        <v>400</v>
      </c>
      <c r="AX9" s="31" t="inlineStr">
        <is>
          <t>Уменьшение прогноза в связи с уменьшением заказа от клиентов из-за поышения ключевой ставки</t>
        </is>
      </c>
      <c r="AY9" s="30" t="n">
        <v>700</v>
      </c>
      <c r="AZ9" s="38" t="n">
        <v>370</v>
      </c>
      <c r="BA9" s="32" t="n">
        <v>330</v>
      </c>
      <c r="BB9" s="34" t="inlineStr">
        <is>
          <t>Уменьшение прогноза в связи с уменьшением заказа от клиентов из-за поышения ключевой ставки</t>
        </is>
      </c>
      <c r="BC9" s="30" t="n">
        <v>700</v>
      </c>
      <c r="BD9" s="39" t="n">
        <v>0</v>
      </c>
      <c r="BE9" s="40" t="n">
        <v>144</v>
      </c>
      <c r="BF9" s="34" t="inlineStr">
        <is>
          <t>Уменьшение прогноза в связи с уменьшением заказа от клиентов из-за поышения ключевой ставки</t>
        </is>
      </c>
      <c r="BG9" s="41" t="n">
        <v>700</v>
      </c>
      <c r="BH9" s="37" t="n">
        <v>170</v>
      </c>
      <c r="BI9" s="380" t="n">
        <v>170</v>
      </c>
      <c r="BJ9" s="36" t="inlineStr">
        <is>
          <t>Уменьшение прогноза в связи с уменьшением заказа от клиентов из-за поышения ключевой ставки</t>
        </is>
      </c>
      <c r="BK9" s="379">
        <f>O9+S9+W9+AA9+AE9+AI9+AM9+AQ9+AU9+AY9+BC9+BG9</f>
        <v/>
      </c>
      <c r="BL9" s="379">
        <f>BK9*$I9</f>
        <v/>
      </c>
      <c r="BM9" s="41" t="n">
        <v>350</v>
      </c>
      <c r="BN9" s="35" t="n">
        <v>250</v>
      </c>
      <c r="BO9" s="44" t="n">
        <v>0</v>
      </c>
      <c r="BP9" s="35" t="n"/>
      <c r="BQ9" s="45" t="n">
        <v>350</v>
      </c>
      <c r="BR9" s="35" t="n">
        <v>0</v>
      </c>
      <c r="BS9" s="44" t="n">
        <v>0</v>
      </c>
      <c r="BT9" s="35" t="n"/>
      <c r="BU9" s="45" t="n">
        <v>400</v>
      </c>
      <c r="BV9" s="46" t="n">
        <v>110</v>
      </c>
      <c r="BW9" s="44" t="n">
        <v>0</v>
      </c>
      <c r="BX9" s="36" t="n"/>
      <c r="BY9" s="45" t="n">
        <v>400</v>
      </c>
      <c r="BZ9" s="47" t="n">
        <v>0</v>
      </c>
      <c r="CA9" s="44" t="n">
        <v>0</v>
      </c>
      <c r="CB9" s="36" t="n"/>
      <c r="CC9" s="45" t="n">
        <v>550</v>
      </c>
      <c r="CD9" s="35" t="n">
        <v>0</v>
      </c>
      <c r="CE9" s="32" t="n">
        <v>0</v>
      </c>
      <c r="CF9" s="36" t="n"/>
      <c r="CG9" s="41" t="n">
        <v>550</v>
      </c>
      <c r="CH9" s="48" t="n">
        <v>50</v>
      </c>
      <c r="CI9" s="55" t="n">
        <v>50</v>
      </c>
      <c r="CJ9" s="31" t="n"/>
      <c r="CK9" s="41" t="n">
        <v>600</v>
      </c>
      <c r="CL9" s="47" t="n">
        <v>0</v>
      </c>
      <c r="CM9" s="44" t="n">
        <v>50</v>
      </c>
      <c r="CN9" s="35" t="n"/>
      <c r="CO9" s="45" t="n">
        <v>600</v>
      </c>
      <c r="CP9" s="47" t="n">
        <v>50</v>
      </c>
      <c r="CQ9" s="44" t="n">
        <v>50</v>
      </c>
      <c r="CR9" s="35" t="n"/>
      <c r="CS9" s="45" t="n">
        <v>650</v>
      </c>
      <c r="CT9" s="47" t="n">
        <v>50</v>
      </c>
      <c r="CU9" s="44" t="n">
        <v>0</v>
      </c>
      <c r="CV9" s="35" t="n"/>
      <c r="CW9" s="45" t="n">
        <v>650</v>
      </c>
      <c r="CX9" s="277" t="n">
        <v>50</v>
      </c>
      <c r="CY9" s="56" t="n">
        <v>100</v>
      </c>
      <c r="CZ9" s="35" t="n"/>
      <c r="DA9" s="45" t="n">
        <v>700</v>
      </c>
      <c r="DB9" s="277" t="n">
        <v>50</v>
      </c>
      <c r="DC9" s="155" t="n">
        <v>80</v>
      </c>
      <c r="DD9" s="35" t="n"/>
      <c r="DE9" s="45" t="n">
        <v>700</v>
      </c>
      <c r="DF9" s="278" t="n">
        <v>50</v>
      </c>
      <c r="DG9" s="380" t="n">
        <v>100</v>
      </c>
      <c r="DH9" s="35" t="n"/>
      <c r="DI9" s="379">
        <f>BM9+BQ9+BU9+BY9+CC9+CG9+CK9+CO9+CS9+CW9+DA9+DE9</f>
        <v/>
      </c>
      <c r="DJ9" s="379">
        <f>DI9*$I9</f>
        <v/>
      </c>
      <c r="DK9" s="82" t="n">
        <v>50</v>
      </c>
      <c r="DL9" s="35" t="n">
        <v>130</v>
      </c>
      <c r="DM9" s="44" t="n">
        <v>100</v>
      </c>
      <c r="DN9" s="35" t="n"/>
      <c r="DO9" s="82" t="n">
        <v>50</v>
      </c>
      <c r="DP9" s="35" t="n">
        <v>150</v>
      </c>
      <c r="DQ9" s="44" t="n">
        <v>150</v>
      </c>
      <c r="DR9" s="35" t="n"/>
      <c r="DS9" s="82" t="n">
        <v>50</v>
      </c>
      <c r="DT9" s="35" t="n">
        <v>150</v>
      </c>
      <c r="DU9" s="44" t="n">
        <v>0</v>
      </c>
      <c r="DV9" s="35" t="n"/>
      <c r="DW9" s="82" t="n">
        <v>50</v>
      </c>
      <c r="DX9" s="281" t="n">
        <v>100</v>
      </c>
      <c r="DY9" s="44" t="n">
        <v>100</v>
      </c>
      <c r="DZ9" s="36" t="n"/>
      <c r="EA9" s="82" t="n">
        <v>50</v>
      </c>
      <c r="EB9" s="47" t="n">
        <v>160</v>
      </c>
      <c r="EC9" s="44" t="n">
        <v>0</v>
      </c>
      <c r="ED9" s="36" t="n"/>
      <c r="EE9" s="82" t="n">
        <v>100</v>
      </c>
      <c r="EF9" s="35" t="n">
        <v>150</v>
      </c>
      <c r="EG9" s="44" t="n">
        <v>0</v>
      </c>
      <c r="EH9" s="35" t="n"/>
      <c r="EI9" s="82" t="n">
        <v>100</v>
      </c>
      <c r="EJ9" s="35" t="n">
        <v>100</v>
      </c>
      <c r="EK9" s="44" t="n">
        <v>0</v>
      </c>
      <c r="EL9" s="35" t="n"/>
      <c r="EM9" s="82" t="n">
        <v>100</v>
      </c>
      <c r="EN9" s="35" t="n">
        <v>100</v>
      </c>
      <c r="EO9" s="44" t="n">
        <v>0</v>
      </c>
      <c r="EP9" s="35" t="n"/>
      <c r="EQ9" s="82" t="n">
        <v>100</v>
      </c>
      <c r="ER9" s="91" t="n">
        <v>100</v>
      </c>
      <c r="ES9" s="44" t="n">
        <v>0</v>
      </c>
      <c r="ET9" s="35" t="n"/>
      <c r="EU9" s="82" t="n">
        <v>150</v>
      </c>
      <c r="EV9" s="91" t="n">
        <v>150</v>
      </c>
      <c r="EW9" s="44" t="n">
        <v>0</v>
      </c>
      <c r="EX9" s="35" t="n"/>
      <c r="EY9" s="82" t="n">
        <v>150</v>
      </c>
      <c r="EZ9" s="53" t="n">
        <v>150</v>
      </c>
      <c r="FA9" s="288" t="n">
        <v>0</v>
      </c>
      <c r="FB9" s="35" t="n"/>
      <c r="FC9" s="82" t="n">
        <v>150</v>
      </c>
      <c r="FD9" s="92" t="n">
        <v>150</v>
      </c>
      <c r="FE9" s="380" t="n">
        <v>0</v>
      </c>
      <c r="FF9" s="35" t="n"/>
      <c r="FG9" s="379">
        <f>DK9+DO9+DS9+DW9+EA9+EE9+EI9+EM9+EQ9+EU9+EY9+FC9</f>
        <v/>
      </c>
      <c r="FH9" s="379">
        <f>FG9*$I9</f>
        <v/>
      </c>
      <c r="FI9" s="47" t="n">
        <v>150</v>
      </c>
      <c r="FJ9" s="35" t="n"/>
      <c r="FK9" s="44" t="n">
        <v>0</v>
      </c>
      <c r="FL9" s="35" t="n"/>
      <c r="FM9" s="51" t="n">
        <v>200</v>
      </c>
      <c r="FN9" s="35" t="n"/>
      <c r="FO9" s="44" t="n">
        <v>0</v>
      </c>
      <c r="FP9" s="35" t="n"/>
      <c r="FQ9" s="51" t="n">
        <v>200</v>
      </c>
      <c r="FR9" s="46" t="n"/>
      <c r="FS9" s="44" t="n">
        <v>0</v>
      </c>
      <c r="FT9" s="36" t="n"/>
      <c r="FU9" s="51" t="n">
        <v>200</v>
      </c>
      <c r="FV9" s="47" t="n"/>
      <c r="FW9" s="44" t="n">
        <v>0</v>
      </c>
      <c r="FX9" s="36" t="n"/>
      <c r="FY9" s="51" t="n">
        <v>200</v>
      </c>
      <c r="FZ9" s="47" t="n"/>
      <c r="GA9" s="44" t="n">
        <v>0</v>
      </c>
      <c r="GB9" s="36" t="n"/>
      <c r="GC9" s="51" t="n">
        <v>300</v>
      </c>
      <c r="GD9" s="47" t="n"/>
      <c r="GE9" s="44" t="n">
        <v>0</v>
      </c>
      <c r="GF9" s="35" t="n"/>
      <c r="GG9" s="51" t="n">
        <v>300</v>
      </c>
      <c r="GH9" s="47" t="n"/>
      <c r="GI9" s="44" t="n">
        <v>0</v>
      </c>
      <c r="GJ9" s="35" t="n"/>
      <c r="GK9" s="51" t="n">
        <v>300</v>
      </c>
      <c r="GL9" s="47" t="n"/>
      <c r="GM9" s="44" t="n">
        <v>0</v>
      </c>
      <c r="GN9" s="35" t="n"/>
      <c r="GO9" s="51" t="n">
        <v>300</v>
      </c>
      <c r="GP9" s="51" t="n"/>
      <c r="GQ9" s="44" t="n">
        <v>0</v>
      </c>
      <c r="GR9" s="35" t="n"/>
      <c r="GS9" s="51" t="n">
        <v>300</v>
      </c>
      <c r="GT9" s="52" t="n"/>
      <c r="GU9" s="44" t="n">
        <v>0</v>
      </c>
      <c r="GV9" s="35" t="n"/>
      <c r="GW9" s="51" t="n">
        <v>300</v>
      </c>
      <c r="GX9" s="51" t="n"/>
      <c r="GY9" s="49" t="n">
        <v>0</v>
      </c>
      <c r="GZ9" s="35" t="n"/>
      <c r="HA9" s="51" t="n">
        <v>300</v>
      </c>
      <c r="HB9" s="53" t="n"/>
      <c r="HC9" s="380" t="n">
        <v>0</v>
      </c>
      <c r="HD9" s="35" t="n"/>
      <c r="HE9" s="379">
        <f>FI9+FM9+FQ9+FU9+FY9+GC9+GG9+GK9+GO9+GS9+GW9+HA9</f>
        <v/>
      </c>
      <c r="HF9" s="379">
        <f>HE9*$I9</f>
        <v/>
      </c>
      <c r="HG9" s="51" t="n">
        <v>300</v>
      </c>
      <c r="HH9" s="35" t="n"/>
      <c r="HI9" s="44" t="n">
        <v>0</v>
      </c>
      <c r="HJ9" s="35" t="n"/>
      <c r="HK9" s="51" t="n">
        <v>350</v>
      </c>
      <c r="HL9" s="35" t="n"/>
      <c r="HM9" s="44" t="n">
        <v>0</v>
      </c>
      <c r="HN9" s="35" t="n"/>
      <c r="HO9" s="51" t="n">
        <v>350</v>
      </c>
      <c r="HP9" s="46" t="n"/>
      <c r="HQ9" s="44" t="n">
        <v>0</v>
      </c>
      <c r="HR9" s="36" t="n"/>
      <c r="HS9" s="51" t="n">
        <v>350</v>
      </c>
      <c r="HT9" s="47" t="n"/>
      <c r="HU9" s="44" t="n">
        <v>0</v>
      </c>
      <c r="HV9" s="36" t="n"/>
      <c r="HW9" s="51" t="n">
        <v>350</v>
      </c>
      <c r="HX9" s="47" t="n"/>
      <c r="HY9" s="44" t="n">
        <v>0</v>
      </c>
      <c r="HZ9" s="36" t="n"/>
      <c r="IA9" s="51" t="n">
        <v>350</v>
      </c>
      <c r="IB9" s="47" t="n"/>
      <c r="IC9" s="44" t="n">
        <v>0</v>
      </c>
      <c r="ID9" s="35" t="n"/>
      <c r="IE9" s="51" t="n">
        <v>350</v>
      </c>
      <c r="IF9" s="47" t="n"/>
      <c r="IG9" s="44" t="n">
        <v>0</v>
      </c>
      <c r="IH9" s="35" t="n"/>
      <c r="II9" s="51" t="n">
        <v>400</v>
      </c>
      <c r="IJ9" s="47" t="n"/>
      <c r="IK9" s="44" t="n">
        <v>0</v>
      </c>
      <c r="IL9" s="35" t="n"/>
      <c r="IM9" s="51" t="n">
        <v>400</v>
      </c>
      <c r="IN9" s="51" t="n"/>
      <c r="IO9" s="44" t="n">
        <v>0</v>
      </c>
      <c r="IP9" s="35" t="n"/>
      <c r="IQ9" s="51" t="n">
        <v>400</v>
      </c>
      <c r="IR9" s="52" t="n"/>
      <c r="IS9" s="44" t="n">
        <v>0</v>
      </c>
      <c r="IT9" s="35" t="n"/>
      <c r="IU9" s="51" t="n">
        <v>400</v>
      </c>
      <c r="IV9" s="47" t="n"/>
      <c r="IW9" s="49" t="n">
        <v>0</v>
      </c>
      <c r="IX9" s="35" t="n"/>
      <c r="IY9" s="51" t="n">
        <v>400</v>
      </c>
      <c r="IZ9" s="53" t="n"/>
      <c r="JA9" s="380" t="n">
        <v>0</v>
      </c>
      <c r="JB9" s="35" t="n"/>
      <c r="JC9" s="381">
        <f>HG9+HK9+HO9+HS9+HW9+IA9+IE9+II9+IM9+IQ9+IU9+IY9</f>
        <v/>
      </c>
      <c r="JD9" s="381">
        <f>JC9*$I9</f>
        <v/>
      </c>
    </row>
    <row r="10">
      <c r="A10" s="382" t="n"/>
      <c r="B10" s="382" t="n"/>
      <c r="C10" s="382" t="n"/>
      <c r="D10" s="382" t="n"/>
      <c r="E10" s="25" t="n">
        <v>5</v>
      </c>
      <c r="F10" s="25" t="n">
        <v>1</v>
      </c>
      <c r="G10" s="26" t="n">
        <v>4491731200</v>
      </c>
      <c r="H10" s="27" t="inlineStr">
        <is>
          <t>Кабель питания для п/п 12 м</t>
        </is>
      </c>
      <c r="I10" s="28" t="n">
        <v>639.55</v>
      </c>
      <c r="J10" s="29" t="n">
        <v>639.55</v>
      </c>
      <c r="K10" s="297" t="n">
        <v>656.17</v>
      </c>
      <c r="L10" s="297" t="n">
        <v>656.17</v>
      </c>
      <c r="M10" s="29" t="n"/>
      <c r="N10" s="29" t="n"/>
      <c r="O10" s="30" t="n">
        <v>350</v>
      </c>
      <c r="P10" s="31" t="n">
        <v>350</v>
      </c>
      <c r="Q10" s="32" t="n">
        <v>350</v>
      </c>
      <c r="R10" s="31" t="n"/>
      <c r="S10" s="30" t="n">
        <v>350</v>
      </c>
      <c r="T10" s="31" t="n">
        <v>350</v>
      </c>
      <c r="U10" s="32" t="n">
        <v>0</v>
      </c>
      <c r="V10" s="31" t="n"/>
      <c r="W10" s="30" t="n">
        <v>500</v>
      </c>
      <c r="X10" s="31" t="n">
        <v>370</v>
      </c>
      <c r="Y10" s="32" t="n">
        <v>680</v>
      </c>
      <c r="Z10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10" s="30" t="n">
        <v>500</v>
      </c>
      <c r="AB10" s="35" t="n">
        <v>340</v>
      </c>
      <c r="AC10" s="32" t="n">
        <v>345</v>
      </c>
      <c r="AD10" s="36" t="inlineStr">
        <is>
          <t>Корректировка прогноза клиентом, в связи с уточнением получаемых заказов</t>
        </is>
      </c>
      <c r="AE10" s="30" t="n">
        <v>500</v>
      </c>
      <c r="AF10" s="35" t="n">
        <v>340</v>
      </c>
      <c r="AG10" s="32" t="n">
        <v>350</v>
      </c>
      <c r="AH10" s="36" t="inlineStr">
        <is>
          <t>Корректировка прогноза клиентом, в связи с уточнением получаемых заказов</t>
        </is>
      </c>
      <c r="AI10" s="30" t="n">
        <v>500</v>
      </c>
      <c r="AJ10" s="35" t="n">
        <v>350</v>
      </c>
      <c r="AK10" s="32" t="n">
        <v>165</v>
      </c>
      <c r="AL10" s="31" t="n"/>
      <c r="AM10" s="30" t="n">
        <v>500</v>
      </c>
      <c r="AN10" s="35" t="n">
        <v>450</v>
      </c>
      <c r="AO10" s="32" t="n">
        <v>150</v>
      </c>
      <c r="AP10" s="31" t="n"/>
      <c r="AQ10" s="30" t="n">
        <v>500</v>
      </c>
      <c r="AR10" s="37" t="n">
        <v>350</v>
      </c>
      <c r="AS10" s="32" t="n">
        <v>160</v>
      </c>
      <c r="AT10" s="31" t="inlineStr">
        <is>
          <t>Уменьшение прогноза в связи с уменьшением заказа от клиентов из-за поышения ключевой ставки</t>
        </is>
      </c>
      <c r="AU10" s="30" t="n">
        <v>500</v>
      </c>
      <c r="AV10" s="37" t="n">
        <v>350</v>
      </c>
      <c r="AW10" s="32" t="n">
        <v>315</v>
      </c>
      <c r="AX10" s="31" t="inlineStr">
        <is>
          <t>Уменьшение прогноза в связи с уменьшением заказа от клиентов из-за поышения ключевой ставки</t>
        </is>
      </c>
      <c r="AY10" s="30" t="n">
        <v>700</v>
      </c>
      <c r="AZ10" s="38" t="n">
        <v>260</v>
      </c>
      <c r="BA10" s="32" t="n">
        <v>220</v>
      </c>
      <c r="BB10" s="34" t="inlineStr">
        <is>
          <t>Уменьшение прогноза в связи с уменьшением заказа от клиентов из-за поышения ключевой ставки</t>
        </is>
      </c>
      <c r="BC10" s="30" t="n">
        <v>700</v>
      </c>
      <c r="BD10" s="39" t="n">
        <v>0</v>
      </c>
      <c r="BE10" s="40" t="n">
        <v>40</v>
      </c>
      <c r="BF10" s="34" t="inlineStr">
        <is>
          <t>Уменьшение прогноза в связи с уменьшением заказа от клиентов из-за поышения ключевой ставки</t>
        </is>
      </c>
      <c r="BG10" s="41" t="n">
        <v>700</v>
      </c>
      <c r="BH10" s="37" t="n">
        <v>0</v>
      </c>
      <c r="BI10" s="42" t="n">
        <v>0</v>
      </c>
      <c r="BJ10" s="36" t="inlineStr">
        <is>
          <t>Уменьшение прогноза в связи с уменьшением заказа от клиентов из-за поышения ключевой ставки</t>
        </is>
      </c>
      <c r="BK10" s="379">
        <f>O10+S10+W10+AA10+AE10+AI10+AM10+AQ10+AU10+AY10+BC10+BG10</f>
        <v/>
      </c>
      <c r="BL10" s="379">
        <f>BK10*$I10</f>
        <v/>
      </c>
      <c r="BM10" s="41" t="n">
        <v>260</v>
      </c>
      <c r="BN10" s="35" t="n">
        <v>200</v>
      </c>
      <c r="BO10" s="44" t="n">
        <v>0</v>
      </c>
      <c r="BP10" s="35" t="n"/>
      <c r="BQ10" s="45" t="n">
        <v>250</v>
      </c>
      <c r="BR10" s="35" t="n">
        <v>0</v>
      </c>
      <c r="BS10" s="44" t="n">
        <v>0</v>
      </c>
      <c r="BT10" s="35" t="n"/>
      <c r="BU10" s="45" t="n">
        <v>300</v>
      </c>
      <c r="BV10" s="46" t="n">
        <v>90</v>
      </c>
      <c r="BW10" s="44" t="n">
        <v>0</v>
      </c>
      <c r="BX10" s="36" t="n"/>
      <c r="BY10" s="45" t="n">
        <v>300</v>
      </c>
      <c r="BZ10" s="47" t="n">
        <v>0</v>
      </c>
      <c r="CA10" s="44" t="n">
        <v>0</v>
      </c>
      <c r="CB10" s="36" t="n"/>
      <c r="CC10" s="45" t="n">
        <v>450</v>
      </c>
      <c r="CD10" s="35" t="n">
        <v>0</v>
      </c>
      <c r="CE10" s="32" t="n">
        <v>0</v>
      </c>
      <c r="CF10" s="36" t="n"/>
      <c r="CG10" s="41" t="n">
        <v>450</v>
      </c>
      <c r="CH10" s="48" t="n">
        <v>50</v>
      </c>
      <c r="CI10" s="32" t="n">
        <v>50</v>
      </c>
      <c r="CJ10" s="31" t="n"/>
      <c r="CK10" s="41" t="n">
        <v>450</v>
      </c>
      <c r="CL10" s="47" t="n">
        <v>0</v>
      </c>
      <c r="CM10" s="44" t="n">
        <v>50</v>
      </c>
      <c r="CN10" s="35" t="n"/>
      <c r="CO10" s="45" t="n">
        <v>450</v>
      </c>
      <c r="CP10" s="47" t="n">
        <v>0</v>
      </c>
      <c r="CQ10" s="44" t="n">
        <v>50</v>
      </c>
      <c r="CR10" s="35" t="n"/>
      <c r="CS10" s="45" t="n">
        <v>425</v>
      </c>
      <c r="CT10" s="47" t="n">
        <v>0</v>
      </c>
      <c r="CU10" s="44" t="n">
        <v>0</v>
      </c>
      <c r="CV10" s="35" t="n"/>
      <c r="CW10" s="45" t="n">
        <v>425</v>
      </c>
      <c r="CX10" s="277" t="n">
        <v>0</v>
      </c>
      <c r="CY10" s="44" t="n">
        <v>100</v>
      </c>
      <c r="CZ10" s="35" t="n"/>
      <c r="DA10" s="45" t="n">
        <v>450</v>
      </c>
      <c r="DB10" s="277" t="n">
        <v>0</v>
      </c>
      <c r="DC10" s="155" t="n">
        <v>80</v>
      </c>
      <c r="DD10" s="35" t="n"/>
      <c r="DE10" s="45" t="n">
        <v>450</v>
      </c>
      <c r="DF10" s="278" t="n">
        <v>0</v>
      </c>
      <c r="DG10" s="380" t="n">
        <v>100</v>
      </c>
      <c r="DH10" s="35" t="n"/>
      <c r="DI10" s="379">
        <f>BM10+BQ10+BU10+BY10+CC10+CG10+CK10+CO10+CS10+CW10+DA10+DE10</f>
        <v/>
      </c>
      <c r="DJ10" s="379">
        <f>DI10*$I10</f>
        <v/>
      </c>
      <c r="DK10" s="82" t="n">
        <v>0</v>
      </c>
      <c r="DL10" s="35" t="n">
        <v>100</v>
      </c>
      <c r="DM10" s="44" t="n">
        <v>50</v>
      </c>
      <c r="DN10" s="35" t="n"/>
      <c r="DO10" s="82" t="n">
        <v>0</v>
      </c>
      <c r="DP10" s="282" t="n">
        <v>70</v>
      </c>
      <c r="DQ10" s="44" t="n">
        <v>60</v>
      </c>
      <c r="DR10" s="35" t="n"/>
      <c r="DS10" s="82" t="n">
        <v>0</v>
      </c>
      <c r="DT10" s="47" t="n">
        <v>60</v>
      </c>
      <c r="DU10" s="44" t="n">
        <v>0</v>
      </c>
      <c r="DV10" s="35" t="n"/>
      <c r="DW10" s="82" t="n">
        <v>0</v>
      </c>
      <c r="DX10" s="281" t="n">
        <v>80</v>
      </c>
      <c r="DY10" s="44" t="n">
        <v>80</v>
      </c>
      <c r="DZ10" s="36" t="n"/>
      <c r="EA10" s="82" t="n">
        <v>0</v>
      </c>
      <c r="EB10" s="47" t="n">
        <v>60</v>
      </c>
      <c r="EC10" s="44" t="n">
        <v>0</v>
      </c>
      <c r="ED10" s="36" t="n"/>
      <c r="EE10" s="82" t="n">
        <v>0</v>
      </c>
      <c r="EF10" s="35" t="n">
        <v>70</v>
      </c>
      <c r="EG10" s="44" t="n">
        <v>0</v>
      </c>
      <c r="EH10" s="35" t="n"/>
      <c r="EI10" s="82" t="n">
        <v>0</v>
      </c>
      <c r="EJ10" s="35" t="n">
        <v>0</v>
      </c>
      <c r="EK10" s="44" t="n"/>
      <c r="EL10" s="35" t="n"/>
      <c r="EM10" s="82" t="n">
        <v>0</v>
      </c>
      <c r="EN10" s="35" t="n">
        <v>0</v>
      </c>
      <c r="EO10" s="44" t="n"/>
      <c r="EP10" s="35" t="n"/>
      <c r="EQ10" s="82" t="n">
        <v>0</v>
      </c>
      <c r="ER10" s="91" t="n">
        <v>0</v>
      </c>
      <c r="ES10" s="44" t="n"/>
      <c r="ET10" s="35" t="n"/>
      <c r="EU10" s="82" t="n">
        <v>0</v>
      </c>
      <c r="EV10" s="91" t="n">
        <v>0</v>
      </c>
      <c r="EW10" s="44" t="n"/>
      <c r="EX10" s="35" t="n"/>
      <c r="EY10" s="82" t="n">
        <v>0</v>
      </c>
      <c r="EZ10" s="53" t="n">
        <v>0</v>
      </c>
      <c r="FA10" s="288" t="n"/>
      <c r="FB10" s="35" t="n"/>
      <c r="FC10" s="82" t="n">
        <v>0</v>
      </c>
      <c r="FD10" s="92" t="n">
        <v>0</v>
      </c>
      <c r="FE10" s="380" t="n"/>
      <c r="FF10" s="35" t="n"/>
      <c r="FG10" s="379">
        <f>DK10+DO10+DS10+DW10+EA10+EE10+EI10+EM10+EQ10+EU10+EY10+FC10</f>
        <v/>
      </c>
      <c r="FH10" s="379">
        <f>FG10*$I10</f>
        <v/>
      </c>
      <c r="FI10" s="47" t="n">
        <v>0</v>
      </c>
      <c r="FJ10" s="35" t="n"/>
      <c r="FK10" s="44" t="n"/>
      <c r="FL10" s="35" t="n"/>
      <c r="FM10" s="51" t="n">
        <v>0</v>
      </c>
      <c r="FN10" s="35" t="n"/>
      <c r="FO10" s="44" t="n"/>
      <c r="FP10" s="35" t="n"/>
      <c r="FQ10" s="51" t="n">
        <v>0</v>
      </c>
      <c r="FR10" s="46" t="n"/>
      <c r="FS10" s="44" t="n"/>
      <c r="FT10" s="36" t="n"/>
      <c r="FU10" s="51" t="n">
        <v>0</v>
      </c>
      <c r="FV10" s="47" t="n"/>
      <c r="FW10" s="44" t="n"/>
      <c r="FX10" s="36" t="n"/>
      <c r="FY10" s="51" t="n">
        <v>0</v>
      </c>
      <c r="FZ10" s="47" t="n"/>
      <c r="GA10" s="44" t="n"/>
      <c r="GB10" s="36" t="n"/>
      <c r="GC10" s="51" t="n">
        <v>0</v>
      </c>
      <c r="GD10" s="47" t="n"/>
      <c r="GE10" s="44" t="n"/>
      <c r="GF10" s="35" t="n"/>
      <c r="GG10" s="51" t="n">
        <v>0</v>
      </c>
      <c r="GH10" s="47" t="n"/>
      <c r="GI10" s="44" t="n"/>
      <c r="GJ10" s="35" t="n"/>
      <c r="GK10" s="51" t="n">
        <v>0</v>
      </c>
      <c r="GL10" s="47" t="n"/>
      <c r="GM10" s="44" t="n"/>
      <c r="GN10" s="35" t="n"/>
      <c r="GO10" s="51" t="n">
        <v>0</v>
      </c>
      <c r="GP10" s="51" t="n"/>
      <c r="GQ10" s="44" t="n"/>
      <c r="GR10" s="35" t="n"/>
      <c r="GS10" s="51" t="n">
        <v>0</v>
      </c>
      <c r="GT10" s="52" t="n"/>
      <c r="GU10" s="44" t="n"/>
      <c r="GV10" s="35" t="n"/>
      <c r="GW10" s="51" t="n">
        <v>0</v>
      </c>
      <c r="GX10" s="51" t="n"/>
      <c r="GY10" s="49" t="n"/>
      <c r="GZ10" s="35" t="n"/>
      <c r="HA10" s="51" t="n">
        <v>0</v>
      </c>
      <c r="HB10" s="53" t="n"/>
      <c r="HC10" s="380" t="n"/>
      <c r="HD10" s="35" t="n"/>
      <c r="HE10" s="379">
        <f>FI10+FM10+FQ10+FU10+FY10+GC10+GG10+GK10+GO10+GS10+GW10+HA10</f>
        <v/>
      </c>
      <c r="HF10" s="379">
        <f>HE10*$I10</f>
        <v/>
      </c>
      <c r="HG10" s="51" t="n">
        <v>0</v>
      </c>
      <c r="HH10" s="35" t="n"/>
      <c r="HI10" s="44" t="n"/>
      <c r="HJ10" s="35" t="n"/>
      <c r="HK10" s="51" t="n">
        <v>0</v>
      </c>
      <c r="HL10" s="35" t="n"/>
      <c r="HM10" s="44" t="n"/>
      <c r="HN10" s="35" t="n"/>
      <c r="HO10" s="51" t="n">
        <v>0</v>
      </c>
      <c r="HP10" s="46" t="n"/>
      <c r="HQ10" s="44" t="n"/>
      <c r="HR10" s="36" t="n"/>
      <c r="HS10" s="51" t="n">
        <v>0</v>
      </c>
      <c r="HT10" s="47" t="n"/>
      <c r="HU10" s="44" t="n"/>
      <c r="HV10" s="36" t="n"/>
      <c r="HW10" s="51" t="n">
        <v>0</v>
      </c>
      <c r="HX10" s="47" t="n"/>
      <c r="HY10" s="44" t="n"/>
      <c r="HZ10" s="36" t="n"/>
      <c r="IA10" s="51" t="n">
        <v>0</v>
      </c>
      <c r="IB10" s="47" t="n"/>
      <c r="IC10" s="44" t="n"/>
      <c r="ID10" s="35" t="n"/>
      <c r="IE10" s="51" t="n">
        <v>0</v>
      </c>
      <c r="IF10" s="47" t="n"/>
      <c r="IG10" s="44" t="n"/>
      <c r="IH10" s="35" t="n"/>
      <c r="II10" s="51" t="n">
        <v>0</v>
      </c>
      <c r="IJ10" s="47" t="n"/>
      <c r="IK10" s="44" t="n"/>
      <c r="IL10" s="35" t="n"/>
      <c r="IM10" s="51" t="n">
        <v>0</v>
      </c>
      <c r="IN10" s="51" t="n"/>
      <c r="IO10" s="44" t="n"/>
      <c r="IP10" s="35" t="n"/>
      <c r="IQ10" s="51" t="n">
        <v>0</v>
      </c>
      <c r="IR10" s="52" t="n"/>
      <c r="IS10" s="44" t="n"/>
      <c r="IT10" s="35" t="n"/>
      <c r="IU10" s="51" t="n">
        <v>0</v>
      </c>
      <c r="IV10" s="47" t="n"/>
      <c r="IW10" s="49" t="n"/>
      <c r="IX10" s="35" t="n"/>
      <c r="IY10" s="51" t="n">
        <v>0</v>
      </c>
      <c r="IZ10" s="53" t="n"/>
      <c r="JA10" s="380" t="n"/>
      <c r="JB10" s="35" t="n"/>
      <c r="JC10" s="381">
        <f>HG10+HK10+HO10+HS10+HW10+IA10+IE10+II10+IM10+IQ10+IU10+IY10</f>
        <v/>
      </c>
      <c r="JD10" s="381">
        <f>JC10*$I10</f>
        <v/>
      </c>
    </row>
    <row r="11" ht="16.2" customHeight="1">
      <c r="A11" s="382" t="n"/>
      <c r="B11" s="382" t="n"/>
      <c r="C11" s="382" t="n"/>
      <c r="D11" s="382" t="n"/>
      <c r="E11" s="25" t="n">
        <v>6</v>
      </c>
      <c r="F11" s="25" t="n">
        <v>1</v>
      </c>
      <c r="G11" s="26" t="n">
        <v>4491731400</v>
      </c>
      <c r="H11" s="27" t="inlineStr">
        <is>
          <t>Кабель питания для п/п 14 м</t>
        </is>
      </c>
      <c r="I11" s="28" t="n">
        <v>729.96</v>
      </c>
      <c r="J11" s="29" t="n">
        <v>729.96</v>
      </c>
      <c r="K11" s="297" t="n">
        <v>682.73</v>
      </c>
      <c r="L11" s="297" t="n">
        <v>682.73</v>
      </c>
      <c r="M11" s="29" t="n"/>
      <c r="N11" s="29" t="n"/>
      <c r="O11" s="30" t="n"/>
      <c r="P11" s="31" t="n"/>
      <c r="Q11" s="32" t="n"/>
      <c r="R11" s="31" t="n"/>
      <c r="S11" s="30" t="n"/>
      <c r="T11" s="31" t="n"/>
      <c r="U11" s="32" t="n"/>
      <c r="V11" s="31" t="n"/>
      <c r="W11" s="30" t="n">
        <v>0</v>
      </c>
      <c r="X11" s="31" t="n">
        <v>10</v>
      </c>
      <c r="Y11" s="32" t="n">
        <v>40</v>
      </c>
      <c r="Z11" s="58" t="inlineStr">
        <is>
          <t>В связи с конструктивными особенностями внесенными в конструкцию понадобился более длинный кабель линейки выпускаемых п/п понадо</t>
        </is>
      </c>
      <c r="AA11" s="30" t="n"/>
      <c r="AB11" s="35" t="n">
        <v>10</v>
      </c>
      <c r="AC11" s="32" t="n">
        <v>40</v>
      </c>
      <c r="AD11" s="36" t="inlineStr">
        <is>
          <t>Корректировка прогноза клиентом, в связи с уточнением получаемых заказов</t>
        </is>
      </c>
      <c r="AE11" s="30" t="n"/>
      <c r="AF11" s="35" t="n">
        <v>40</v>
      </c>
      <c r="AG11" s="32" t="n">
        <v>40</v>
      </c>
      <c r="AH11" s="36" t="inlineStr">
        <is>
          <t>Корректировка прогноза клиентом, в связи с уточнением получаемых заказов</t>
        </is>
      </c>
      <c r="AI11" s="30" t="n"/>
      <c r="AJ11" s="35" t="n">
        <v>50</v>
      </c>
      <c r="AK11" s="32" t="n">
        <v>25</v>
      </c>
      <c r="AL11" s="31" t="n"/>
      <c r="AM11" s="30" t="n"/>
      <c r="AN11" s="35" t="n">
        <v>50</v>
      </c>
      <c r="AO11" s="32" t="n">
        <v>50</v>
      </c>
      <c r="AP11" s="31" t="n"/>
      <c r="AQ11" s="30" t="n"/>
      <c r="AR11" s="37" t="n">
        <v>50</v>
      </c>
      <c r="AS11" s="32" t="n">
        <v>0</v>
      </c>
      <c r="AT11" s="31" t="inlineStr">
        <is>
          <t>Уменьшение прогноза в связи с уменьшением заказа от клиентов из-за поышения ключевой ставки</t>
        </is>
      </c>
      <c r="AU11" s="30" t="n"/>
      <c r="AV11" s="37" t="n">
        <v>50</v>
      </c>
      <c r="AW11" s="32" t="n">
        <v>85</v>
      </c>
      <c r="AX11" s="31" t="inlineStr">
        <is>
          <t>Уменьшение прогноза в связи с уменьшением заказа от клиентов из-за поышения ключевой ставки</t>
        </is>
      </c>
      <c r="AY11" s="30" t="n"/>
      <c r="AZ11" s="38" t="n">
        <v>80</v>
      </c>
      <c r="BA11" s="32" t="n">
        <v>128</v>
      </c>
      <c r="BB11" s="34" t="inlineStr">
        <is>
          <t>Уменьшение прогноза в связи с уменьшением заказа от клиентов из-за поышения ключевой ставки</t>
        </is>
      </c>
      <c r="BC11" s="30" t="n"/>
      <c r="BD11" s="39" t="n">
        <v>0</v>
      </c>
      <c r="BE11" s="40" t="n">
        <v>0</v>
      </c>
      <c r="BF11" s="34" t="inlineStr">
        <is>
          <t>Уменьшение прогноза в связи с уменьшением заказа от клиентов из-за поышения ключевой ставки</t>
        </is>
      </c>
      <c r="BG11" s="41" t="n"/>
      <c r="BH11" s="37" t="n">
        <v>80</v>
      </c>
      <c r="BI11" s="380" t="n">
        <v>120</v>
      </c>
      <c r="BJ11" s="36" t="inlineStr">
        <is>
          <t>Уменьшение прогноза в связи с уменьшением заказа от клиентов из-за поышения ключевой ставки</t>
        </is>
      </c>
      <c r="BK11" s="379" t="n"/>
      <c r="BL11" s="379">
        <f>BK11*$I11</f>
        <v/>
      </c>
      <c r="BM11" s="41" t="n">
        <v>90</v>
      </c>
      <c r="BN11" s="35" t="n">
        <v>50</v>
      </c>
      <c r="BO11" s="44" t="n">
        <v>0</v>
      </c>
      <c r="BP11" s="35" t="n"/>
      <c r="BQ11" s="45" t="n">
        <v>100</v>
      </c>
      <c r="BR11" s="35" t="n">
        <v>0</v>
      </c>
      <c r="BS11" s="44" t="n">
        <v>0</v>
      </c>
      <c r="BT11" s="35" t="n"/>
      <c r="BU11" s="45" t="n">
        <v>100</v>
      </c>
      <c r="BV11" s="46" t="n">
        <v>0</v>
      </c>
      <c r="BW11" s="44" t="n">
        <v>0</v>
      </c>
      <c r="BX11" s="59" t="n"/>
      <c r="BY11" s="45" t="n">
        <v>100</v>
      </c>
      <c r="BZ11" s="47" t="n">
        <v>0</v>
      </c>
      <c r="CA11" s="44" t="n">
        <v>0</v>
      </c>
      <c r="CB11" s="36" t="n"/>
      <c r="CC11" s="45" t="n">
        <v>100</v>
      </c>
      <c r="CD11" s="35" t="n">
        <v>0</v>
      </c>
      <c r="CE11" s="32" t="n">
        <v>0</v>
      </c>
      <c r="CF11" s="36" t="n"/>
      <c r="CG11" s="41" t="n">
        <v>100</v>
      </c>
      <c r="CH11" s="35" t="n">
        <v>0</v>
      </c>
      <c r="CI11" s="32" t="n">
        <v>0</v>
      </c>
      <c r="CJ11" s="31" t="n"/>
      <c r="CK11" s="41" t="n">
        <v>150</v>
      </c>
      <c r="CL11" s="47" t="n">
        <v>0</v>
      </c>
      <c r="CM11" s="44" t="n">
        <v>0</v>
      </c>
      <c r="CN11" s="35" t="n"/>
      <c r="CO11" s="45" t="n">
        <v>150</v>
      </c>
      <c r="CP11" s="47" t="n">
        <v>50</v>
      </c>
      <c r="CQ11" s="44" t="n">
        <v>0</v>
      </c>
      <c r="CR11" s="35" t="n"/>
      <c r="CS11" s="45" t="n">
        <v>175</v>
      </c>
      <c r="CT11" s="47" t="n">
        <v>50</v>
      </c>
      <c r="CU11" s="44" t="n">
        <v>0</v>
      </c>
      <c r="CV11" s="35" t="n"/>
      <c r="CW11" s="45" t="n">
        <v>175</v>
      </c>
      <c r="CX11" s="277" t="n">
        <v>50</v>
      </c>
      <c r="CY11" s="44" t="n">
        <v>0</v>
      </c>
      <c r="CZ11" s="35" t="n"/>
      <c r="DA11" s="45" t="n">
        <v>250</v>
      </c>
      <c r="DB11" s="277" t="n">
        <v>50</v>
      </c>
      <c r="DC11" s="155" t="n">
        <v>0</v>
      </c>
      <c r="DD11" s="35" t="n"/>
      <c r="DE11" s="45" t="n">
        <v>250</v>
      </c>
      <c r="DF11" s="278" t="n">
        <v>50</v>
      </c>
      <c r="DG11" s="380" t="n">
        <v>0</v>
      </c>
      <c r="DH11" s="35" t="n"/>
      <c r="DI11" s="379">
        <f>BM11+BQ11+BU11+BY11+CC11+CG11+CK11+CO11+CS11+CW11+DA11+DE11</f>
        <v/>
      </c>
      <c r="DJ11" s="379">
        <f>DI11*$I11</f>
        <v/>
      </c>
      <c r="DK11" s="82" t="n">
        <v>50</v>
      </c>
      <c r="DL11" s="35" t="n">
        <v>0</v>
      </c>
      <c r="DM11" s="44" t="n">
        <v>50</v>
      </c>
      <c r="DN11" s="35" t="n"/>
      <c r="DO11" s="82" t="n">
        <v>50</v>
      </c>
      <c r="DP11" s="282" t="n">
        <v>80</v>
      </c>
      <c r="DQ11" s="44" t="n">
        <v>90</v>
      </c>
      <c r="DR11" s="35" t="n"/>
      <c r="DS11" s="82" t="n">
        <v>50</v>
      </c>
      <c r="DT11" s="47" t="n">
        <v>90</v>
      </c>
      <c r="DU11" s="44" t="n">
        <v>0</v>
      </c>
      <c r="DV11" s="35" t="n"/>
      <c r="DW11" s="82" t="n">
        <v>50</v>
      </c>
      <c r="DX11" s="281" t="n">
        <v>20</v>
      </c>
      <c r="DY11" s="44" t="n">
        <v>20</v>
      </c>
      <c r="DZ11" s="36" t="n"/>
      <c r="EA11" s="82" t="n">
        <v>50</v>
      </c>
      <c r="EB11" s="47" t="n">
        <v>100</v>
      </c>
      <c r="EC11" s="44" t="n">
        <v>0</v>
      </c>
      <c r="ED11" s="36" t="n"/>
      <c r="EE11" s="82" t="n">
        <v>100</v>
      </c>
      <c r="EF11" s="35" t="n">
        <v>80</v>
      </c>
      <c r="EG11" s="44" t="n">
        <v>0</v>
      </c>
      <c r="EH11" s="35" t="n"/>
      <c r="EI11" s="82" t="n">
        <v>100</v>
      </c>
      <c r="EJ11" s="35" t="n">
        <v>100</v>
      </c>
      <c r="EK11" s="44" t="n">
        <v>0</v>
      </c>
      <c r="EL11" s="35" t="n"/>
      <c r="EM11" s="82" t="n">
        <v>100</v>
      </c>
      <c r="EN11" s="35" t="n">
        <v>100</v>
      </c>
      <c r="EO11" s="44" t="n">
        <v>0</v>
      </c>
      <c r="EP11" s="35" t="n"/>
      <c r="EQ11" s="82" t="n">
        <v>100</v>
      </c>
      <c r="ER11" s="91" t="n">
        <v>100</v>
      </c>
      <c r="ES11" s="44" t="n">
        <v>0</v>
      </c>
      <c r="ET11" s="35" t="n"/>
      <c r="EU11" s="82" t="n">
        <v>150</v>
      </c>
      <c r="EV11" s="91" t="n">
        <v>150</v>
      </c>
      <c r="EW11" s="44" t="n">
        <v>0</v>
      </c>
      <c r="EX11" s="35" t="n"/>
      <c r="EY11" s="82" t="n">
        <v>150</v>
      </c>
      <c r="EZ11" s="53" t="n">
        <v>150</v>
      </c>
      <c r="FA11" s="288" t="n">
        <v>0</v>
      </c>
      <c r="FB11" s="35" t="n"/>
      <c r="FC11" s="82" t="n">
        <v>150</v>
      </c>
      <c r="FD11" s="92" t="n">
        <v>150</v>
      </c>
      <c r="FE11" s="380" t="n">
        <v>0</v>
      </c>
      <c r="FF11" s="35" t="n"/>
      <c r="FG11" s="379">
        <f>DK11+DO11+DS11+DW11+EA11+EE11+EI11+EM11+EQ11+EU11+EY11+FC11</f>
        <v/>
      </c>
      <c r="FH11" s="379">
        <f>FG11*$I11</f>
        <v/>
      </c>
      <c r="FI11" s="47" t="n">
        <v>150</v>
      </c>
      <c r="FJ11" s="35" t="n"/>
      <c r="FK11" s="44" t="n">
        <v>0</v>
      </c>
      <c r="FL11" s="35" t="n"/>
      <c r="FM11" s="51" t="n">
        <v>200</v>
      </c>
      <c r="FN11" s="35" t="n"/>
      <c r="FO11" s="44" t="n">
        <v>0</v>
      </c>
      <c r="FP11" s="35" t="n"/>
      <c r="FQ11" s="51" t="n">
        <v>200</v>
      </c>
      <c r="FR11" s="46" t="n"/>
      <c r="FS11" s="44" t="n">
        <v>0</v>
      </c>
      <c r="FT11" s="59" t="n"/>
      <c r="FU11" s="51" t="n">
        <v>200</v>
      </c>
      <c r="FV11" s="47" t="n"/>
      <c r="FW11" s="44" t="n">
        <v>0</v>
      </c>
      <c r="FX11" s="36" t="n"/>
      <c r="FY11" s="51" t="n">
        <v>200</v>
      </c>
      <c r="FZ11" s="47" t="n"/>
      <c r="GA11" s="44" t="n">
        <v>0</v>
      </c>
      <c r="GB11" s="36" t="n"/>
      <c r="GC11" s="51" t="n">
        <v>300</v>
      </c>
      <c r="GD11" s="47" t="n"/>
      <c r="GE11" s="44" t="n">
        <v>0</v>
      </c>
      <c r="GF11" s="35" t="n"/>
      <c r="GG11" s="51" t="n">
        <v>300</v>
      </c>
      <c r="GH11" s="47" t="n"/>
      <c r="GI11" s="44" t="n">
        <v>0</v>
      </c>
      <c r="GJ11" s="35" t="n"/>
      <c r="GK11" s="51" t="n">
        <v>300</v>
      </c>
      <c r="GL11" s="47" t="n"/>
      <c r="GM11" s="44" t="n">
        <v>0</v>
      </c>
      <c r="GN11" s="35" t="n"/>
      <c r="GO11" s="51" t="n">
        <v>300</v>
      </c>
      <c r="GP11" s="51" t="n"/>
      <c r="GQ11" s="44" t="n">
        <v>0</v>
      </c>
      <c r="GR11" s="35" t="n"/>
      <c r="GS11" s="51" t="n">
        <v>300</v>
      </c>
      <c r="GT11" s="52" t="n"/>
      <c r="GU11" s="44" t="n">
        <v>0</v>
      </c>
      <c r="GV11" s="35" t="n"/>
      <c r="GW11" s="51" t="n">
        <v>300</v>
      </c>
      <c r="GX11" s="51" t="n"/>
      <c r="GY11" s="49" t="n">
        <v>0</v>
      </c>
      <c r="GZ11" s="35" t="n"/>
      <c r="HA11" s="51" t="n">
        <v>300</v>
      </c>
      <c r="HB11" s="53" t="n"/>
      <c r="HC11" s="380" t="n">
        <v>0</v>
      </c>
      <c r="HD11" s="35" t="n"/>
      <c r="HE11" s="379">
        <f>FI11+FM11+FQ11+FU11+FY11+GC11+GG11+GK11+GO11+GS11+GW11+HA11</f>
        <v/>
      </c>
      <c r="HF11" s="379">
        <f>HE11*$I11</f>
        <v/>
      </c>
      <c r="HG11" s="51" t="n">
        <v>300</v>
      </c>
      <c r="HH11" s="35" t="n"/>
      <c r="HI11" s="44" t="n">
        <v>0</v>
      </c>
      <c r="HJ11" s="35" t="n"/>
      <c r="HK11" s="51" t="n">
        <v>350</v>
      </c>
      <c r="HL11" s="35" t="n"/>
      <c r="HM11" s="44" t="n">
        <v>0</v>
      </c>
      <c r="HN11" s="35" t="n"/>
      <c r="HO11" s="51" t="n">
        <v>350</v>
      </c>
      <c r="HP11" s="46" t="n"/>
      <c r="HQ11" s="44" t="n">
        <v>0</v>
      </c>
      <c r="HR11" s="59" t="n"/>
      <c r="HS11" s="51" t="n">
        <v>350</v>
      </c>
      <c r="HT11" s="47" t="n"/>
      <c r="HU11" s="44" t="n">
        <v>0</v>
      </c>
      <c r="HV11" s="36" t="n"/>
      <c r="HW11" s="51" t="n">
        <v>350</v>
      </c>
      <c r="HX11" s="47" t="n"/>
      <c r="HY11" s="44" t="n">
        <v>0</v>
      </c>
      <c r="HZ11" s="36" t="n"/>
      <c r="IA11" s="51" t="n">
        <v>350</v>
      </c>
      <c r="IB11" s="47" t="n"/>
      <c r="IC11" s="44" t="n">
        <v>0</v>
      </c>
      <c r="ID11" s="35" t="n"/>
      <c r="IE11" s="51" t="n">
        <v>350</v>
      </c>
      <c r="IF11" s="47" t="n"/>
      <c r="IG11" s="44" t="n">
        <v>0</v>
      </c>
      <c r="IH11" s="35" t="n"/>
      <c r="II11" s="51" t="n">
        <v>400</v>
      </c>
      <c r="IJ11" s="47" t="n"/>
      <c r="IK11" s="44" t="n">
        <v>0</v>
      </c>
      <c r="IL11" s="35" t="n"/>
      <c r="IM11" s="51" t="n">
        <v>400</v>
      </c>
      <c r="IN11" s="51" t="n"/>
      <c r="IO11" s="44" t="n">
        <v>0</v>
      </c>
      <c r="IP11" s="35" t="n"/>
      <c r="IQ11" s="51" t="n">
        <v>400</v>
      </c>
      <c r="IR11" s="52" t="n"/>
      <c r="IS11" s="44" t="n">
        <v>0</v>
      </c>
      <c r="IT11" s="35" t="n"/>
      <c r="IU11" s="51" t="n">
        <v>400</v>
      </c>
      <c r="IV11" s="47" t="n"/>
      <c r="IW11" s="49" t="n">
        <v>0</v>
      </c>
      <c r="IX11" s="35" t="n"/>
      <c r="IY11" s="51" t="n">
        <v>400</v>
      </c>
      <c r="IZ11" s="53" t="n"/>
      <c r="JA11" s="380" t="n">
        <v>0</v>
      </c>
      <c r="JB11" s="35" t="n"/>
      <c r="JC11" s="381">
        <f>HG11+HK11+HO11+HS11+HW11+IA11+IE11+II11+IM11+IQ11+IU11+IY11</f>
        <v/>
      </c>
      <c r="JD11" s="381">
        <f>JC11*$I11</f>
        <v/>
      </c>
    </row>
    <row r="12">
      <c r="A12" s="382" t="n"/>
      <c r="B12" s="382" t="n"/>
      <c r="C12" s="382" t="n"/>
      <c r="D12" s="382" t="n"/>
      <c r="E12" s="25" t="n">
        <v>7</v>
      </c>
      <c r="F12" s="25" t="n">
        <v>1</v>
      </c>
      <c r="G12" s="26" t="n">
        <v>4497230500</v>
      </c>
      <c r="H12" s="27" t="inlineStr">
        <is>
          <t>Кабель-удлинитель датчика АБС 5м</t>
        </is>
      </c>
      <c r="I12" s="28" t="n">
        <v>113.8</v>
      </c>
      <c r="J12" s="29" t="n">
        <v>113.8</v>
      </c>
      <c r="K12" s="297" t="n">
        <v>112.13</v>
      </c>
      <c r="L12" s="297" t="n">
        <v>112.13</v>
      </c>
      <c r="M12" s="29" t="n"/>
      <c r="N12" s="29" t="n"/>
      <c r="O12" s="30" t="n">
        <v>350</v>
      </c>
      <c r="P12" s="31" t="n">
        <v>350</v>
      </c>
      <c r="Q12" s="32" t="n">
        <v>700</v>
      </c>
      <c r="R12" s="31" t="n"/>
      <c r="S12" s="30" t="n">
        <v>350</v>
      </c>
      <c r="T12" s="31" t="n">
        <v>350</v>
      </c>
      <c r="U12" s="32" t="n">
        <v>0</v>
      </c>
      <c r="V12" s="31" t="n"/>
      <c r="W12" s="30" t="n">
        <v>500</v>
      </c>
      <c r="X12" s="31" t="n">
        <v>525</v>
      </c>
      <c r="Y12" s="32" t="n">
        <v>604</v>
      </c>
      <c r="Z12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12" s="30" t="n">
        <v>500</v>
      </c>
      <c r="AB12" s="35" t="n">
        <v>320</v>
      </c>
      <c r="AC12" s="32" t="n">
        <v>360</v>
      </c>
      <c r="AD12" s="36" t="inlineStr">
        <is>
          <t>Корректировка прогноза клиентом, в связи с уточнением получаемых заказов</t>
        </is>
      </c>
      <c r="AE12" s="30" t="n">
        <v>500</v>
      </c>
      <c r="AF12" s="35" t="n">
        <v>500</v>
      </c>
      <c r="AG12" s="32" t="n">
        <v>740</v>
      </c>
      <c r="AH12" s="36" t="n"/>
      <c r="AI12" s="30" t="n">
        <v>500</v>
      </c>
      <c r="AJ12" s="35" t="n">
        <v>600</v>
      </c>
      <c r="AK12" s="32" t="n">
        <v>310</v>
      </c>
      <c r="AL12" s="31" t="n"/>
      <c r="AM12" s="30" t="n">
        <v>500</v>
      </c>
      <c r="AN12" s="35" t="n">
        <v>600</v>
      </c>
      <c r="AO12" s="32" t="n">
        <v>410</v>
      </c>
      <c r="AP12" s="31" t="n"/>
      <c r="AQ12" s="30" t="n">
        <v>500</v>
      </c>
      <c r="AR12" s="37" t="n">
        <v>500</v>
      </c>
      <c r="AS12" s="32" t="n">
        <v>220</v>
      </c>
      <c r="AT12" s="31" t="inlineStr">
        <is>
          <t>Уменьшение прогноза в связи с уменьшением заказа от клиентов из-за поышения ключевой ставки</t>
        </is>
      </c>
      <c r="AU12" s="30" t="n">
        <v>500</v>
      </c>
      <c r="AV12" s="37" t="n">
        <v>600</v>
      </c>
      <c r="AW12" s="32" t="n">
        <v>720</v>
      </c>
      <c r="AX12" s="31" t="inlineStr">
        <is>
          <t>Уменьшение прогноза в связи с уменьшением заказа от клиентов из-за поышения ключевой ставки</t>
        </is>
      </c>
      <c r="AY12" s="30" t="n">
        <v>700</v>
      </c>
      <c r="AZ12" s="38" t="n">
        <v>0</v>
      </c>
      <c r="BA12" s="32" t="n">
        <v>0</v>
      </c>
      <c r="BB12" s="34" t="inlineStr">
        <is>
          <t>Уменьшение прогноза в связи с уменьшением заказа от клиентов из-за поышения ключевой ставки</t>
        </is>
      </c>
      <c r="BC12" s="30" t="n">
        <v>700</v>
      </c>
      <c r="BD12" s="39" t="n">
        <v>0</v>
      </c>
      <c r="BE12" s="40" t="n">
        <v>160</v>
      </c>
      <c r="BF12" s="34" t="inlineStr">
        <is>
          <t>Уменьшение прогноза в связи с уменьшением заказа от клиентов из-за поышения ключевой ставки</t>
        </is>
      </c>
      <c r="BG12" s="41" t="n">
        <v>700</v>
      </c>
      <c r="BH12" s="37" t="n">
        <v>120</v>
      </c>
      <c r="BI12" s="380" t="n">
        <v>120</v>
      </c>
      <c r="BJ12" s="36" t="inlineStr">
        <is>
          <t>Уменьшение прогноза в связи с уменьшением заказа от клиентов из-за поышения ключевой ставки</t>
        </is>
      </c>
      <c r="BK12" s="379">
        <f>O12+S12+W12+AA12+AE12+AI12+AM12+AQ12+AU12+AY12+BC12+BG12</f>
        <v/>
      </c>
      <c r="BL12" s="379">
        <f>BK12*$I12</f>
        <v/>
      </c>
      <c r="BM12" s="41" t="n">
        <v>400</v>
      </c>
      <c r="BN12" s="35" t="n">
        <v>400</v>
      </c>
      <c r="BO12" s="44" t="n">
        <v>0</v>
      </c>
      <c r="BP12" s="35" t="n"/>
      <c r="BQ12" s="45" t="n">
        <v>600</v>
      </c>
      <c r="BR12" s="35" t="n">
        <v>0</v>
      </c>
      <c r="BS12" s="44" t="n">
        <v>0</v>
      </c>
      <c r="BT12" s="35" t="n"/>
      <c r="BU12" s="45" t="n">
        <v>500</v>
      </c>
      <c r="BV12" s="46" t="n">
        <v>340</v>
      </c>
      <c r="BW12" s="44" t="n">
        <v>0</v>
      </c>
      <c r="BX12" s="36" t="n"/>
      <c r="BY12" s="45" t="n">
        <v>500</v>
      </c>
      <c r="BZ12" s="47" t="n">
        <v>0</v>
      </c>
      <c r="CA12" s="44" t="n">
        <v>0</v>
      </c>
      <c r="CB12" s="36" t="n"/>
      <c r="CC12" s="45" t="n">
        <v>600</v>
      </c>
      <c r="CD12" s="35" t="n">
        <v>0</v>
      </c>
      <c r="CE12" s="32" t="n">
        <v>0</v>
      </c>
      <c r="CF12" s="36" t="n"/>
      <c r="CG12" s="41" t="n">
        <v>600</v>
      </c>
      <c r="CH12" s="48" t="n">
        <v>200</v>
      </c>
      <c r="CI12" s="32" t="n">
        <v>200</v>
      </c>
      <c r="CJ12" s="31" t="n"/>
      <c r="CK12" s="41" t="n">
        <v>700</v>
      </c>
      <c r="CL12" s="47" t="n">
        <v>0</v>
      </c>
      <c r="CM12" s="44" t="n">
        <v>200</v>
      </c>
      <c r="CN12" s="35" t="n"/>
      <c r="CO12" s="45" t="n">
        <v>700</v>
      </c>
      <c r="CP12" s="47" t="n">
        <v>150</v>
      </c>
      <c r="CQ12" s="44" t="n">
        <v>200</v>
      </c>
      <c r="CR12" s="35" t="n"/>
      <c r="CS12" s="45" t="n">
        <v>700</v>
      </c>
      <c r="CT12" s="47" t="n">
        <v>150</v>
      </c>
      <c r="CU12" s="44" t="n">
        <v>0</v>
      </c>
      <c r="CV12" s="35" t="n"/>
      <c r="CW12" s="45" t="n">
        <v>700</v>
      </c>
      <c r="CX12" s="277" t="n">
        <v>150</v>
      </c>
      <c r="CY12" s="44" t="n">
        <v>400</v>
      </c>
      <c r="CZ12" s="35" t="n"/>
      <c r="DA12" s="45" t="n">
        <v>700</v>
      </c>
      <c r="DB12" s="277" t="n">
        <v>150</v>
      </c>
      <c r="DC12" s="155" t="n">
        <v>320</v>
      </c>
      <c r="DD12" s="35" t="n"/>
      <c r="DE12" s="45" t="n">
        <v>700</v>
      </c>
      <c r="DF12" s="278" t="n">
        <v>150</v>
      </c>
      <c r="DG12" s="380" t="n">
        <v>260</v>
      </c>
      <c r="DH12" s="35" t="n"/>
      <c r="DI12" s="379">
        <f>BM12+BQ12+BU12+BY12+CC12+CG12+CK12+CO12+CS12+CW12+DA12+DE12</f>
        <v/>
      </c>
      <c r="DJ12" s="379">
        <f>DI12*$I12</f>
        <v/>
      </c>
      <c r="DK12" s="82" t="n">
        <v>150</v>
      </c>
      <c r="DL12" s="35" t="n">
        <v>200</v>
      </c>
      <c r="DM12" s="44" t="n">
        <v>300</v>
      </c>
      <c r="DN12" s="35" t="n"/>
      <c r="DO12" s="82" t="n">
        <v>150</v>
      </c>
      <c r="DP12" s="282" t="n">
        <v>480</v>
      </c>
      <c r="DQ12" s="44" t="n">
        <v>480</v>
      </c>
      <c r="DR12" s="35" t="n"/>
      <c r="DS12" s="82" t="n">
        <v>150</v>
      </c>
      <c r="DT12" s="35" t="n">
        <v>480</v>
      </c>
      <c r="DU12" s="44" t="n">
        <v>0</v>
      </c>
      <c r="DV12" s="35" t="n"/>
      <c r="DW12" s="82" t="n">
        <v>150</v>
      </c>
      <c r="DX12" s="281" t="n">
        <v>240</v>
      </c>
      <c r="DY12" s="44" t="n">
        <v>240</v>
      </c>
      <c r="DZ12" s="36" t="n"/>
      <c r="EA12" s="82" t="n">
        <v>150</v>
      </c>
      <c r="EB12" s="47" t="n">
        <v>520</v>
      </c>
      <c r="EC12" s="44" t="n">
        <v>0</v>
      </c>
      <c r="ED12" s="36" t="n"/>
      <c r="EE12" s="82" t="n">
        <v>200</v>
      </c>
      <c r="EF12" s="35" t="n">
        <v>480</v>
      </c>
      <c r="EG12" s="44" t="n">
        <v>0</v>
      </c>
      <c r="EH12" s="35" t="n"/>
      <c r="EI12" s="82" t="n">
        <v>200</v>
      </c>
      <c r="EJ12" s="35" t="n">
        <v>200</v>
      </c>
      <c r="EK12" s="44" t="n">
        <v>0</v>
      </c>
      <c r="EL12" s="35" t="n"/>
      <c r="EM12" s="82" t="n">
        <v>200</v>
      </c>
      <c r="EN12" s="35" t="n">
        <v>200</v>
      </c>
      <c r="EO12" s="44" t="n">
        <v>0</v>
      </c>
      <c r="EP12" s="35" t="n"/>
      <c r="EQ12" s="82" t="n">
        <v>200</v>
      </c>
      <c r="ER12" s="91" t="n">
        <v>200</v>
      </c>
      <c r="ES12" s="44" t="n">
        <v>0</v>
      </c>
      <c r="ET12" s="35" t="n"/>
      <c r="EU12" s="82" t="n">
        <v>300</v>
      </c>
      <c r="EV12" s="91" t="n">
        <v>300</v>
      </c>
      <c r="EW12" s="44" t="n">
        <v>0</v>
      </c>
      <c r="EX12" s="35" t="n"/>
      <c r="EY12" s="82" t="n">
        <v>300</v>
      </c>
      <c r="EZ12" s="53" t="n">
        <v>300</v>
      </c>
      <c r="FA12" s="288" t="n">
        <v>0</v>
      </c>
      <c r="FB12" s="35" t="n"/>
      <c r="FC12" s="82" t="n">
        <v>300</v>
      </c>
      <c r="FD12" s="92" t="n">
        <v>300</v>
      </c>
      <c r="FE12" s="380" t="n">
        <v>0</v>
      </c>
      <c r="FF12" s="35" t="n"/>
      <c r="FG12" s="379">
        <f>DK12+DO12+DS12+DW12+EA12+EE12+EI12+EM12+EQ12+EU12+EY12+FC12</f>
        <v/>
      </c>
      <c r="FH12" s="379">
        <f>FG12*$I12</f>
        <v/>
      </c>
      <c r="FI12" s="47" t="n">
        <v>300</v>
      </c>
      <c r="FJ12" s="35" t="n"/>
      <c r="FK12" s="44" t="n">
        <v>0</v>
      </c>
      <c r="FL12" s="35" t="n"/>
      <c r="FM12" s="51" t="n">
        <v>400</v>
      </c>
      <c r="FN12" s="35" t="n"/>
      <c r="FO12" s="44" t="n">
        <v>0</v>
      </c>
      <c r="FP12" s="35" t="n"/>
      <c r="FQ12" s="51" t="n">
        <v>400</v>
      </c>
      <c r="FR12" s="46" t="n"/>
      <c r="FS12" s="44" t="n">
        <v>0</v>
      </c>
      <c r="FT12" s="36" t="n"/>
      <c r="FU12" s="51" t="n">
        <v>400</v>
      </c>
      <c r="FV12" s="47" t="n"/>
      <c r="FW12" s="44" t="n">
        <v>0</v>
      </c>
      <c r="FX12" s="36" t="n"/>
      <c r="FY12" s="51" t="n">
        <v>400</v>
      </c>
      <c r="FZ12" s="47" t="n"/>
      <c r="GA12" s="44" t="n">
        <v>0</v>
      </c>
      <c r="GB12" s="36" t="n"/>
      <c r="GC12" s="51" t="n">
        <v>600</v>
      </c>
      <c r="GD12" s="47" t="n"/>
      <c r="GE12" s="44" t="n">
        <v>0</v>
      </c>
      <c r="GF12" s="35" t="n"/>
      <c r="GG12" s="51" t="n">
        <v>600</v>
      </c>
      <c r="GH12" s="47" t="n"/>
      <c r="GI12" s="44" t="n">
        <v>0</v>
      </c>
      <c r="GJ12" s="35" t="n"/>
      <c r="GK12" s="51" t="n">
        <v>600</v>
      </c>
      <c r="GL12" s="47" t="n"/>
      <c r="GM12" s="44" t="n">
        <v>0</v>
      </c>
      <c r="GN12" s="35" t="n"/>
      <c r="GO12" s="51" t="n">
        <v>600</v>
      </c>
      <c r="GP12" s="51" t="n"/>
      <c r="GQ12" s="44" t="n">
        <v>0</v>
      </c>
      <c r="GR12" s="35" t="n"/>
      <c r="GS12" s="51" t="n">
        <v>600</v>
      </c>
      <c r="GT12" s="52" t="n"/>
      <c r="GU12" s="44" t="n">
        <v>0</v>
      </c>
      <c r="GV12" s="35" t="n"/>
      <c r="GW12" s="51" t="n">
        <v>600</v>
      </c>
      <c r="GX12" s="51" t="n"/>
      <c r="GY12" s="49" t="n">
        <v>0</v>
      </c>
      <c r="GZ12" s="35" t="n"/>
      <c r="HA12" s="51" t="n">
        <v>600</v>
      </c>
      <c r="HB12" s="53" t="n"/>
      <c r="HC12" s="380" t="n">
        <v>0</v>
      </c>
      <c r="HD12" s="35" t="n"/>
      <c r="HE12" s="379">
        <f>FI12+FM12+FQ12+FU12+FY12+GC12+GG12+GK12+GO12+GS12+GW12+HA12</f>
        <v/>
      </c>
      <c r="HF12" s="379">
        <f>HE12*$I12</f>
        <v/>
      </c>
      <c r="HG12" s="51" t="n">
        <v>600</v>
      </c>
      <c r="HH12" s="35" t="n"/>
      <c r="HI12" s="44" t="n">
        <v>0</v>
      </c>
      <c r="HJ12" s="35" t="n"/>
      <c r="HK12" s="51" t="n">
        <v>1400</v>
      </c>
      <c r="HL12" s="35" t="n"/>
      <c r="HM12" s="44" t="n">
        <v>0</v>
      </c>
      <c r="HN12" s="35" t="n"/>
      <c r="HO12" s="51" t="n">
        <v>1400</v>
      </c>
      <c r="HP12" s="46" t="n"/>
      <c r="HQ12" s="44" t="n">
        <v>0</v>
      </c>
      <c r="HR12" s="36" t="n"/>
      <c r="HS12" s="51" t="n">
        <v>1400</v>
      </c>
      <c r="HT12" s="47" t="n"/>
      <c r="HU12" s="44" t="n">
        <v>0</v>
      </c>
      <c r="HV12" s="36" t="n"/>
      <c r="HW12" s="51" t="n">
        <v>1400</v>
      </c>
      <c r="HX12" s="47" t="n"/>
      <c r="HY12" s="44" t="n">
        <v>0</v>
      </c>
      <c r="HZ12" s="36" t="n"/>
      <c r="IA12" s="51" t="n">
        <v>1400</v>
      </c>
      <c r="IB12" s="47" t="n"/>
      <c r="IC12" s="44" t="n">
        <v>0</v>
      </c>
      <c r="ID12" s="35" t="n"/>
      <c r="IE12" s="51" t="n">
        <v>1400</v>
      </c>
      <c r="IF12" s="47" t="n"/>
      <c r="IG12" s="44" t="n">
        <v>0</v>
      </c>
      <c r="IH12" s="35" t="n"/>
      <c r="II12" s="51" t="n">
        <v>1600</v>
      </c>
      <c r="IJ12" s="47" t="n"/>
      <c r="IK12" s="44" t="n">
        <v>0</v>
      </c>
      <c r="IL12" s="35" t="n"/>
      <c r="IM12" s="51" t="n">
        <v>1600</v>
      </c>
      <c r="IN12" s="51" t="n"/>
      <c r="IO12" s="44" t="n">
        <v>0</v>
      </c>
      <c r="IP12" s="35" t="n"/>
      <c r="IQ12" s="51" t="n">
        <v>1600</v>
      </c>
      <c r="IR12" s="52" t="n"/>
      <c r="IS12" s="44" t="n">
        <v>0</v>
      </c>
      <c r="IT12" s="35" t="n"/>
      <c r="IU12" s="51" t="n">
        <v>1600</v>
      </c>
      <c r="IV12" s="47" t="n"/>
      <c r="IW12" s="49" t="n">
        <v>0</v>
      </c>
      <c r="IX12" s="35" t="n"/>
      <c r="IY12" s="51" t="n">
        <v>1600</v>
      </c>
      <c r="IZ12" s="53" t="n"/>
      <c r="JA12" s="380" t="n">
        <v>0</v>
      </c>
      <c r="JB12" s="35" t="n"/>
      <c r="JC12" s="381">
        <f>HG12+HK12+HO12+HS12+HW12+IA12+IE12+II12+IM12+IQ12+IU12+IY12</f>
        <v/>
      </c>
      <c r="JD12" s="381">
        <f>JC12*$I12</f>
        <v/>
      </c>
    </row>
    <row r="13" ht="20.25" customHeight="1">
      <c r="A13" s="382" t="n"/>
      <c r="B13" s="382" t="n"/>
      <c r="C13" s="382" t="n"/>
      <c r="D13" s="382" t="n"/>
      <c r="E13" s="25" t="n">
        <v>8</v>
      </c>
      <c r="F13" s="25" t="n">
        <v>1</v>
      </c>
      <c r="G13" s="26" t="n">
        <v>4497230400</v>
      </c>
      <c r="H13" s="27" t="inlineStr">
        <is>
          <t>Кабель-удлинитель датчика АБС 4м</t>
        </is>
      </c>
      <c r="I13" s="28" t="n">
        <v>94.17</v>
      </c>
      <c r="J13" s="29" t="n">
        <v>94.17</v>
      </c>
      <c r="K13" s="29" t="n">
        <v>94.17</v>
      </c>
      <c r="L13" s="29" t="n">
        <v>94.17</v>
      </c>
      <c r="M13" s="29" t="n"/>
      <c r="N13" s="29" t="n"/>
      <c r="O13" s="30" t="n">
        <v>350</v>
      </c>
      <c r="P13" s="31" t="n">
        <v>350</v>
      </c>
      <c r="Q13" s="32" t="n">
        <v>700</v>
      </c>
      <c r="R13" s="60" t="inlineStr">
        <is>
          <t>Изменен артикул с 4507230400 на 4497230400</t>
        </is>
      </c>
      <c r="S13" s="30" t="n">
        <v>350</v>
      </c>
      <c r="T13" s="31" t="n">
        <v>350</v>
      </c>
      <c r="U13" s="32" t="n">
        <v>0</v>
      </c>
      <c r="V13" s="31" t="n"/>
      <c r="W13" s="30" t="n">
        <v>500</v>
      </c>
      <c r="X13" s="31" t="n">
        <v>740</v>
      </c>
      <c r="Y13" s="32" t="n">
        <v>1006</v>
      </c>
      <c r="Z13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13" s="30" t="n">
        <v>500</v>
      </c>
      <c r="AB13" s="35" t="n">
        <v>320</v>
      </c>
      <c r="AC13" s="32" t="n">
        <v>320</v>
      </c>
      <c r="AD13" s="36" t="inlineStr">
        <is>
          <t>Корректировка прогноза клиентом, в связи с уточнением получаемых заказов</t>
        </is>
      </c>
      <c r="AE13" s="30" t="n">
        <v>500</v>
      </c>
      <c r="AF13" s="35" t="n">
        <v>0</v>
      </c>
      <c r="AG13" s="32" t="n">
        <v>320</v>
      </c>
      <c r="AH13" s="36" t="inlineStr">
        <is>
          <t>Обнаружены остатки артикула на складе</t>
        </is>
      </c>
      <c r="AI13" s="30" t="n">
        <v>500</v>
      </c>
      <c r="AJ13" s="35" t="n">
        <v>300</v>
      </c>
      <c r="AK13" s="32" t="n">
        <v>280</v>
      </c>
      <c r="AL13" s="31" t="n"/>
      <c r="AM13" s="30" t="n">
        <v>500</v>
      </c>
      <c r="AN13" s="35" t="n">
        <v>800</v>
      </c>
      <c r="AO13" s="32" t="n">
        <v>340</v>
      </c>
      <c r="AP13" s="31" t="n"/>
      <c r="AQ13" s="30" t="n">
        <v>500</v>
      </c>
      <c r="AR13" s="37" t="n">
        <v>500</v>
      </c>
      <c r="AS13" s="32" t="n">
        <v>320</v>
      </c>
      <c r="AT13" s="31" t="inlineStr">
        <is>
          <t>Уменьшение прогноза в связи с уменьшением заказа от клиентов из-за поышения ключевой ставки</t>
        </is>
      </c>
      <c r="AU13" s="30" t="n">
        <v>500</v>
      </c>
      <c r="AV13" s="37" t="n">
        <v>600</v>
      </c>
      <c r="AW13" s="32" t="n">
        <v>690</v>
      </c>
      <c r="AX13" s="31" t="inlineStr">
        <is>
          <t>Уменьшение прогноза в связи с уменьшением заказа от клиентов из-за поышения ключевой ставки</t>
        </is>
      </c>
      <c r="AY13" s="30" t="n">
        <v>700</v>
      </c>
      <c r="AZ13" s="38" t="n">
        <v>740</v>
      </c>
      <c r="BA13" s="32" t="n">
        <v>660</v>
      </c>
      <c r="BB13" s="34" t="inlineStr">
        <is>
          <t>Уменьшение прогноза в связи с уменьшением заказа от клиентов из-за поышения ключевой ставки</t>
        </is>
      </c>
      <c r="BC13" s="30" t="n">
        <v>700</v>
      </c>
      <c r="BD13" s="39" t="n">
        <v>0</v>
      </c>
      <c r="BE13" s="40" t="n">
        <v>0</v>
      </c>
      <c r="BF13" s="34" t="inlineStr">
        <is>
          <t>Уменьшение прогноза в связи с уменьшением заказа от клиентов из-за поышения ключевой ставки</t>
        </is>
      </c>
      <c r="BG13" s="41" t="n">
        <v>700</v>
      </c>
      <c r="BH13" s="37" t="n">
        <v>0</v>
      </c>
      <c r="BI13" s="42" t="n">
        <v>0</v>
      </c>
      <c r="BJ13" s="36" t="inlineStr">
        <is>
          <t>Уменьшение прогноза в связи с уменьшением заказа от клиентов из-за поышения ключевой ставки</t>
        </is>
      </c>
      <c r="BK13" s="379">
        <f>O13+S13+W13+AA13+AE13+AI13+AM13+AQ13+AU13+AY13+BC13+BG13</f>
        <v/>
      </c>
      <c r="BL13" s="379">
        <f>BK13*$I13</f>
        <v/>
      </c>
      <c r="BM13" s="41" t="n">
        <v>700</v>
      </c>
      <c r="BN13" s="35" t="n">
        <v>300</v>
      </c>
      <c r="BO13" s="44" t="n">
        <v>0</v>
      </c>
      <c r="BP13" s="61" t="n"/>
      <c r="BQ13" s="45" t="n">
        <v>700</v>
      </c>
      <c r="BR13" s="35" t="n">
        <v>0</v>
      </c>
      <c r="BS13" s="44" t="n">
        <v>0</v>
      </c>
      <c r="BT13" s="35" t="n"/>
      <c r="BU13" s="45" t="n">
        <v>800</v>
      </c>
      <c r="BV13" s="46" t="n">
        <v>0</v>
      </c>
      <c r="BW13" s="44" t="n">
        <v>0</v>
      </c>
      <c r="BX13" s="36" t="n"/>
      <c r="BY13" s="45" t="n">
        <v>800</v>
      </c>
      <c r="BZ13" s="47" t="n">
        <v>0</v>
      </c>
      <c r="CA13" s="44" t="n">
        <v>0</v>
      </c>
      <c r="CB13" s="36" t="n"/>
      <c r="CC13" s="45" t="n">
        <v>1100</v>
      </c>
      <c r="CD13" s="35" t="n">
        <v>0</v>
      </c>
      <c r="CE13" s="32" t="n">
        <v>0</v>
      </c>
      <c r="CF13" s="36" t="n"/>
      <c r="CG13" s="41" t="n">
        <v>1100</v>
      </c>
      <c r="CH13" s="35" t="n">
        <v>0</v>
      </c>
      <c r="CI13" s="32" t="n">
        <v>0</v>
      </c>
      <c r="CJ13" s="31" t="n"/>
      <c r="CK13" s="41" t="n">
        <v>1200</v>
      </c>
      <c r="CL13" s="47" t="n">
        <v>0</v>
      </c>
      <c r="CM13" s="44" t="n">
        <v>0</v>
      </c>
      <c r="CN13" s="35" t="n"/>
      <c r="CO13" s="45" t="n">
        <v>1200</v>
      </c>
      <c r="CP13" s="47" t="n">
        <v>150</v>
      </c>
      <c r="CQ13" s="44" t="n">
        <v>0</v>
      </c>
      <c r="CR13" s="35" t="n"/>
      <c r="CS13" s="45" t="n">
        <v>1300</v>
      </c>
      <c r="CT13" s="47" t="n">
        <v>150</v>
      </c>
      <c r="CU13" s="44" t="n">
        <v>0</v>
      </c>
      <c r="CV13" s="35" t="n"/>
      <c r="CW13" s="45" t="n">
        <v>1300</v>
      </c>
      <c r="CX13" s="277" t="n">
        <v>150</v>
      </c>
      <c r="CY13" s="44" t="n">
        <v>0</v>
      </c>
      <c r="CZ13" s="35" t="n"/>
      <c r="DA13" s="45" t="n">
        <v>1300</v>
      </c>
      <c r="DB13" s="277" t="n">
        <v>150</v>
      </c>
      <c r="DC13" s="155" t="n">
        <v>0</v>
      </c>
      <c r="DD13" s="35" t="n"/>
      <c r="DE13" s="45" t="n">
        <v>1300</v>
      </c>
      <c r="DF13" s="278" t="n">
        <v>150</v>
      </c>
      <c r="DG13" s="380" t="n">
        <v>0</v>
      </c>
      <c r="DH13" s="35" t="n"/>
      <c r="DI13" s="379">
        <f>BM13+BQ13+BU13+BY13+CC13+CG13+CK13+CO13+CS13+CW13+DA13+DE13</f>
        <v/>
      </c>
      <c r="DJ13" s="379">
        <f>DI13*$I13</f>
        <v/>
      </c>
      <c r="DK13" s="82" t="n">
        <v>150</v>
      </c>
      <c r="DL13" s="35" t="n">
        <v>0</v>
      </c>
      <c r="DM13" s="44" t="n">
        <v>0</v>
      </c>
      <c r="DN13" s="35" t="n"/>
      <c r="DO13" s="82" t="n">
        <v>150</v>
      </c>
      <c r="DP13" s="35" t="n">
        <v>0</v>
      </c>
      <c r="DQ13" s="44" t="n">
        <v>0</v>
      </c>
      <c r="DR13" s="35" t="n"/>
      <c r="DS13" s="82" t="n">
        <v>150</v>
      </c>
      <c r="DT13" s="35" t="n">
        <v>0</v>
      </c>
      <c r="DU13" s="44" t="n">
        <v>0</v>
      </c>
      <c r="DV13" s="35" t="n"/>
      <c r="DW13" s="82" t="n">
        <v>150</v>
      </c>
      <c r="DX13" s="35" t="n">
        <v>0</v>
      </c>
      <c r="DY13" s="44" t="n">
        <v>0</v>
      </c>
      <c r="DZ13" s="36" t="n"/>
      <c r="EA13" s="82" t="n">
        <v>150</v>
      </c>
      <c r="EB13" s="35" t="n">
        <v>0</v>
      </c>
      <c r="EC13" s="44" t="n">
        <v>0</v>
      </c>
      <c r="ED13" s="36" t="n"/>
      <c r="EE13" s="82" t="n">
        <v>200</v>
      </c>
      <c r="EF13" s="35" t="n">
        <v>0</v>
      </c>
      <c r="EG13" s="44" t="n">
        <v>0</v>
      </c>
      <c r="EH13" s="35" t="n"/>
      <c r="EI13" s="82" t="n">
        <v>200</v>
      </c>
      <c r="EJ13" s="35" t="n">
        <v>200</v>
      </c>
      <c r="EK13" s="44" t="n">
        <v>0</v>
      </c>
      <c r="EL13" s="35" t="n"/>
      <c r="EM13" s="82" t="n">
        <v>200</v>
      </c>
      <c r="EN13" s="35" t="n">
        <v>200</v>
      </c>
      <c r="EO13" s="44" t="n">
        <v>0</v>
      </c>
      <c r="EP13" s="35" t="n"/>
      <c r="EQ13" s="82" t="n">
        <v>200</v>
      </c>
      <c r="ER13" s="91" t="n">
        <v>200</v>
      </c>
      <c r="ES13" s="44" t="n">
        <v>0</v>
      </c>
      <c r="ET13" s="35" t="n"/>
      <c r="EU13" s="82" t="n">
        <v>300</v>
      </c>
      <c r="EV13" s="91" t="n">
        <v>300</v>
      </c>
      <c r="EW13" s="44" t="n">
        <v>0</v>
      </c>
      <c r="EX13" s="35" t="n"/>
      <c r="EY13" s="82" t="n">
        <v>300</v>
      </c>
      <c r="EZ13" s="53" t="n">
        <v>300</v>
      </c>
      <c r="FA13" s="288" t="n">
        <v>0</v>
      </c>
      <c r="FB13" s="35" t="n"/>
      <c r="FC13" s="82" t="n">
        <v>300</v>
      </c>
      <c r="FD13" s="92" t="n">
        <v>300</v>
      </c>
      <c r="FE13" s="380" t="n">
        <v>0</v>
      </c>
      <c r="FF13" s="35" t="n"/>
      <c r="FG13" s="379">
        <f>DK13+DO13+DS13+DW13+EA13+EE13+EI13+EM13+EQ13+EU13+EY13+FC13</f>
        <v/>
      </c>
      <c r="FH13" s="379">
        <f>FG13*$I13</f>
        <v/>
      </c>
      <c r="FI13" s="47" t="n">
        <v>300</v>
      </c>
      <c r="FJ13" s="35" t="n"/>
      <c r="FK13" s="44" t="n">
        <v>0</v>
      </c>
      <c r="FL13" s="61" t="n"/>
      <c r="FM13" s="51" t="n">
        <v>400</v>
      </c>
      <c r="FN13" s="35" t="n"/>
      <c r="FO13" s="44" t="n">
        <v>0</v>
      </c>
      <c r="FP13" s="35" t="n"/>
      <c r="FQ13" s="51" t="n">
        <v>400</v>
      </c>
      <c r="FR13" s="46" t="n"/>
      <c r="FS13" s="44" t="n">
        <v>0</v>
      </c>
      <c r="FT13" s="36" t="n"/>
      <c r="FU13" s="51" t="n">
        <v>400</v>
      </c>
      <c r="FV13" s="47" t="n"/>
      <c r="FW13" s="44" t="n">
        <v>0</v>
      </c>
      <c r="FX13" s="36" t="n"/>
      <c r="FY13" s="51" t="n">
        <v>400</v>
      </c>
      <c r="FZ13" s="47" t="n"/>
      <c r="GA13" s="44" t="n">
        <v>0</v>
      </c>
      <c r="GB13" s="36" t="n"/>
      <c r="GC13" s="51" t="n">
        <v>600</v>
      </c>
      <c r="GD13" s="47" t="n"/>
      <c r="GE13" s="44" t="n">
        <v>0</v>
      </c>
      <c r="GF13" s="35" t="n"/>
      <c r="GG13" s="51" t="n">
        <v>600</v>
      </c>
      <c r="GH13" s="47" t="n"/>
      <c r="GI13" s="44" t="n">
        <v>0</v>
      </c>
      <c r="GJ13" s="35" t="n"/>
      <c r="GK13" s="51" t="n">
        <v>600</v>
      </c>
      <c r="GL13" s="47" t="n"/>
      <c r="GM13" s="44" t="n">
        <v>0</v>
      </c>
      <c r="GN13" s="35" t="n"/>
      <c r="GO13" s="51" t="n">
        <v>600</v>
      </c>
      <c r="GP13" s="51" t="n"/>
      <c r="GQ13" s="44" t="n">
        <v>0</v>
      </c>
      <c r="GR13" s="35" t="n"/>
      <c r="GS13" s="51" t="n">
        <v>600</v>
      </c>
      <c r="GT13" s="52" t="n"/>
      <c r="GU13" s="44" t="n">
        <v>0</v>
      </c>
      <c r="GV13" s="35" t="n"/>
      <c r="GW13" s="51" t="n">
        <v>600</v>
      </c>
      <c r="GX13" s="51" t="n"/>
      <c r="GY13" s="49" t="n">
        <v>0</v>
      </c>
      <c r="GZ13" s="35" t="n"/>
      <c r="HA13" s="51" t="n">
        <v>600</v>
      </c>
      <c r="HB13" s="53" t="n"/>
      <c r="HC13" s="380" t="n">
        <v>0</v>
      </c>
      <c r="HD13" s="35" t="n"/>
      <c r="HE13" s="379">
        <f>FI13+FM13+FQ13+FU13+FY13+GC13+GG13+GK13+GO13+GS13+GW13+HA13</f>
        <v/>
      </c>
      <c r="HF13" s="379">
        <f>HE13*$I13</f>
        <v/>
      </c>
      <c r="HG13" s="51" t="n">
        <v>600</v>
      </c>
      <c r="HH13" s="35" t="n"/>
      <c r="HI13" s="44" t="n">
        <v>0</v>
      </c>
      <c r="HJ13" s="61" t="n"/>
      <c r="HK13" s="51" t="n">
        <v>0</v>
      </c>
      <c r="HL13" s="35" t="n"/>
      <c r="HM13" s="44" t="n"/>
      <c r="HN13" s="35" t="n"/>
      <c r="HO13" s="51" t="n">
        <v>0</v>
      </c>
      <c r="HP13" s="46" t="n"/>
      <c r="HQ13" s="44" t="n"/>
      <c r="HR13" s="36" t="n"/>
      <c r="HS13" s="51" t="n">
        <v>0</v>
      </c>
      <c r="HT13" s="47" t="n"/>
      <c r="HU13" s="44" t="n"/>
      <c r="HV13" s="36" t="n"/>
      <c r="HW13" s="51" t="n">
        <v>0</v>
      </c>
      <c r="HX13" s="47" t="n"/>
      <c r="HY13" s="44" t="n"/>
      <c r="HZ13" s="36" t="n"/>
      <c r="IA13" s="51" t="n">
        <v>0</v>
      </c>
      <c r="IB13" s="47" t="n"/>
      <c r="IC13" s="44" t="n"/>
      <c r="ID13" s="35" t="n"/>
      <c r="IE13" s="51" t="n">
        <v>0</v>
      </c>
      <c r="IF13" s="47" t="n"/>
      <c r="IG13" s="44" t="n"/>
      <c r="IH13" s="35" t="n"/>
      <c r="II13" s="51" t="n">
        <v>0</v>
      </c>
      <c r="IJ13" s="47" t="n"/>
      <c r="IK13" s="44" t="n"/>
      <c r="IL13" s="35" t="n"/>
      <c r="IM13" s="51" t="n">
        <v>0</v>
      </c>
      <c r="IN13" s="51" t="n"/>
      <c r="IO13" s="44" t="n"/>
      <c r="IP13" s="35" t="n"/>
      <c r="IQ13" s="51" t="n">
        <v>0</v>
      </c>
      <c r="IR13" s="52" t="n"/>
      <c r="IS13" s="44" t="n"/>
      <c r="IT13" s="35" t="n"/>
      <c r="IU13" s="51" t="n">
        <v>0</v>
      </c>
      <c r="IV13" s="47" t="n"/>
      <c r="IW13" s="49" t="n"/>
      <c r="IX13" s="35" t="n"/>
      <c r="IY13" s="51" t="n">
        <v>0</v>
      </c>
      <c r="IZ13" s="53" t="n"/>
      <c r="JA13" s="380" t="n"/>
      <c r="JB13" s="35" t="n"/>
      <c r="JC13" s="381">
        <f>HG13+HK13+HO13+HS13+HW13+IA13+IE13+II13+IM13+IQ13+IU13+IY13</f>
        <v/>
      </c>
      <c r="JD13" s="381">
        <f>JC13*$I13</f>
        <v/>
      </c>
    </row>
    <row r="14">
      <c r="A14" s="382" t="n"/>
      <c r="B14" s="382" t="n"/>
      <c r="C14" s="382" t="n"/>
      <c r="D14" s="382" t="n"/>
      <c r="E14" s="25" t="n">
        <v>9</v>
      </c>
      <c r="F14" s="25" t="n">
        <v>1</v>
      </c>
      <c r="G14" s="26" t="n">
        <v>4630320200</v>
      </c>
      <c r="H14" s="27" t="inlineStr">
        <is>
          <t>Кран управления пневмоподвеской без фитингов</t>
        </is>
      </c>
      <c r="I14" s="28" t="n">
        <v>220.18</v>
      </c>
      <c r="J14" s="29" t="n">
        <v>220.18</v>
      </c>
      <c r="K14" s="297" t="n">
        <v>240.37</v>
      </c>
      <c r="L14" s="297" t="n">
        <v>240.37</v>
      </c>
      <c r="M14" s="29" t="n"/>
      <c r="N14" s="29" t="n"/>
      <c r="O14" s="30" t="n">
        <v>350</v>
      </c>
      <c r="P14" s="31" t="n">
        <v>350</v>
      </c>
      <c r="Q14" s="32" t="n">
        <v>350</v>
      </c>
      <c r="R14" s="31" t="n"/>
      <c r="S14" s="30" t="n">
        <v>350</v>
      </c>
      <c r="T14" s="31" t="n">
        <v>350</v>
      </c>
      <c r="U14" s="32" t="n">
        <v>0</v>
      </c>
      <c r="V14" s="31" t="n"/>
      <c r="W14" s="30" t="n">
        <v>500</v>
      </c>
      <c r="X14" s="31" t="n">
        <v>370</v>
      </c>
      <c r="Y14" s="32" t="n">
        <v>700</v>
      </c>
      <c r="Z14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14" s="30" t="n">
        <v>500</v>
      </c>
      <c r="AB14" s="35" t="n">
        <v>350</v>
      </c>
      <c r="AC14" s="32" t="n">
        <v>385</v>
      </c>
      <c r="AD14" s="36" t="inlineStr">
        <is>
          <t>Корректировка прогноза клиентом, в связи с уточнением получаемых заказов</t>
        </is>
      </c>
      <c r="AE14" s="30" t="n">
        <v>500</v>
      </c>
      <c r="AF14" s="35" t="n">
        <v>380</v>
      </c>
      <c r="AG14" s="32" t="n">
        <v>390</v>
      </c>
      <c r="AH14" s="36" t="inlineStr">
        <is>
          <t>Корректировка прогноза клиентом, в связи с уточнением получаемых заказов</t>
        </is>
      </c>
      <c r="AI14" s="30" t="n">
        <v>500</v>
      </c>
      <c r="AJ14" s="35" t="n">
        <v>400</v>
      </c>
      <c r="AK14" s="32" t="n">
        <v>190</v>
      </c>
      <c r="AL14" s="31" t="n"/>
      <c r="AM14" s="30" t="n">
        <v>500</v>
      </c>
      <c r="AN14" s="31" t="n">
        <v>500</v>
      </c>
      <c r="AO14" s="32" t="n">
        <v>0</v>
      </c>
      <c r="AP14" s="31" t="n"/>
      <c r="AQ14" s="30" t="n">
        <v>500</v>
      </c>
      <c r="AR14" s="37" t="n">
        <v>0</v>
      </c>
      <c r="AS14" s="32" t="n">
        <v>0</v>
      </c>
      <c r="AT14" s="31" t="inlineStr">
        <is>
          <t>Уменьшение прогноза в связи с уменьшением заказа от клиентов из-за поышения ключевой ставки</t>
        </is>
      </c>
      <c r="AU14" s="30" t="n">
        <v>500</v>
      </c>
      <c r="AV14" s="37" t="n">
        <v>400</v>
      </c>
      <c r="AW14" s="32" t="n">
        <v>160</v>
      </c>
      <c r="AX14" s="31" t="inlineStr">
        <is>
          <t>Уменьшение прогноза в связи с уменьшением заказа от клиентов из-за поышения ключевой ставки</t>
        </is>
      </c>
      <c r="AY14" s="30" t="n">
        <v>700</v>
      </c>
      <c r="AZ14" s="38" t="n">
        <v>0</v>
      </c>
      <c r="BA14" s="32" t="n">
        <v>0</v>
      </c>
      <c r="BB14" s="34" t="inlineStr">
        <is>
          <t>Уменьшение прогноза в связи с уменьшением заказа от клиентов из-за поышения ключевой ставки</t>
        </is>
      </c>
      <c r="BC14" s="30" t="n">
        <v>700</v>
      </c>
      <c r="BD14" s="39" t="n">
        <v>0</v>
      </c>
      <c r="BE14" s="40" t="n">
        <v>40</v>
      </c>
      <c r="BF14" s="34" t="inlineStr">
        <is>
          <t>Уменьшение прогноза в связи с уменьшением заказа от клиентов из-за поышения ключевой ставки</t>
        </is>
      </c>
      <c r="BG14" s="62" t="n">
        <v>700</v>
      </c>
      <c r="BH14" s="37" t="n">
        <v>0</v>
      </c>
      <c r="BI14" s="42" t="n">
        <v>0</v>
      </c>
      <c r="BJ14" s="36" t="inlineStr">
        <is>
          <t>Уменьшение прогноза в связи с уменьшением заказа от клиентов из-за поышения ключевой ставки</t>
        </is>
      </c>
      <c r="BK14" s="379">
        <f>O14+S14+W14+AA14+AE14+AI14+AM14+AQ14+AU14+AY14+BC14+BG14</f>
        <v/>
      </c>
      <c r="BL14" s="379">
        <f>BK14*$I14</f>
        <v/>
      </c>
      <c r="BM14" s="41" t="n">
        <v>350</v>
      </c>
      <c r="BN14" s="35" t="n">
        <v>100</v>
      </c>
      <c r="BO14" s="44" t="n">
        <v>0</v>
      </c>
      <c r="BP14" s="35" t="n"/>
      <c r="BQ14" s="45" t="n">
        <v>350</v>
      </c>
      <c r="BR14" s="35" t="n">
        <v>0</v>
      </c>
      <c r="BS14" s="44" t="n">
        <v>0</v>
      </c>
      <c r="BT14" s="35" t="n"/>
      <c r="BU14" s="45" t="n">
        <v>400</v>
      </c>
      <c r="BV14" s="46" t="n">
        <v>0</v>
      </c>
      <c r="BW14" s="44" t="n">
        <v>0</v>
      </c>
      <c r="BX14" s="36" t="n"/>
      <c r="BY14" s="45" t="n">
        <v>400</v>
      </c>
      <c r="BZ14" s="47" t="n">
        <v>0</v>
      </c>
      <c r="CA14" s="44" t="n">
        <v>0</v>
      </c>
      <c r="CB14" s="36" t="n"/>
      <c r="CC14" s="45" t="n">
        <v>450</v>
      </c>
      <c r="CD14" s="35" t="n">
        <v>0</v>
      </c>
      <c r="CE14" s="32" t="n">
        <v>0</v>
      </c>
      <c r="CF14" s="36" t="n"/>
      <c r="CG14" s="41" t="n">
        <v>450</v>
      </c>
      <c r="CH14" s="35" t="n">
        <v>0</v>
      </c>
      <c r="CI14" s="32" t="n">
        <v>0</v>
      </c>
      <c r="CJ14" s="31" t="n"/>
      <c r="CK14" s="41" t="n">
        <v>600</v>
      </c>
      <c r="CL14" s="47" t="n">
        <v>0</v>
      </c>
      <c r="CM14" s="44" t="n">
        <v>0</v>
      </c>
      <c r="CN14" s="35" t="n"/>
      <c r="CO14" s="45" t="n">
        <v>600</v>
      </c>
      <c r="CP14" s="47" t="n">
        <v>50</v>
      </c>
      <c r="CQ14" s="44" t="n">
        <v>0</v>
      </c>
      <c r="CR14" s="35" t="n"/>
      <c r="CS14" s="45" t="n">
        <v>650</v>
      </c>
      <c r="CT14" s="47" t="n">
        <v>50</v>
      </c>
      <c r="CU14" s="44" t="n">
        <v>0</v>
      </c>
      <c r="CV14" s="35" t="n"/>
      <c r="CW14" s="45" t="n">
        <v>650</v>
      </c>
      <c r="CX14" s="277" t="n">
        <v>0</v>
      </c>
      <c r="CY14" s="44" t="n">
        <v>0</v>
      </c>
      <c r="CZ14" s="35" t="n"/>
      <c r="DA14" s="45" t="n">
        <v>650</v>
      </c>
      <c r="DB14" s="277" t="n">
        <v>0</v>
      </c>
      <c r="DC14" s="155" t="n">
        <v>0</v>
      </c>
      <c r="DD14" s="35" t="n"/>
      <c r="DE14" s="63" t="n">
        <v>650</v>
      </c>
      <c r="DF14" s="278" t="n">
        <v>0</v>
      </c>
      <c r="DG14" s="380" t="n">
        <v>100</v>
      </c>
      <c r="DH14" s="35" t="n"/>
      <c r="DI14" s="379">
        <f>BM14+BQ14+BU14+BY14+CC14+CG14+CK14+CO14+CS14+CW14+DA14+DE14</f>
        <v/>
      </c>
      <c r="DJ14" s="379">
        <f>DI14*$I14</f>
        <v/>
      </c>
      <c r="DK14" s="82" t="n">
        <v>0</v>
      </c>
      <c r="DL14" s="35" t="n">
        <v>100</v>
      </c>
      <c r="DM14" s="44" t="n">
        <v>100</v>
      </c>
      <c r="DN14" s="35" t="n"/>
      <c r="DO14" s="82" t="n">
        <v>0</v>
      </c>
      <c r="DP14" s="35" t="n">
        <v>150</v>
      </c>
      <c r="DQ14" s="44" t="n">
        <v>150</v>
      </c>
      <c r="DR14" s="35" t="n"/>
      <c r="DS14" s="82" t="n">
        <v>0</v>
      </c>
      <c r="DT14" s="35" t="n">
        <v>150</v>
      </c>
      <c r="DU14" s="44" t="n">
        <v>0</v>
      </c>
      <c r="DV14" s="35" t="n"/>
      <c r="DW14" s="82" t="n">
        <v>0</v>
      </c>
      <c r="DX14" s="281" t="n">
        <v>100</v>
      </c>
      <c r="DY14" s="44" t="n">
        <v>100</v>
      </c>
      <c r="DZ14" s="36" t="n"/>
      <c r="EA14" s="82" t="n">
        <v>50</v>
      </c>
      <c r="EB14" s="47" t="n">
        <v>160</v>
      </c>
      <c r="EC14" s="44" t="n">
        <v>0</v>
      </c>
      <c r="ED14" s="36" t="n"/>
      <c r="EE14" s="82" t="n">
        <v>100</v>
      </c>
      <c r="EF14" s="35" t="n">
        <v>150</v>
      </c>
      <c r="EG14" s="44" t="n">
        <v>0</v>
      </c>
      <c r="EH14" s="35" t="n"/>
      <c r="EI14" s="82" t="n">
        <v>100</v>
      </c>
      <c r="EJ14" s="35" t="n">
        <v>100</v>
      </c>
      <c r="EK14" s="44" t="n">
        <v>0</v>
      </c>
      <c r="EL14" s="35" t="n"/>
      <c r="EM14" s="82" t="n">
        <v>100</v>
      </c>
      <c r="EN14" s="35" t="n">
        <v>100</v>
      </c>
      <c r="EO14" s="44" t="n">
        <v>0</v>
      </c>
      <c r="EP14" s="35" t="n"/>
      <c r="EQ14" s="82" t="n">
        <v>100</v>
      </c>
      <c r="ER14" s="91" t="n">
        <v>100</v>
      </c>
      <c r="ES14" s="44" t="n">
        <v>0</v>
      </c>
      <c r="ET14" s="35" t="n"/>
      <c r="EU14" s="82" t="n">
        <v>150</v>
      </c>
      <c r="EV14" s="91" t="n">
        <v>150</v>
      </c>
      <c r="EW14" s="44" t="n">
        <v>0</v>
      </c>
      <c r="EX14" s="35" t="n"/>
      <c r="EY14" s="82" t="n">
        <v>150</v>
      </c>
      <c r="EZ14" s="53" t="n">
        <v>150</v>
      </c>
      <c r="FA14" s="288" t="n">
        <v>0</v>
      </c>
      <c r="FB14" s="35" t="n"/>
      <c r="FC14" s="82" t="n">
        <v>150</v>
      </c>
      <c r="FD14" s="92" t="n">
        <v>150</v>
      </c>
      <c r="FE14" s="380" t="n">
        <v>0</v>
      </c>
      <c r="FF14" s="35" t="n"/>
      <c r="FG14" s="379">
        <f>DK14+DO14+DS14+DW14+EA14+EE14+EI14+EM14+EQ14+EU14+EY14+FC14</f>
        <v/>
      </c>
      <c r="FH14" s="379">
        <f>FG14*$I14</f>
        <v/>
      </c>
      <c r="FI14" s="47" t="n">
        <v>150</v>
      </c>
      <c r="FJ14" s="35" t="n"/>
      <c r="FK14" s="44" t="n">
        <v>0</v>
      </c>
      <c r="FL14" s="35" t="n"/>
      <c r="FM14" s="51" t="n">
        <v>200</v>
      </c>
      <c r="FN14" s="35" t="n"/>
      <c r="FO14" s="44" t="n">
        <v>0</v>
      </c>
      <c r="FP14" s="35" t="n"/>
      <c r="FQ14" s="51" t="n">
        <v>200</v>
      </c>
      <c r="FR14" s="46" t="n"/>
      <c r="FS14" s="44" t="n">
        <v>0</v>
      </c>
      <c r="FT14" s="36" t="n"/>
      <c r="FU14" s="51" t="n">
        <v>200</v>
      </c>
      <c r="FV14" s="47" t="n"/>
      <c r="FW14" s="44" t="n">
        <v>0</v>
      </c>
      <c r="FX14" s="36" t="n"/>
      <c r="FY14" s="51" t="n">
        <v>200</v>
      </c>
      <c r="FZ14" s="47" t="n"/>
      <c r="GA14" s="44" t="n">
        <v>0</v>
      </c>
      <c r="GB14" s="36" t="n"/>
      <c r="GC14" s="51" t="n">
        <v>300</v>
      </c>
      <c r="GD14" s="47" t="n"/>
      <c r="GE14" s="44" t="n">
        <v>0</v>
      </c>
      <c r="GF14" s="35" t="n"/>
      <c r="GG14" s="51" t="n">
        <v>300</v>
      </c>
      <c r="GH14" s="47" t="n"/>
      <c r="GI14" s="44" t="n">
        <v>0</v>
      </c>
      <c r="GJ14" s="35" t="n"/>
      <c r="GK14" s="51" t="n">
        <v>300</v>
      </c>
      <c r="GL14" s="47" t="n"/>
      <c r="GM14" s="44" t="n">
        <v>0</v>
      </c>
      <c r="GN14" s="35" t="n"/>
      <c r="GO14" s="51" t="n">
        <v>300</v>
      </c>
      <c r="GP14" s="51" t="n"/>
      <c r="GQ14" s="44" t="n">
        <v>0</v>
      </c>
      <c r="GR14" s="35" t="n"/>
      <c r="GS14" s="51" t="n">
        <v>300</v>
      </c>
      <c r="GT14" s="52" t="n"/>
      <c r="GU14" s="44" t="n">
        <v>0</v>
      </c>
      <c r="GV14" s="35" t="n"/>
      <c r="GW14" s="51" t="n">
        <v>300</v>
      </c>
      <c r="GX14" s="51" t="n"/>
      <c r="GY14" s="49" t="n">
        <v>0</v>
      </c>
      <c r="GZ14" s="35" t="n"/>
      <c r="HA14" s="51" t="n">
        <v>300</v>
      </c>
      <c r="HB14" s="53" t="n"/>
      <c r="HC14" s="380" t="n">
        <v>0</v>
      </c>
      <c r="HD14" s="35" t="n"/>
      <c r="HE14" s="379">
        <f>FI14+FM14+FQ14+FU14+FY14+GC14+GG14+GK14+GO14+GS14+GW14+HA14</f>
        <v/>
      </c>
      <c r="HF14" s="379">
        <f>HE14*$I14</f>
        <v/>
      </c>
      <c r="HG14" s="51" t="n">
        <v>300</v>
      </c>
      <c r="HH14" s="35" t="n"/>
      <c r="HI14" s="44" t="n">
        <v>0</v>
      </c>
      <c r="HJ14" s="35" t="n"/>
      <c r="HK14" s="51" t="n">
        <v>350</v>
      </c>
      <c r="HL14" s="35" t="n"/>
      <c r="HM14" s="44" t="n">
        <v>0</v>
      </c>
      <c r="HN14" s="35" t="n"/>
      <c r="HO14" s="51" t="n">
        <v>350</v>
      </c>
      <c r="HP14" s="46" t="n"/>
      <c r="HQ14" s="44" t="n">
        <v>0</v>
      </c>
      <c r="HR14" s="36" t="n"/>
      <c r="HS14" s="51" t="n">
        <v>350</v>
      </c>
      <c r="HT14" s="47" t="n"/>
      <c r="HU14" s="44" t="n">
        <v>0</v>
      </c>
      <c r="HV14" s="36" t="n"/>
      <c r="HW14" s="51" t="n">
        <v>350</v>
      </c>
      <c r="HX14" s="47" t="n"/>
      <c r="HY14" s="44" t="n">
        <v>0</v>
      </c>
      <c r="HZ14" s="36" t="n"/>
      <c r="IA14" s="51" t="n">
        <v>350</v>
      </c>
      <c r="IB14" s="47" t="n"/>
      <c r="IC14" s="44" t="n">
        <v>0</v>
      </c>
      <c r="ID14" s="35" t="n"/>
      <c r="IE14" s="51" t="n">
        <v>350</v>
      </c>
      <c r="IF14" s="47" t="n"/>
      <c r="IG14" s="44" t="n">
        <v>0</v>
      </c>
      <c r="IH14" s="35" t="n"/>
      <c r="II14" s="51" t="n">
        <v>400</v>
      </c>
      <c r="IJ14" s="47" t="n"/>
      <c r="IK14" s="44" t="n">
        <v>0</v>
      </c>
      <c r="IL14" s="35" t="n"/>
      <c r="IM14" s="51" t="n">
        <v>400</v>
      </c>
      <c r="IN14" s="51" t="n"/>
      <c r="IO14" s="44" t="n">
        <v>0</v>
      </c>
      <c r="IP14" s="35" t="n"/>
      <c r="IQ14" s="51" t="n">
        <v>400</v>
      </c>
      <c r="IR14" s="52" t="n"/>
      <c r="IS14" s="44" t="n">
        <v>0</v>
      </c>
      <c r="IT14" s="35" t="n"/>
      <c r="IU14" s="51" t="n">
        <v>400</v>
      </c>
      <c r="IV14" s="47" t="n"/>
      <c r="IW14" s="49" t="n">
        <v>0</v>
      </c>
      <c r="IX14" s="35" t="n"/>
      <c r="IY14" s="51" t="n">
        <v>400</v>
      </c>
      <c r="IZ14" s="53" t="n"/>
      <c r="JA14" s="380" t="n">
        <v>0</v>
      </c>
      <c r="JB14" s="35" t="n"/>
      <c r="JC14" s="381">
        <f>HG14+HK14+HO14+HS14+HW14+IA14+IE14+II14+IM14+IQ14+IU14+IY14</f>
        <v/>
      </c>
      <c r="JD14" s="381">
        <f>JC14*$I14</f>
        <v/>
      </c>
    </row>
    <row r="15">
      <c r="A15" s="382" t="n"/>
      <c r="B15" s="382" t="n"/>
      <c r="C15" s="382" t="n"/>
      <c r="D15" s="382" t="n"/>
      <c r="E15" s="25" t="n">
        <v>10</v>
      </c>
      <c r="F15" s="25" t="n">
        <v>1</v>
      </c>
      <c r="G15" s="26" t="n">
        <v>4334010030</v>
      </c>
      <c r="H15" s="27" t="inlineStr">
        <is>
          <t>Гибкий элемент для крана уровня пола</t>
        </is>
      </c>
      <c r="I15" s="28" t="n">
        <v>30.23</v>
      </c>
      <c r="J15" s="29" t="n">
        <v>30.23</v>
      </c>
      <c r="K15" s="297" t="n">
        <v>29.51</v>
      </c>
      <c r="L15" s="297" t="n">
        <v>29.51</v>
      </c>
      <c r="M15" s="29" t="n"/>
      <c r="N15" s="29" t="n"/>
      <c r="O15" s="30" t="n">
        <v>350</v>
      </c>
      <c r="P15" s="31" t="n">
        <v>350</v>
      </c>
      <c r="Q15" s="32" t="n">
        <v>350</v>
      </c>
      <c r="R15" s="31" t="n"/>
      <c r="S15" s="30" t="n">
        <v>350</v>
      </c>
      <c r="T15" s="31" t="n">
        <v>350</v>
      </c>
      <c r="U15" s="32" t="n">
        <v>0</v>
      </c>
      <c r="V15" s="31" t="n"/>
      <c r="W15" s="30" t="n">
        <v>500</v>
      </c>
      <c r="X15" s="31" t="n">
        <v>370</v>
      </c>
      <c r="Y15" s="32" t="n">
        <v>700</v>
      </c>
      <c r="Z15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15" s="30" t="n">
        <v>500</v>
      </c>
      <c r="AB15" s="35" t="n">
        <v>350</v>
      </c>
      <c r="AC15" s="32" t="n">
        <v>410</v>
      </c>
      <c r="AD15" s="36" t="inlineStr">
        <is>
          <t>Корректировка прогноза клиентом, в связи с уточнением получаемых заказов</t>
        </is>
      </c>
      <c r="AE15" s="30" t="n">
        <v>500</v>
      </c>
      <c r="AF15" s="35" t="n">
        <v>0</v>
      </c>
      <c r="AG15" s="32" t="n">
        <v>160</v>
      </c>
      <c r="AH15" s="36" t="inlineStr">
        <is>
          <t>Корректировка прогноза клиентом, в связи с уточнением получаемых заказов</t>
        </is>
      </c>
      <c r="AI15" s="30" t="n">
        <v>500</v>
      </c>
      <c r="AJ15" s="35" t="n">
        <v>300</v>
      </c>
      <c r="AK15" s="32" t="n">
        <v>190</v>
      </c>
      <c r="AL15" s="31" t="n"/>
      <c r="AM15" s="30" t="n">
        <v>500</v>
      </c>
      <c r="AN15" s="31" t="n">
        <v>500</v>
      </c>
      <c r="AO15" s="32" t="n">
        <v>200</v>
      </c>
      <c r="AP15" s="31" t="n"/>
      <c r="AQ15" s="30" t="n">
        <v>500</v>
      </c>
      <c r="AR15" s="37" t="n">
        <v>500</v>
      </c>
      <c r="AS15" s="32" t="n">
        <v>160</v>
      </c>
      <c r="AT15" s="31" t="inlineStr">
        <is>
          <t>Уменьшение прогноза в связи с уменьшением заказа от клиентов из-за поышения ключевой ставки</t>
        </is>
      </c>
      <c r="AU15" s="30" t="n">
        <v>500</v>
      </c>
      <c r="AV15" s="37" t="n">
        <v>400</v>
      </c>
      <c r="AW15" s="32" t="n">
        <v>400</v>
      </c>
      <c r="AX15" s="31" t="inlineStr">
        <is>
          <t>Уменьшение прогноза в связи с уменьшением заказа от клиентов из-за поышения ключевой ставки</t>
        </is>
      </c>
      <c r="AY15" s="30" t="n">
        <v>700</v>
      </c>
      <c r="AZ15" s="38" t="n">
        <v>370</v>
      </c>
      <c r="BA15" s="32" t="n">
        <v>330</v>
      </c>
      <c r="BB15" s="34" t="inlineStr">
        <is>
          <t>Уменьшение прогноза в связи с уменьшением заказа от клиентов из-за поышения ключевой ставки</t>
        </is>
      </c>
      <c r="BC15" s="30" t="n">
        <v>700</v>
      </c>
      <c r="BD15" s="39" t="n">
        <v>0</v>
      </c>
      <c r="BE15" s="40" t="n">
        <v>40</v>
      </c>
      <c r="BF15" s="34" t="inlineStr">
        <is>
          <t>Уменьшение прогноза в связи с уменьшением заказа от клиентов из-за поышения ключевой ставки</t>
        </is>
      </c>
      <c r="BG15" s="62" t="n">
        <v>700</v>
      </c>
      <c r="BH15" s="37" t="n">
        <v>0</v>
      </c>
      <c r="BI15" s="42" t="n">
        <v>0</v>
      </c>
      <c r="BJ15" s="36" t="inlineStr">
        <is>
          <t>Уменьшение прогноза в связи с уменьшением заказа от клиентов из-за поышения ключевой ставки</t>
        </is>
      </c>
      <c r="BK15" s="379">
        <f>O15+S15+W15+AA15+AE15+AI15+AM15+AQ15+AU15+AY15+BC15+BG15</f>
        <v/>
      </c>
      <c r="BL15" s="379">
        <f>BK15*$I15</f>
        <v/>
      </c>
      <c r="BM15" s="41" t="n">
        <v>350</v>
      </c>
      <c r="BN15" s="35" t="n">
        <v>0</v>
      </c>
      <c r="BO15" s="44" t="n">
        <v>0</v>
      </c>
      <c r="BP15" s="35" t="n"/>
      <c r="BQ15" s="45" t="n">
        <v>350</v>
      </c>
      <c r="BR15" s="35" t="n">
        <v>0</v>
      </c>
      <c r="BS15" s="44" t="n">
        <v>0</v>
      </c>
      <c r="BT15" s="35" t="n"/>
      <c r="BU15" s="45" t="n">
        <v>400</v>
      </c>
      <c r="BV15" s="46" t="n">
        <v>0</v>
      </c>
      <c r="BW15" s="44" t="n">
        <v>0</v>
      </c>
      <c r="BX15" s="36" t="n"/>
      <c r="BY15" s="45" t="n">
        <v>400</v>
      </c>
      <c r="BZ15" s="47" t="n">
        <v>0</v>
      </c>
      <c r="CA15" s="44" t="n">
        <v>0</v>
      </c>
      <c r="CB15" s="36" t="n"/>
      <c r="CC15" s="45" t="n">
        <v>450</v>
      </c>
      <c r="CD15" s="35" t="n">
        <v>0</v>
      </c>
      <c r="CE15" s="32" t="n">
        <v>0</v>
      </c>
      <c r="CF15" s="36" t="n"/>
      <c r="CG15" s="41" t="n">
        <v>450</v>
      </c>
      <c r="CH15" s="48" t="n">
        <v>50</v>
      </c>
      <c r="CI15" s="32" t="n">
        <v>50</v>
      </c>
      <c r="CJ15" s="31" t="n"/>
      <c r="CK15" s="41" t="n">
        <v>600</v>
      </c>
      <c r="CL15" s="47" t="n">
        <v>0</v>
      </c>
      <c r="CM15" s="44" t="n">
        <v>50</v>
      </c>
      <c r="CN15" s="35" t="n"/>
      <c r="CO15" s="45" t="n">
        <v>600</v>
      </c>
      <c r="CP15" s="47" t="n">
        <v>50</v>
      </c>
      <c r="CQ15" s="44" t="n">
        <v>50</v>
      </c>
      <c r="CR15" s="35" t="n"/>
      <c r="CS15" s="45" t="n">
        <v>650</v>
      </c>
      <c r="CT15" s="47" t="n">
        <v>50</v>
      </c>
      <c r="CU15" s="44" t="n">
        <v>0</v>
      </c>
      <c r="CV15" s="35" t="n"/>
      <c r="CW15" s="45" t="n">
        <v>650</v>
      </c>
      <c r="CX15" s="277" t="n">
        <v>50</v>
      </c>
      <c r="CY15" s="56" t="n">
        <v>100</v>
      </c>
      <c r="CZ15" s="35" t="n"/>
      <c r="DA15" s="45" t="n">
        <v>650</v>
      </c>
      <c r="DB15" s="277" t="n">
        <v>50</v>
      </c>
      <c r="DC15" s="155" t="n">
        <v>80</v>
      </c>
      <c r="DD15" s="35" t="n"/>
      <c r="DE15" s="63" t="n">
        <v>650</v>
      </c>
      <c r="DF15" s="278" t="n">
        <v>50</v>
      </c>
      <c r="DG15" s="380" t="n">
        <v>100</v>
      </c>
      <c r="DH15" s="35" t="n"/>
      <c r="DI15" s="379">
        <f>BM15+BQ15+BU15+BY15+CC15+CG15+CK15+CO15+CS15+CW15+DA15+DE15</f>
        <v/>
      </c>
      <c r="DJ15" s="379">
        <f>DI15*$I15</f>
        <v/>
      </c>
      <c r="DK15" s="82" t="n">
        <v>50</v>
      </c>
      <c r="DL15" s="35" t="n">
        <v>100</v>
      </c>
      <c r="DM15" s="44" t="n">
        <v>100</v>
      </c>
      <c r="DN15" s="35" t="n"/>
      <c r="DO15" s="82" t="n">
        <v>50</v>
      </c>
      <c r="DP15" s="35" t="n">
        <v>150</v>
      </c>
      <c r="DQ15" s="44" t="n">
        <v>150</v>
      </c>
      <c r="DR15" s="35" t="n"/>
      <c r="DS15" s="82" t="n">
        <v>50</v>
      </c>
      <c r="DT15" s="35" t="n">
        <v>150</v>
      </c>
      <c r="DU15" s="44" t="n">
        <v>0</v>
      </c>
      <c r="DV15" s="35" t="n"/>
      <c r="DW15" s="82" t="n">
        <v>50</v>
      </c>
      <c r="DX15" s="281" t="n">
        <v>100</v>
      </c>
      <c r="DY15" s="44" t="n">
        <v>100</v>
      </c>
      <c r="DZ15" s="36" t="n"/>
      <c r="EA15" s="82" t="n">
        <v>50</v>
      </c>
      <c r="EB15" s="47" t="n">
        <v>160</v>
      </c>
      <c r="EC15" s="44" t="n">
        <v>0</v>
      </c>
      <c r="ED15" s="36" t="n"/>
      <c r="EE15" s="82" t="n">
        <v>100</v>
      </c>
      <c r="EF15" s="35" t="n">
        <v>150</v>
      </c>
      <c r="EG15" s="44" t="n">
        <v>0</v>
      </c>
      <c r="EH15" s="35" t="n"/>
      <c r="EI15" s="82" t="n">
        <v>100</v>
      </c>
      <c r="EJ15" s="35" t="n">
        <v>100</v>
      </c>
      <c r="EK15" s="44" t="n">
        <v>0</v>
      </c>
      <c r="EL15" s="35" t="n"/>
      <c r="EM15" s="82" t="n">
        <v>100</v>
      </c>
      <c r="EN15" s="35" t="n">
        <v>100</v>
      </c>
      <c r="EO15" s="44" t="n">
        <v>0</v>
      </c>
      <c r="EP15" s="35" t="n"/>
      <c r="EQ15" s="82" t="n">
        <v>100</v>
      </c>
      <c r="ER15" s="91" t="n">
        <v>100</v>
      </c>
      <c r="ES15" s="44" t="n">
        <v>0</v>
      </c>
      <c r="ET15" s="35" t="n"/>
      <c r="EU15" s="82" t="n">
        <v>150</v>
      </c>
      <c r="EV15" s="91" t="n">
        <v>150</v>
      </c>
      <c r="EW15" s="44" t="n">
        <v>0</v>
      </c>
      <c r="EX15" s="35" t="n"/>
      <c r="EY15" s="82" t="n">
        <v>150</v>
      </c>
      <c r="EZ15" s="53" t="n">
        <v>150</v>
      </c>
      <c r="FA15" s="288" t="n">
        <v>0</v>
      </c>
      <c r="FB15" s="35" t="n"/>
      <c r="FC15" s="82" t="n">
        <v>150</v>
      </c>
      <c r="FD15" s="92" t="n">
        <v>150</v>
      </c>
      <c r="FE15" s="380" t="n">
        <v>0</v>
      </c>
      <c r="FF15" s="35" t="n"/>
      <c r="FG15" s="379">
        <f>DK15+DO15+DS15+DW15+EA15+EE15+EI15+EM15+EQ15+EU15+EY15+FC15</f>
        <v/>
      </c>
      <c r="FH15" s="379">
        <f>FG15*$I15</f>
        <v/>
      </c>
      <c r="FI15" s="47" t="n">
        <v>150</v>
      </c>
      <c r="FJ15" s="35" t="n"/>
      <c r="FK15" s="44" t="n">
        <v>0</v>
      </c>
      <c r="FL15" s="35" t="n"/>
      <c r="FM15" s="51" t="n">
        <v>200</v>
      </c>
      <c r="FN15" s="35" t="n"/>
      <c r="FO15" s="44" t="n">
        <v>0</v>
      </c>
      <c r="FP15" s="35" t="n"/>
      <c r="FQ15" s="51" t="n">
        <v>200</v>
      </c>
      <c r="FR15" s="46" t="n"/>
      <c r="FS15" s="44" t="n">
        <v>0</v>
      </c>
      <c r="FT15" s="36" t="n"/>
      <c r="FU15" s="51" t="n">
        <v>200</v>
      </c>
      <c r="FV15" s="47" t="n"/>
      <c r="FW15" s="44" t="n">
        <v>0</v>
      </c>
      <c r="FX15" s="36" t="n"/>
      <c r="FY15" s="51" t="n">
        <v>200</v>
      </c>
      <c r="FZ15" s="47" t="n"/>
      <c r="GA15" s="44" t="n">
        <v>0</v>
      </c>
      <c r="GB15" s="36" t="n"/>
      <c r="GC15" s="51" t="n">
        <v>300</v>
      </c>
      <c r="GD15" s="47" t="n"/>
      <c r="GE15" s="44" t="n">
        <v>0</v>
      </c>
      <c r="GF15" s="35" t="n"/>
      <c r="GG15" s="51" t="n">
        <v>300</v>
      </c>
      <c r="GH15" s="47" t="n"/>
      <c r="GI15" s="44" t="n">
        <v>0</v>
      </c>
      <c r="GJ15" s="35" t="n"/>
      <c r="GK15" s="51" t="n">
        <v>300</v>
      </c>
      <c r="GL15" s="47" t="n"/>
      <c r="GM15" s="44" t="n">
        <v>0</v>
      </c>
      <c r="GN15" s="35" t="n"/>
      <c r="GO15" s="51" t="n">
        <v>300</v>
      </c>
      <c r="GP15" s="51" t="n"/>
      <c r="GQ15" s="44" t="n">
        <v>0</v>
      </c>
      <c r="GR15" s="35" t="n"/>
      <c r="GS15" s="51" t="n">
        <v>300</v>
      </c>
      <c r="GT15" s="52" t="n"/>
      <c r="GU15" s="44" t="n">
        <v>0</v>
      </c>
      <c r="GV15" s="35" t="n"/>
      <c r="GW15" s="51" t="n">
        <v>300</v>
      </c>
      <c r="GX15" s="51" t="n"/>
      <c r="GY15" s="49" t="n">
        <v>0</v>
      </c>
      <c r="GZ15" s="35" t="n"/>
      <c r="HA15" s="51" t="n">
        <v>300</v>
      </c>
      <c r="HB15" s="53" t="n"/>
      <c r="HC15" s="380" t="n">
        <v>0</v>
      </c>
      <c r="HD15" s="35" t="n"/>
      <c r="HE15" s="379">
        <f>FI15+FM15+FQ15+FU15+FY15+GC15+GG15+GK15+GO15+GS15+GW15+HA15</f>
        <v/>
      </c>
      <c r="HF15" s="379">
        <f>HE15*$I15</f>
        <v/>
      </c>
      <c r="HG15" s="51" t="n">
        <v>300</v>
      </c>
      <c r="HH15" s="35" t="n"/>
      <c r="HI15" s="44" t="n">
        <v>0</v>
      </c>
      <c r="HJ15" s="35" t="n"/>
      <c r="HK15" s="51" t="n">
        <v>350</v>
      </c>
      <c r="HL15" s="35" t="n"/>
      <c r="HM15" s="44" t="n">
        <v>0</v>
      </c>
      <c r="HN15" s="35" t="n"/>
      <c r="HO15" s="51" t="n">
        <v>350</v>
      </c>
      <c r="HP15" s="46" t="n"/>
      <c r="HQ15" s="44" t="n">
        <v>0</v>
      </c>
      <c r="HR15" s="36" t="n"/>
      <c r="HS15" s="51" t="n">
        <v>350</v>
      </c>
      <c r="HT15" s="47" t="n"/>
      <c r="HU15" s="44" t="n">
        <v>0</v>
      </c>
      <c r="HV15" s="36" t="n"/>
      <c r="HW15" s="51" t="n">
        <v>350</v>
      </c>
      <c r="HX15" s="47" t="n"/>
      <c r="HY15" s="44" t="n">
        <v>0</v>
      </c>
      <c r="HZ15" s="36" t="n"/>
      <c r="IA15" s="51" t="n">
        <v>350</v>
      </c>
      <c r="IB15" s="47" t="n"/>
      <c r="IC15" s="44" t="n">
        <v>0</v>
      </c>
      <c r="ID15" s="35" t="n"/>
      <c r="IE15" s="51" t="n">
        <v>350</v>
      </c>
      <c r="IF15" s="47" t="n"/>
      <c r="IG15" s="44" t="n">
        <v>0</v>
      </c>
      <c r="IH15" s="35" t="n"/>
      <c r="II15" s="51" t="n">
        <v>400</v>
      </c>
      <c r="IJ15" s="47" t="n"/>
      <c r="IK15" s="44" t="n">
        <v>0</v>
      </c>
      <c r="IL15" s="35" t="n"/>
      <c r="IM15" s="51" t="n">
        <v>400</v>
      </c>
      <c r="IN15" s="51" t="n"/>
      <c r="IO15" s="44" t="n">
        <v>0</v>
      </c>
      <c r="IP15" s="35" t="n"/>
      <c r="IQ15" s="51" t="n">
        <v>400</v>
      </c>
      <c r="IR15" s="52" t="n"/>
      <c r="IS15" s="44" t="n">
        <v>0</v>
      </c>
      <c r="IT15" s="35" t="n"/>
      <c r="IU15" s="51" t="n">
        <v>400</v>
      </c>
      <c r="IV15" s="47" t="n"/>
      <c r="IW15" s="49" t="n">
        <v>0</v>
      </c>
      <c r="IX15" s="35" t="n"/>
      <c r="IY15" s="51" t="n">
        <v>400</v>
      </c>
      <c r="IZ15" s="53" t="n"/>
      <c r="JA15" s="380" t="n">
        <v>0</v>
      </c>
      <c r="JB15" s="35" t="n"/>
      <c r="JC15" s="381">
        <f>HG15+HK15+HO15+HS15+HW15+IA15+IE15+II15+IM15+IQ15+IU15+IY15</f>
        <v/>
      </c>
      <c r="JD15" s="381">
        <f>JC15*$I15</f>
        <v/>
      </c>
    </row>
    <row r="16">
      <c r="A16" s="382" t="n"/>
      <c r="B16" s="382" t="n"/>
      <c r="C16" s="382" t="n"/>
      <c r="D16" s="382" t="n"/>
      <c r="E16" s="25" t="n">
        <v>11</v>
      </c>
      <c r="F16" s="25" t="n"/>
      <c r="G16" s="309" t="n">
        <v>4640060320</v>
      </c>
      <c r="H16" s="27" t="inlineStr">
        <is>
          <t>Кран уровня пола без фитингов</t>
        </is>
      </c>
      <c r="I16" s="28" t="n"/>
      <c r="J16" s="29" t="n"/>
      <c r="K16" s="297" t="n">
        <v>217.6</v>
      </c>
      <c r="L16" s="297" t="n">
        <v>255.74</v>
      </c>
      <c r="M16" s="29" t="n"/>
      <c r="N16" s="29" t="n"/>
      <c r="O16" s="30" t="n"/>
      <c r="P16" s="31" t="n"/>
      <c r="Q16" s="32" t="n"/>
      <c r="R16" s="31" t="n"/>
      <c r="S16" s="30" t="n"/>
      <c r="T16" s="31" t="n"/>
      <c r="U16" s="32" t="n"/>
      <c r="V16" s="31" t="n"/>
      <c r="W16" s="30" t="n"/>
      <c r="X16" s="31" t="n"/>
      <c r="Y16" s="32" t="n"/>
      <c r="Z16" s="34" t="n"/>
      <c r="AA16" s="30" t="n"/>
      <c r="AB16" s="35" t="n"/>
      <c r="AC16" s="32" t="n"/>
      <c r="AD16" s="36" t="n"/>
      <c r="AE16" s="30" t="n"/>
      <c r="AF16" s="35" t="n"/>
      <c r="AG16" s="32" t="n"/>
      <c r="AH16" s="36" t="n"/>
      <c r="AI16" s="30" t="n"/>
      <c r="AJ16" s="35" t="n"/>
      <c r="AK16" s="32" t="n"/>
      <c r="AL16" s="31" t="n"/>
      <c r="AM16" s="30" t="n"/>
      <c r="AN16" s="31" t="n"/>
      <c r="AO16" s="32" t="n"/>
      <c r="AP16" s="31" t="n"/>
      <c r="AQ16" s="30" t="n"/>
      <c r="AR16" s="37" t="n"/>
      <c r="AS16" s="32" t="n"/>
      <c r="AT16" s="31" t="n"/>
      <c r="AU16" s="30" t="n"/>
      <c r="AV16" s="37" t="n"/>
      <c r="AW16" s="32" t="n"/>
      <c r="AX16" s="31" t="n"/>
      <c r="AY16" s="30" t="n"/>
      <c r="AZ16" s="38" t="n"/>
      <c r="BA16" s="32" t="n"/>
      <c r="BB16" s="34" t="n"/>
      <c r="BC16" s="30" t="n"/>
      <c r="BD16" s="39" t="n"/>
      <c r="BE16" s="40" t="n"/>
      <c r="BF16" s="34" t="n"/>
      <c r="BG16" s="62" t="n"/>
      <c r="BH16" s="37" t="n"/>
      <c r="BI16" s="42" t="n"/>
      <c r="BJ16" s="36" t="n"/>
      <c r="BK16" s="379" t="n"/>
      <c r="BL16" s="379" t="n"/>
      <c r="BM16" s="41" t="n"/>
      <c r="BN16" s="35" t="n"/>
      <c r="BO16" s="44" t="n"/>
      <c r="BP16" s="35" t="n"/>
      <c r="BQ16" s="45" t="n"/>
      <c r="BR16" s="35" t="n"/>
      <c r="BS16" s="44" t="n"/>
      <c r="BT16" s="35" t="n"/>
      <c r="BU16" s="45" t="n"/>
      <c r="BV16" s="46" t="n"/>
      <c r="BW16" s="44" t="n"/>
      <c r="BX16" s="36" t="n"/>
      <c r="BY16" s="45" t="n"/>
      <c r="BZ16" s="47" t="n"/>
      <c r="CA16" s="44" t="n"/>
      <c r="CB16" s="36" t="n"/>
      <c r="CC16" s="45" t="n"/>
      <c r="CD16" s="35" t="n"/>
      <c r="CE16" s="32" t="n"/>
      <c r="CF16" s="36" t="n"/>
      <c r="CG16" s="41" t="n"/>
      <c r="CH16" s="48" t="n"/>
      <c r="CI16" s="32" t="n"/>
      <c r="CJ16" s="31" t="n"/>
      <c r="CK16" s="41" t="n"/>
      <c r="CL16" s="47" t="n"/>
      <c r="CM16" s="44" t="n"/>
      <c r="CN16" s="35" t="n"/>
      <c r="CO16" s="45" t="n"/>
      <c r="CP16" s="47" t="n"/>
      <c r="CQ16" s="44" t="n"/>
      <c r="CR16" s="35" t="n"/>
      <c r="CS16" s="45" t="n"/>
      <c r="CT16" s="47" t="n"/>
      <c r="CU16" s="44" t="n"/>
      <c r="CV16" s="35" t="n"/>
      <c r="CW16" s="45" t="n"/>
      <c r="CX16" s="277" t="n"/>
      <c r="CY16" s="56" t="n"/>
      <c r="CZ16" s="35" t="n"/>
      <c r="DA16" s="45" t="n"/>
      <c r="DB16" s="277" t="n"/>
      <c r="DC16" s="155" t="n"/>
      <c r="DD16" s="35" t="n"/>
      <c r="DE16" s="63" t="n"/>
      <c r="DF16" s="278" t="n"/>
      <c r="DG16" s="380" t="n"/>
      <c r="DH16" s="35" t="n"/>
      <c r="DI16" s="379" t="n"/>
      <c r="DJ16" s="379" t="n"/>
      <c r="DK16" s="82" t="n"/>
      <c r="DL16" s="35" t="n"/>
      <c r="DM16" s="44" t="n"/>
      <c r="DN16" s="35" t="n"/>
      <c r="DO16" s="82" t="n"/>
      <c r="DP16" s="35" t="n"/>
      <c r="DQ16" s="44" t="n"/>
      <c r="DR16" s="35" t="n"/>
      <c r="DS16" s="82" t="n"/>
      <c r="DT16" s="35" t="n"/>
      <c r="DU16" s="44" t="n"/>
      <c r="DV16" s="35" t="n"/>
      <c r="DW16" s="82" t="n"/>
      <c r="DX16" s="281" t="n"/>
      <c r="DY16" s="44" t="n"/>
      <c r="DZ16" s="36" t="n"/>
      <c r="EA16" s="82" t="n"/>
      <c r="EB16" s="281" t="n"/>
      <c r="EC16" s="44" t="n">
        <v>0</v>
      </c>
      <c r="ED16" s="36" t="n"/>
      <c r="EE16" s="82" t="n"/>
      <c r="EF16" s="35" t="n"/>
      <c r="EG16" s="44" t="n"/>
      <c r="EH16" s="35" t="n"/>
      <c r="EI16" s="82" t="n"/>
      <c r="EJ16" s="35" t="n"/>
      <c r="EK16" s="44" t="n"/>
      <c r="EL16" s="35" t="n"/>
      <c r="EM16" s="82" t="n"/>
      <c r="EN16" s="35" t="n"/>
      <c r="EO16" s="44" t="n"/>
      <c r="EP16" s="35" t="n"/>
      <c r="EQ16" s="82" t="n"/>
      <c r="ER16" s="91" t="n"/>
      <c r="ES16" s="44" t="n"/>
      <c r="ET16" s="35" t="n"/>
      <c r="EU16" s="82" t="n"/>
      <c r="EV16" s="91" t="n"/>
      <c r="EW16" s="44" t="n"/>
      <c r="EX16" s="35" t="n"/>
      <c r="EY16" s="82" t="n"/>
      <c r="EZ16" s="53" t="n"/>
      <c r="FA16" s="288" t="n"/>
      <c r="FB16" s="35" t="n"/>
      <c r="FC16" s="82" t="n"/>
      <c r="FD16" s="92" t="n"/>
      <c r="FE16" s="380" t="n"/>
      <c r="FF16" s="35" t="n"/>
      <c r="FG16" s="379" t="n"/>
      <c r="FH16" s="379" t="n"/>
      <c r="FI16" s="47" t="n"/>
      <c r="FJ16" s="35" t="n"/>
      <c r="FK16" s="44" t="n"/>
      <c r="FL16" s="35" t="n"/>
      <c r="FM16" s="51" t="n"/>
      <c r="FN16" s="35" t="n"/>
      <c r="FO16" s="44" t="n"/>
      <c r="FP16" s="35" t="n"/>
      <c r="FQ16" s="51" t="n"/>
      <c r="FR16" s="46" t="n"/>
      <c r="FS16" s="44" t="n"/>
      <c r="FT16" s="36" t="n"/>
      <c r="FU16" s="51" t="n"/>
      <c r="FV16" s="47" t="n"/>
      <c r="FW16" s="44" t="n"/>
      <c r="FX16" s="36" t="n"/>
      <c r="FY16" s="51" t="n"/>
      <c r="FZ16" s="47" t="n"/>
      <c r="GA16" s="44" t="n"/>
      <c r="GB16" s="36" t="n"/>
      <c r="GC16" s="51" t="n"/>
      <c r="GD16" s="47" t="n"/>
      <c r="GE16" s="44" t="n"/>
      <c r="GF16" s="35" t="n"/>
      <c r="GG16" s="51" t="n"/>
      <c r="GH16" s="47" t="n"/>
      <c r="GI16" s="44" t="n"/>
      <c r="GJ16" s="35" t="n"/>
      <c r="GK16" s="51" t="n"/>
      <c r="GL16" s="47" t="n"/>
      <c r="GM16" s="44" t="n"/>
      <c r="GN16" s="35" t="n"/>
      <c r="GO16" s="51" t="n"/>
      <c r="GP16" s="51" t="n"/>
      <c r="GQ16" s="44" t="n"/>
      <c r="GR16" s="35" t="n"/>
      <c r="GS16" s="51" t="n"/>
      <c r="GT16" s="52" t="n"/>
      <c r="GU16" s="44" t="n"/>
      <c r="GV16" s="35" t="n"/>
      <c r="GW16" s="51" t="n"/>
      <c r="GX16" s="51" t="n"/>
      <c r="GY16" s="49" t="n"/>
      <c r="GZ16" s="35" t="n"/>
      <c r="HA16" s="51" t="n"/>
      <c r="HB16" s="53" t="n"/>
      <c r="HC16" s="380" t="n"/>
      <c r="HD16" s="35" t="n"/>
      <c r="HE16" s="379" t="n"/>
      <c r="HF16" s="379" t="n"/>
      <c r="HG16" s="51" t="n"/>
      <c r="HH16" s="35" t="n"/>
      <c r="HI16" s="44" t="n"/>
      <c r="HJ16" s="35" t="n"/>
      <c r="HK16" s="51" t="n"/>
      <c r="HL16" s="35" t="n"/>
      <c r="HM16" s="44" t="n"/>
      <c r="HN16" s="35" t="n"/>
      <c r="HO16" s="51" t="n"/>
      <c r="HP16" s="46" t="n"/>
      <c r="HQ16" s="44" t="n"/>
      <c r="HR16" s="36" t="n"/>
      <c r="HS16" s="51" t="n"/>
      <c r="HT16" s="47" t="n"/>
      <c r="HU16" s="44" t="n"/>
      <c r="HV16" s="36" t="n"/>
      <c r="HW16" s="51" t="n"/>
      <c r="HX16" s="47" t="n"/>
      <c r="HY16" s="44" t="n"/>
      <c r="HZ16" s="36" t="n"/>
      <c r="IA16" s="51" t="n"/>
      <c r="IB16" s="47" t="n"/>
      <c r="IC16" s="44" t="n"/>
      <c r="ID16" s="35" t="n"/>
      <c r="IE16" s="51" t="n"/>
      <c r="IF16" s="47" t="n"/>
      <c r="IG16" s="44" t="n"/>
      <c r="IH16" s="35" t="n"/>
      <c r="II16" s="51" t="n"/>
      <c r="IJ16" s="47" t="n"/>
      <c r="IK16" s="44" t="n"/>
      <c r="IL16" s="35" t="n"/>
      <c r="IM16" s="51" t="n"/>
      <c r="IN16" s="51" t="n"/>
      <c r="IO16" s="44" t="n"/>
      <c r="IP16" s="35" t="n"/>
      <c r="IQ16" s="51" t="n"/>
      <c r="IR16" s="52" t="n"/>
      <c r="IS16" s="44" t="n"/>
      <c r="IT16" s="35" t="n"/>
      <c r="IU16" s="51" t="n"/>
      <c r="IV16" s="47" t="n"/>
      <c r="IW16" s="49" t="n"/>
      <c r="IX16" s="35" t="n"/>
      <c r="IY16" s="51" t="n"/>
      <c r="IZ16" s="53" t="n"/>
      <c r="JA16" s="380" t="n"/>
      <c r="JB16" s="35" t="n"/>
      <c r="JC16" s="381" t="n"/>
      <c r="JD16" s="381" t="n"/>
    </row>
    <row r="17" ht="20.25" customHeight="1">
      <c r="A17" s="382" t="n"/>
      <c r="B17" s="382" t="n"/>
      <c r="C17" s="382" t="n"/>
      <c r="D17" s="382" t="n"/>
      <c r="E17" s="25" t="n">
        <v>12</v>
      </c>
      <c r="F17" s="25" t="n">
        <v>1</v>
      </c>
      <c r="G17" s="26" t="n">
        <v>4640061000</v>
      </c>
      <c r="H17" s="27" t="inlineStr">
        <is>
          <t>Кран уровня пола без фитингов</t>
        </is>
      </c>
      <c r="I17" s="28" t="n">
        <v>260.17</v>
      </c>
      <c r="J17" s="29" t="n">
        <v>260.17</v>
      </c>
      <c r="K17" s="297" t="n">
        <v>255.74</v>
      </c>
      <c r="L17" s="297" t="n">
        <v>255.74</v>
      </c>
      <c r="M17" s="29" t="n"/>
      <c r="N17" s="29" t="n"/>
      <c r="O17" s="30" t="n">
        <v>350</v>
      </c>
      <c r="P17" s="31" t="n">
        <v>350</v>
      </c>
      <c r="Q17" s="32" t="n">
        <v>350</v>
      </c>
      <c r="R17" s="60" t="inlineStr">
        <is>
          <t>Заменен артикул 4640061020 на 4640061000</t>
        </is>
      </c>
      <c r="S17" s="30" t="n">
        <v>350</v>
      </c>
      <c r="T17" s="31" t="n">
        <v>350</v>
      </c>
      <c r="U17" s="32" t="n">
        <v>0</v>
      </c>
      <c r="V17" s="31" t="n"/>
      <c r="W17" s="30" t="n">
        <v>500</v>
      </c>
      <c r="X17" s="31" t="n">
        <v>370</v>
      </c>
      <c r="Y17" s="32" t="n">
        <v>700</v>
      </c>
      <c r="Z17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17" s="30" t="n">
        <v>500</v>
      </c>
      <c r="AB17" s="35" t="n">
        <v>350</v>
      </c>
      <c r="AC17" s="32" t="n">
        <v>385</v>
      </c>
      <c r="AD17" s="36" t="inlineStr">
        <is>
          <t>Корректировка прогноза клиентом, в связи с уточнением получаемых заказов</t>
        </is>
      </c>
      <c r="AE17" s="30" t="n">
        <v>500</v>
      </c>
      <c r="AF17" s="35" t="n">
        <v>380</v>
      </c>
      <c r="AG17" s="32" t="n">
        <v>390</v>
      </c>
      <c r="AH17" s="36" t="inlineStr">
        <is>
          <t>Корректировка прогноза клиентом, в связи с уточнением получаемых заказов</t>
        </is>
      </c>
      <c r="AI17" s="30" t="n">
        <v>500</v>
      </c>
      <c r="AJ17" s="35" t="n">
        <v>400</v>
      </c>
      <c r="AK17" s="32" t="n">
        <v>190</v>
      </c>
      <c r="AL17" s="31" t="n"/>
      <c r="AM17" s="30" t="n">
        <v>500</v>
      </c>
      <c r="AN17" s="31" t="n">
        <v>500</v>
      </c>
      <c r="AO17" s="32" t="n">
        <v>200</v>
      </c>
      <c r="AP17" s="31" t="n"/>
      <c r="AQ17" s="30" t="n">
        <v>500</v>
      </c>
      <c r="AR17" s="37" t="n">
        <v>500</v>
      </c>
      <c r="AS17" s="32" t="n">
        <v>160</v>
      </c>
      <c r="AT17" s="31" t="inlineStr">
        <is>
          <t>Уменьшение прогноза в связи с уменьшением заказа от клиентов из-за поышения ключевой ставки</t>
        </is>
      </c>
      <c r="AU17" s="30" t="n">
        <v>500</v>
      </c>
      <c r="AV17" s="37" t="n">
        <v>400</v>
      </c>
      <c r="AW17" s="32" t="n">
        <v>400</v>
      </c>
      <c r="AX17" s="31" t="inlineStr">
        <is>
          <t>Уменьшение прогноза в связи с уменьшением заказа от клиентов из-за поышения ключевой ставки</t>
        </is>
      </c>
      <c r="AY17" s="30" t="n">
        <v>700</v>
      </c>
      <c r="AZ17" s="38" t="n">
        <v>370</v>
      </c>
      <c r="BA17" s="32" t="n">
        <v>330</v>
      </c>
      <c r="BB17" s="34" t="inlineStr">
        <is>
          <t>Уменьшение прогноза в связи с уменьшением заказа от клиентов из-за поышения ключевой ставки</t>
        </is>
      </c>
      <c r="BC17" s="30" t="n">
        <v>700</v>
      </c>
      <c r="BD17" s="39" t="n">
        <v>0</v>
      </c>
      <c r="BE17" s="40" t="n">
        <v>40</v>
      </c>
      <c r="BF17" s="34" t="inlineStr">
        <is>
          <t>Уменьшение прогноза в связи с уменьшением заказа от клиентов из-за поышения ключевой ставки</t>
        </is>
      </c>
      <c r="BG17" s="41" t="n">
        <v>700</v>
      </c>
      <c r="BH17" s="37" t="n">
        <v>0</v>
      </c>
      <c r="BI17" s="42" t="n">
        <v>0</v>
      </c>
      <c r="BJ17" s="36" t="inlineStr">
        <is>
          <t>Уменьшение прогноза в связи с уменьшением заказа от клиентов из-за поышения ключевой ставки</t>
        </is>
      </c>
      <c r="BK17" s="379">
        <f>O17+S17+W17+AA17+AE17+AI17+AM17+AQ17+AU17+AY17+BC17+BG17</f>
        <v/>
      </c>
      <c r="BL17" s="379">
        <f>BK17*$I17</f>
        <v/>
      </c>
      <c r="BM17" s="41" t="n">
        <v>350</v>
      </c>
      <c r="BN17" s="35" t="n">
        <v>250</v>
      </c>
      <c r="BO17" s="44" t="n">
        <v>0</v>
      </c>
      <c r="BP17" s="61" t="n"/>
      <c r="BQ17" s="45" t="n">
        <v>350</v>
      </c>
      <c r="BR17" s="35" t="n">
        <v>0</v>
      </c>
      <c r="BS17" s="44" t="n">
        <v>0</v>
      </c>
      <c r="BT17" s="35" t="n"/>
      <c r="BU17" s="45" t="n">
        <v>400</v>
      </c>
      <c r="BV17" s="46" t="n">
        <v>110</v>
      </c>
      <c r="BW17" s="44" t="n">
        <v>0</v>
      </c>
      <c r="BX17" s="36" t="n"/>
      <c r="BY17" s="45" t="n">
        <v>400</v>
      </c>
      <c r="BZ17" s="47" t="n">
        <v>0</v>
      </c>
      <c r="CA17" s="44" t="n">
        <v>0</v>
      </c>
      <c r="CB17" s="36" t="n"/>
      <c r="CC17" s="45" t="n">
        <v>450</v>
      </c>
      <c r="CD17" s="35" t="n">
        <v>0</v>
      </c>
      <c r="CE17" s="32" t="n">
        <v>0</v>
      </c>
      <c r="CF17" s="36" t="n"/>
      <c r="CG17" s="41" t="n">
        <v>450</v>
      </c>
      <c r="CH17" s="48" t="n">
        <v>50</v>
      </c>
      <c r="CI17" s="32" t="n">
        <v>50</v>
      </c>
      <c r="CJ17" s="31" t="n"/>
      <c r="CK17" s="41" t="n">
        <v>600</v>
      </c>
      <c r="CL17" s="47" t="n">
        <v>0</v>
      </c>
      <c r="CM17" s="44" t="n">
        <v>50</v>
      </c>
      <c r="CN17" s="35" t="n"/>
      <c r="CO17" s="45" t="n">
        <v>600</v>
      </c>
      <c r="CP17" s="47" t="n">
        <v>50</v>
      </c>
      <c r="CQ17" s="44" t="n">
        <v>50</v>
      </c>
      <c r="CR17" s="35" t="n"/>
      <c r="CS17" s="45" t="n">
        <v>650</v>
      </c>
      <c r="CT17" s="47" t="n">
        <v>50</v>
      </c>
      <c r="CU17" s="44" t="n">
        <v>0</v>
      </c>
      <c r="CV17" s="35" t="n"/>
      <c r="CW17" s="45" t="n">
        <v>650</v>
      </c>
      <c r="CX17" s="277" t="n">
        <v>50</v>
      </c>
      <c r="CY17" s="44" t="n">
        <v>100</v>
      </c>
      <c r="CZ17" s="35" t="n"/>
      <c r="DA17" s="45" t="n">
        <v>650</v>
      </c>
      <c r="DB17" s="277" t="n">
        <v>50</v>
      </c>
      <c r="DC17" s="155" t="n">
        <v>80</v>
      </c>
      <c r="DD17" s="35" t="n"/>
      <c r="DE17" s="45" t="n">
        <v>650</v>
      </c>
      <c r="DF17" s="278" t="n">
        <v>50</v>
      </c>
      <c r="DG17" s="380" t="n">
        <v>100</v>
      </c>
      <c r="DH17" s="35" t="n"/>
      <c r="DI17" s="379">
        <f>BM17+BQ17+BU17+BY17+CC17+CG17+CK17+CO17+CS17+CW17+DA17+DE17</f>
        <v/>
      </c>
      <c r="DJ17" s="379">
        <f>DI17*$I17</f>
        <v/>
      </c>
      <c r="DK17" s="82" t="n">
        <v>50</v>
      </c>
      <c r="DL17" s="35" t="n">
        <v>100</v>
      </c>
      <c r="DM17" s="44" t="n">
        <v>100</v>
      </c>
      <c r="DN17" s="35" t="n"/>
      <c r="DO17" s="82" t="n">
        <v>50</v>
      </c>
      <c r="DP17" s="35" t="n">
        <v>150</v>
      </c>
      <c r="DQ17" s="44" t="n">
        <v>150</v>
      </c>
      <c r="DR17" s="35" t="n"/>
      <c r="DS17" s="82" t="n">
        <v>50</v>
      </c>
      <c r="DT17" s="35" t="n">
        <v>150</v>
      </c>
      <c r="DU17" s="44" t="n">
        <v>0</v>
      </c>
      <c r="DV17" s="35" t="n"/>
      <c r="DW17" s="82" t="n">
        <v>50</v>
      </c>
      <c r="DX17" s="281" t="n">
        <v>100</v>
      </c>
      <c r="DY17" s="44" t="n">
        <v>100</v>
      </c>
      <c r="DZ17" s="36" t="n"/>
      <c r="EA17" s="82" t="n">
        <v>50</v>
      </c>
      <c r="EB17" s="281" t="n">
        <v>160</v>
      </c>
      <c r="EC17" s="44" t="n">
        <v>0</v>
      </c>
      <c r="ED17" s="36" t="n"/>
      <c r="EE17" s="82" t="n">
        <v>100</v>
      </c>
      <c r="EF17" s="35" t="n">
        <v>150</v>
      </c>
      <c r="EG17" s="44" t="n">
        <v>0</v>
      </c>
      <c r="EH17" s="35" t="n"/>
      <c r="EI17" s="82" t="n">
        <v>100</v>
      </c>
      <c r="EJ17" s="35" t="n">
        <v>100</v>
      </c>
      <c r="EK17" s="44" t="n">
        <v>0</v>
      </c>
      <c r="EL17" s="35" t="n"/>
      <c r="EM17" s="82" t="n">
        <v>100</v>
      </c>
      <c r="EN17" s="35" t="n">
        <v>100</v>
      </c>
      <c r="EO17" s="44" t="n">
        <v>0</v>
      </c>
      <c r="EP17" s="35" t="n"/>
      <c r="EQ17" s="82" t="n">
        <v>100</v>
      </c>
      <c r="ER17" s="91" t="n">
        <v>100</v>
      </c>
      <c r="ES17" s="44" t="n">
        <v>0</v>
      </c>
      <c r="ET17" s="35" t="n"/>
      <c r="EU17" s="82" t="n">
        <v>150</v>
      </c>
      <c r="EV17" s="91" t="n">
        <v>150</v>
      </c>
      <c r="EW17" s="44" t="n">
        <v>0</v>
      </c>
      <c r="EX17" s="35" t="n"/>
      <c r="EY17" s="82" t="n">
        <v>150</v>
      </c>
      <c r="EZ17" s="53" t="n">
        <v>150</v>
      </c>
      <c r="FA17" s="288" t="n">
        <v>0</v>
      </c>
      <c r="FB17" s="35" t="n"/>
      <c r="FC17" s="82" t="n">
        <v>150</v>
      </c>
      <c r="FD17" s="92" t="n">
        <v>150</v>
      </c>
      <c r="FE17" s="380" t="n">
        <v>0</v>
      </c>
      <c r="FF17" s="35" t="n"/>
      <c r="FG17" s="379">
        <f>DK17+DO17+DS17+DW17+EA17+EE17+EI17+EM17+EQ17+EU17+EY17+FC17</f>
        <v/>
      </c>
      <c r="FH17" s="379">
        <f>FG17*$I17</f>
        <v/>
      </c>
      <c r="FI17" s="47" t="n">
        <v>150</v>
      </c>
      <c r="FJ17" s="35" t="n"/>
      <c r="FK17" s="44" t="n">
        <v>0</v>
      </c>
      <c r="FL17" s="61" t="n"/>
      <c r="FM17" s="51" t="n">
        <v>200</v>
      </c>
      <c r="FN17" s="35" t="n"/>
      <c r="FO17" s="44" t="n">
        <v>0</v>
      </c>
      <c r="FP17" s="35" t="n"/>
      <c r="FQ17" s="51" t="n">
        <v>200</v>
      </c>
      <c r="FR17" s="46" t="n"/>
      <c r="FS17" s="44" t="n">
        <v>0</v>
      </c>
      <c r="FT17" s="36" t="n"/>
      <c r="FU17" s="51" t="n">
        <v>200</v>
      </c>
      <c r="FV17" s="47" t="n"/>
      <c r="FW17" s="44" t="n">
        <v>0</v>
      </c>
      <c r="FX17" s="36" t="n"/>
      <c r="FY17" s="51" t="n">
        <v>200</v>
      </c>
      <c r="FZ17" s="47" t="n"/>
      <c r="GA17" s="44" t="n">
        <v>0</v>
      </c>
      <c r="GB17" s="36" t="n"/>
      <c r="GC17" s="51" t="n">
        <v>300</v>
      </c>
      <c r="GD17" s="47" t="n"/>
      <c r="GE17" s="44" t="n">
        <v>0</v>
      </c>
      <c r="GF17" s="35" t="n"/>
      <c r="GG17" s="51" t="n">
        <v>300</v>
      </c>
      <c r="GH17" s="47" t="n"/>
      <c r="GI17" s="44" t="n">
        <v>0</v>
      </c>
      <c r="GJ17" s="35" t="n"/>
      <c r="GK17" s="51" t="n">
        <v>300</v>
      </c>
      <c r="GL17" s="47" t="n"/>
      <c r="GM17" s="44" t="n">
        <v>0</v>
      </c>
      <c r="GN17" s="35" t="n"/>
      <c r="GO17" s="51" t="n">
        <v>300</v>
      </c>
      <c r="GP17" s="51" t="n"/>
      <c r="GQ17" s="44" t="n">
        <v>0</v>
      </c>
      <c r="GR17" s="35" t="n"/>
      <c r="GS17" s="51" t="n">
        <v>300</v>
      </c>
      <c r="GT17" s="52" t="n"/>
      <c r="GU17" s="44" t="n">
        <v>0</v>
      </c>
      <c r="GV17" s="35" t="n"/>
      <c r="GW17" s="51" t="n">
        <v>300</v>
      </c>
      <c r="GX17" s="51" t="n"/>
      <c r="GY17" s="49" t="n">
        <v>0</v>
      </c>
      <c r="GZ17" s="35" t="n"/>
      <c r="HA17" s="51" t="n">
        <v>300</v>
      </c>
      <c r="HB17" s="53" t="n"/>
      <c r="HC17" s="380" t="n">
        <v>0</v>
      </c>
      <c r="HD17" s="35" t="n"/>
      <c r="HE17" s="379">
        <f>FI17+FM17+FQ17+FU17+FY17+GC17+GG17+GK17+GO17+GS17+GW17+HA17</f>
        <v/>
      </c>
      <c r="HF17" s="379">
        <f>HE17*$I17</f>
        <v/>
      </c>
      <c r="HG17" s="51" t="n">
        <v>300</v>
      </c>
      <c r="HH17" s="35" t="n"/>
      <c r="HI17" s="44" t="n">
        <v>0</v>
      </c>
      <c r="HJ17" s="61" t="n"/>
      <c r="HK17" s="51" t="n">
        <v>350</v>
      </c>
      <c r="HL17" s="35" t="n"/>
      <c r="HM17" s="44" t="n">
        <v>0</v>
      </c>
      <c r="HN17" s="35" t="n"/>
      <c r="HO17" s="51" t="n">
        <v>350</v>
      </c>
      <c r="HP17" s="46" t="n"/>
      <c r="HQ17" s="44" t="n">
        <v>0</v>
      </c>
      <c r="HR17" s="36" t="n"/>
      <c r="HS17" s="51" t="n">
        <v>350</v>
      </c>
      <c r="HT17" s="47" t="n"/>
      <c r="HU17" s="44" t="n">
        <v>0</v>
      </c>
      <c r="HV17" s="36" t="n"/>
      <c r="HW17" s="51" t="n">
        <v>350</v>
      </c>
      <c r="HX17" s="47" t="n"/>
      <c r="HY17" s="44" t="n">
        <v>0</v>
      </c>
      <c r="HZ17" s="36" t="n"/>
      <c r="IA17" s="51" t="n">
        <v>350</v>
      </c>
      <c r="IB17" s="47" t="n"/>
      <c r="IC17" s="44" t="n">
        <v>0</v>
      </c>
      <c r="ID17" s="35" t="n"/>
      <c r="IE17" s="51" t="n">
        <v>350</v>
      </c>
      <c r="IF17" s="47" t="n"/>
      <c r="IG17" s="44" t="n">
        <v>0</v>
      </c>
      <c r="IH17" s="35" t="n"/>
      <c r="II17" s="51" t="n">
        <v>400</v>
      </c>
      <c r="IJ17" s="47" t="n"/>
      <c r="IK17" s="44" t="n">
        <v>0</v>
      </c>
      <c r="IL17" s="35" t="n"/>
      <c r="IM17" s="51" t="n">
        <v>400</v>
      </c>
      <c r="IN17" s="51" t="n"/>
      <c r="IO17" s="44" t="n">
        <v>0</v>
      </c>
      <c r="IP17" s="35" t="n"/>
      <c r="IQ17" s="51" t="n">
        <v>400</v>
      </c>
      <c r="IR17" s="52" t="n"/>
      <c r="IS17" s="44" t="n">
        <v>0</v>
      </c>
      <c r="IT17" s="35" t="n"/>
      <c r="IU17" s="51" t="n">
        <v>400</v>
      </c>
      <c r="IV17" s="47" t="n"/>
      <c r="IW17" s="49" t="n">
        <v>0</v>
      </c>
      <c r="IX17" s="35" t="n"/>
      <c r="IY17" s="51" t="n">
        <v>400</v>
      </c>
      <c r="IZ17" s="53" t="n"/>
      <c r="JA17" s="380" t="n">
        <v>0</v>
      </c>
      <c r="JB17" s="35" t="n"/>
      <c r="JC17" s="381">
        <f>HG17+HK17+HO17+HS17+HW17+IA17+IE17+II17+IM17+IQ17+IU17+IY17</f>
        <v/>
      </c>
      <c r="JD17" s="381">
        <f>JC17*$I17</f>
        <v/>
      </c>
    </row>
    <row r="18">
      <c r="A18" s="382" t="n"/>
      <c r="B18" s="382" t="n"/>
      <c r="C18" s="382" t="n"/>
      <c r="D18" s="382" t="n"/>
      <c r="E18" s="25" t="n">
        <v>13</v>
      </c>
      <c r="F18" s="25" t="n">
        <v>1</v>
      </c>
      <c r="G18" s="26" t="n">
        <v>4630840310</v>
      </c>
      <c r="H18" s="27" t="inlineStr">
        <is>
          <t>Клапан подъема оси</t>
        </is>
      </c>
      <c r="I18" s="28" t="n">
        <v>417.5</v>
      </c>
      <c r="J18" s="29" t="n">
        <v>417.5</v>
      </c>
      <c r="K18" s="295" t="n">
        <v>386.49</v>
      </c>
      <c r="L18" s="295" t="n">
        <v>386.49</v>
      </c>
      <c r="M18" s="29" t="n"/>
      <c r="N18" s="29" t="n"/>
      <c r="O18" s="30" t="n">
        <v>525</v>
      </c>
      <c r="P18" s="31" t="n">
        <v>525</v>
      </c>
      <c r="Q18" s="32" t="n">
        <v>525</v>
      </c>
      <c r="R18" s="31" t="n"/>
      <c r="S18" s="30" t="n">
        <v>525</v>
      </c>
      <c r="T18" s="31" t="n">
        <v>525</v>
      </c>
      <c r="U18" s="32" t="n">
        <v>0</v>
      </c>
      <c r="V18" s="31" t="n"/>
      <c r="W18" s="30" t="n">
        <v>800</v>
      </c>
      <c r="X18" s="31" t="n">
        <v>525</v>
      </c>
      <c r="Y18" s="32" t="n">
        <v>995</v>
      </c>
      <c r="Z18" s="34" t="inlineStr">
        <is>
          <t>Корректировка прогноза клиентом, в связи с уменьшением получаемых заказов на производство продукции.</t>
        </is>
      </c>
      <c r="AA18" s="30" t="n">
        <v>800</v>
      </c>
      <c r="AB18" s="35" t="n">
        <v>510</v>
      </c>
      <c r="AC18" s="32" t="n">
        <v>570</v>
      </c>
      <c r="AD18" s="36" t="inlineStr">
        <is>
          <t>Корректировка прогноза клиентом, в связи с уточнением получаемых заказов</t>
        </is>
      </c>
      <c r="AE18" s="30" t="n">
        <v>800</v>
      </c>
      <c r="AF18" s="35" t="n">
        <v>550</v>
      </c>
      <c r="AG18" s="32" t="n">
        <v>530</v>
      </c>
      <c r="AH18" s="36" t="inlineStr">
        <is>
          <t>Корректировка прогноза клиентом, в связи с уточнением получаемых заказов</t>
        </is>
      </c>
      <c r="AI18" s="30" t="n">
        <v>800</v>
      </c>
      <c r="AJ18" s="35" t="n">
        <v>700</v>
      </c>
      <c r="AK18" s="32" t="n">
        <v>235</v>
      </c>
      <c r="AL18" s="31" t="n"/>
      <c r="AM18" s="30" t="n">
        <v>800</v>
      </c>
      <c r="AN18" s="31" t="n">
        <v>800</v>
      </c>
      <c r="AO18" s="32" t="n">
        <v>230</v>
      </c>
      <c r="AP18" s="31" t="n"/>
      <c r="AQ18" s="30" t="n">
        <v>800</v>
      </c>
      <c r="AR18" s="37" t="n">
        <v>500</v>
      </c>
      <c r="AS18" s="32" t="n">
        <v>270</v>
      </c>
      <c r="AT18" s="31" t="inlineStr">
        <is>
          <t>Уменьшение прогноза в связи с уменьшением заказа от клиентов из-за поышения ключевой ставки</t>
        </is>
      </c>
      <c r="AU18" s="30" t="n">
        <v>800</v>
      </c>
      <c r="AV18" s="37" t="n">
        <v>640</v>
      </c>
      <c r="AW18" s="32" t="n">
        <v>515</v>
      </c>
      <c r="AX18" s="31" t="inlineStr">
        <is>
          <t>Уменьшение прогноза в связи с уменьшением заказа от клиентов из-за поышения ключевой ставки</t>
        </is>
      </c>
      <c r="AY18" s="30" t="n">
        <v>1000</v>
      </c>
      <c r="AZ18" s="38" t="n">
        <v>840</v>
      </c>
      <c r="BA18" s="32" t="n">
        <v>520</v>
      </c>
      <c r="BB18" s="34" t="inlineStr">
        <is>
          <t>Уменьшение прогноза в связи с уменьшением заказа от клиентов из-за поышения ключевой ставки</t>
        </is>
      </c>
      <c r="BC18" s="30" t="n">
        <v>1000</v>
      </c>
      <c r="BD18" s="39" t="n">
        <v>0</v>
      </c>
      <c r="BE18" s="40" t="n">
        <v>80</v>
      </c>
      <c r="BF18" s="34" t="inlineStr">
        <is>
          <t>Уменьшение прогноза в связи с уменьшением заказа от клиентов из-за поышения ключевой ставки</t>
        </is>
      </c>
      <c r="BG18" s="41" t="n">
        <v>1000</v>
      </c>
      <c r="BH18" s="37" t="n">
        <v>0</v>
      </c>
      <c r="BI18" s="42" t="n">
        <v>0</v>
      </c>
      <c r="BJ18" s="36" t="inlineStr">
        <is>
          <t>Уменьшение прогноза в связи с уменьшением заказа от клиентов из-за поышения ключевой ставки</t>
        </is>
      </c>
      <c r="BK18" s="379">
        <f>O18+S18+W18+AA18+AE18+AI18+AM18+AQ18+AU18+AY18+BC18+BG18</f>
        <v/>
      </c>
      <c r="BL18" s="379">
        <f>BK18*$I18</f>
        <v/>
      </c>
      <c r="BM18" s="41" t="n">
        <v>700</v>
      </c>
      <c r="BN18" s="35" t="n">
        <v>300</v>
      </c>
      <c r="BO18" s="44" t="n">
        <v>0</v>
      </c>
      <c r="BP18" s="35" t="n"/>
      <c r="BQ18" s="45" t="n">
        <v>700</v>
      </c>
      <c r="BR18" s="35" t="n">
        <v>0</v>
      </c>
      <c r="BS18" s="44" t="n">
        <v>0</v>
      </c>
      <c r="BT18" s="35" t="n"/>
      <c r="BU18" s="45" t="n">
        <v>800</v>
      </c>
      <c r="BV18" s="46" t="n">
        <v>170</v>
      </c>
      <c r="BW18" s="44" t="n">
        <v>0</v>
      </c>
      <c r="BX18" s="36" t="n"/>
      <c r="BY18" s="45" t="n">
        <v>800</v>
      </c>
      <c r="BZ18" s="47" t="n">
        <v>0</v>
      </c>
      <c r="CA18" s="44" t="n">
        <v>0</v>
      </c>
      <c r="CB18" s="36" t="n"/>
      <c r="CC18" s="45" t="n">
        <v>850</v>
      </c>
      <c r="CD18" s="35" t="n">
        <v>0</v>
      </c>
      <c r="CE18" s="32" t="n">
        <v>0</v>
      </c>
      <c r="CF18" s="36" t="n"/>
      <c r="CG18" s="41" t="n">
        <v>850</v>
      </c>
      <c r="CH18" s="48" t="n">
        <v>50</v>
      </c>
      <c r="CI18" s="32" t="n">
        <v>50</v>
      </c>
      <c r="CJ18" s="31" t="n"/>
      <c r="CK18" s="41" t="n">
        <v>950</v>
      </c>
      <c r="CL18" s="47" t="n">
        <v>0</v>
      </c>
      <c r="CM18" s="44" t="n">
        <v>50</v>
      </c>
      <c r="CN18" s="35" t="n"/>
      <c r="CO18" s="45" t="n">
        <v>950</v>
      </c>
      <c r="CP18" s="47" t="n">
        <v>35</v>
      </c>
      <c r="CQ18" s="44" t="n">
        <v>50</v>
      </c>
      <c r="CR18" s="35" t="n"/>
      <c r="CS18" s="45" t="n">
        <v>1000</v>
      </c>
      <c r="CT18" s="47" t="n">
        <v>35</v>
      </c>
      <c r="CU18" s="44" t="n">
        <v>0</v>
      </c>
      <c r="CV18" s="35" t="n"/>
      <c r="CW18" s="45" t="n">
        <v>1000</v>
      </c>
      <c r="CX18" s="277" t="n">
        <v>35</v>
      </c>
      <c r="CY18" s="44" t="n">
        <v>200</v>
      </c>
      <c r="CZ18" s="35" t="n"/>
      <c r="DA18" s="45" t="n">
        <v>1000</v>
      </c>
      <c r="DB18" s="277" t="n">
        <v>35</v>
      </c>
      <c r="DC18" s="155" t="n">
        <v>140</v>
      </c>
      <c r="DD18" s="35" t="n"/>
      <c r="DE18" s="45" t="n">
        <v>1000</v>
      </c>
      <c r="DF18" s="278" t="n">
        <v>35</v>
      </c>
      <c r="DG18" s="380" t="n">
        <v>130</v>
      </c>
      <c r="DH18" s="35" t="n"/>
      <c r="DI18" s="379">
        <f>BM18+BQ18+BU18+BY18+CC18+CG18+CK18+CO18+CS18+CW18+DA18+DE18</f>
        <v/>
      </c>
      <c r="DJ18" s="379">
        <f>DI18*$I18</f>
        <v/>
      </c>
      <c r="DK18" s="82" t="n">
        <v>35</v>
      </c>
      <c r="DL18" s="35" t="n">
        <v>130</v>
      </c>
      <c r="DM18" s="44" t="n">
        <v>150</v>
      </c>
      <c r="DN18" s="35" t="n"/>
      <c r="DO18" s="82" t="n">
        <v>35</v>
      </c>
      <c r="DP18" s="282" t="n">
        <v>240</v>
      </c>
      <c r="DQ18" s="44" t="n">
        <v>251</v>
      </c>
      <c r="DR18" s="35" t="n"/>
      <c r="DS18" s="82" t="n">
        <v>35</v>
      </c>
      <c r="DT18" s="47" t="n">
        <v>250</v>
      </c>
      <c r="DU18" s="44" t="n">
        <v>0</v>
      </c>
      <c r="DV18" s="35" t="n"/>
      <c r="DW18" s="82" t="n">
        <v>35</v>
      </c>
      <c r="DX18" s="281" t="n">
        <v>120</v>
      </c>
      <c r="DY18" s="44" t="n">
        <v>120</v>
      </c>
      <c r="DZ18" s="36" t="n"/>
      <c r="EA18" s="82" t="n">
        <v>35</v>
      </c>
      <c r="EB18" s="47" t="n">
        <v>260</v>
      </c>
      <c r="EC18" s="44" t="n">
        <v>0</v>
      </c>
      <c r="ED18" s="36" t="n"/>
      <c r="EE18" s="82" t="n">
        <v>35</v>
      </c>
      <c r="EF18" s="35" t="n">
        <v>240</v>
      </c>
      <c r="EG18" s="44" t="n">
        <v>0</v>
      </c>
      <c r="EH18" s="35" t="n"/>
      <c r="EI18" s="82" t="n">
        <v>35</v>
      </c>
      <c r="EJ18" s="35" t="n">
        <v>35</v>
      </c>
      <c r="EK18" s="44" t="n">
        <v>0</v>
      </c>
      <c r="EL18" s="35" t="n"/>
      <c r="EM18" s="82" t="n">
        <v>35</v>
      </c>
      <c r="EN18" s="35" t="n">
        <v>35</v>
      </c>
      <c r="EO18" s="44" t="n">
        <v>0</v>
      </c>
      <c r="EP18" s="35" t="n"/>
      <c r="EQ18" s="82" t="n">
        <v>35</v>
      </c>
      <c r="ER18" s="91" t="n">
        <v>35</v>
      </c>
      <c r="ES18" s="44" t="n">
        <v>0</v>
      </c>
      <c r="ET18" s="35" t="n"/>
      <c r="EU18" s="82" t="n">
        <v>100</v>
      </c>
      <c r="EV18" s="91" t="n">
        <v>100</v>
      </c>
      <c r="EW18" s="44" t="n">
        <v>0</v>
      </c>
      <c r="EX18" s="35" t="n"/>
      <c r="EY18" s="82" t="n">
        <v>100</v>
      </c>
      <c r="EZ18" s="53" t="n">
        <v>100</v>
      </c>
      <c r="FA18" s="288" t="n">
        <v>0</v>
      </c>
      <c r="FB18" s="35" t="n"/>
      <c r="FC18" s="82" t="n">
        <v>100</v>
      </c>
      <c r="FD18" s="92" t="n">
        <v>100</v>
      </c>
      <c r="FE18" s="380" t="n">
        <v>0</v>
      </c>
      <c r="FF18" s="35" t="n"/>
      <c r="FG18" s="379">
        <f>DK18+DO18+DS18+DW18+EA18+EE18+EI18+EM18+EQ18+EU18+EY18+FC18</f>
        <v/>
      </c>
      <c r="FH18" s="379">
        <f>FG18*$I18</f>
        <v/>
      </c>
      <c r="FI18" s="47" t="n">
        <v>100</v>
      </c>
      <c r="FJ18" s="35" t="n"/>
      <c r="FK18" s="44" t="n">
        <v>0</v>
      </c>
      <c r="FL18" s="35" t="n"/>
      <c r="FM18" s="51" t="n">
        <v>170</v>
      </c>
      <c r="FN18" s="35" t="n"/>
      <c r="FO18" s="44" t="n">
        <v>0</v>
      </c>
      <c r="FP18" s="35" t="n"/>
      <c r="FQ18" s="51" t="n">
        <v>170</v>
      </c>
      <c r="FR18" s="46" t="n"/>
      <c r="FS18" s="44" t="n">
        <v>0</v>
      </c>
      <c r="FT18" s="36" t="n"/>
      <c r="FU18" s="51" t="n">
        <v>170</v>
      </c>
      <c r="FV18" s="47" t="n"/>
      <c r="FW18" s="44" t="n">
        <v>0</v>
      </c>
      <c r="FX18" s="36" t="n"/>
      <c r="FY18" s="51" t="n">
        <v>170</v>
      </c>
      <c r="FZ18" s="47" t="n"/>
      <c r="GA18" s="44" t="n">
        <v>0</v>
      </c>
      <c r="GB18" s="36" t="n"/>
      <c r="GC18" s="51" t="n">
        <v>200</v>
      </c>
      <c r="GD18" s="47" t="n"/>
      <c r="GE18" s="44" t="n">
        <v>0</v>
      </c>
      <c r="GF18" s="35" t="n"/>
      <c r="GG18" s="51" t="n">
        <v>200</v>
      </c>
      <c r="GH18" s="47" t="n"/>
      <c r="GI18" s="44" t="n">
        <v>0</v>
      </c>
      <c r="GJ18" s="35" t="n"/>
      <c r="GK18" s="51" t="n">
        <v>200</v>
      </c>
      <c r="GL18" s="47" t="n"/>
      <c r="GM18" s="44" t="n">
        <v>0</v>
      </c>
      <c r="GN18" s="35" t="n"/>
      <c r="GO18" s="51" t="n">
        <v>200</v>
      </c>
      <c r="GP18" s="51" t="n"/>
      <c r="GQ18" s="44" t="n">
        <v>0</v>
      </c>
      <c r="GR18" s="35" t="n"/>
      <c r="GS18" s="51" t="n">
        <v>200</v>
      </c>
      <c r="GT18" s="52" t="n"/>
      <c r="GU18" s="44" t="n">
        <v>0</v>
      </c>
      <c r="GV18" s="35" t="n"/>
      <c r="GW18" s="51" t="n">
        <v>200</v>
      </c>
      <c r="GX18" s="51" t="n"/>
      <c r="GY18" s="49" t="n">
        <v>0</v>
      </c>
      <c r="GZ18" s="35" t="n"/>
      <c r="HA18" s="51" t="n">
        <v>200</v>
      </c>
      <c r="HB18" s="53" t="n"/>
      <c r="HC18" s="380" t="n">
        <v>0</v>
      </c>
      <c r="HD18" s="35" t="n"/>
      <c r="HE18" s="379">
        <f>FI18+FM18+FQ18+FU18+FY18+GC18+GG18+GK18+GO18+GS18+GW18+HA18</f>
        <v/>
      </c>
      <c r="HF18" s="379">
        <f>HE18*$I18</f>
        <v/>
      </c>
      <c r="HG18" s="51" t="n">
        <v>200</v>
      </c>
      <c r="HH18" s="35" t="n"/>
      <c r="HI18" s="44" t="n">
        <v>0</v>
      </c>
      <c r="HJ18" s="35" t="n"/>
      <c r="HK18" s="51" t="n">
        <v>700</v>
      </c>
      <c r="HL18" s="35" t="n"/>
      <c r="HM18" s="44" t="n">
        <v>0</v>
      </c>
      <c r="HN18" s="35" t="n"/>
      <c r="HO18" s="51" t="n">
        <v>700</v>
      </c>
      <c r="HP18" s="46" t="n"/>
      <c r="HQ18" s="44" t="n">
        <v>0</v>
      </c>
      <c r="HR18" s="36" t="n"/>
      <c r="HS18" s="51" t="n">
        <v>700</v>
      </c>
      <c r="HT18" s="47" t="n"/>
      <c r="HU18" s="44" t="n">
        <v>0</v>
      </c>
      <c r="HV18" s="36" t="n"/>
      <c r="HW18" s="51" t="n">
        <v>700</v>
      </c>
      <c r="HX18" s="47" t="n"/>
      <c r="HY18" s="44" t="n">
        <v>0</v>
      </c>
      <c r="HZ18" s="36" t="n"/>
      <c r="IA18" s="51" t="n">
        <v>700</v>
      </c>
      <c r="IB18" s="47" t="n"/>
      <c r="IC18" s="44" t="n">
        <v>0</v>
      </c>
      <c r="ID18" s="35" t="n"/>
      <c r="IE18" s="51" t="n">
        <v>700</v>
      </c>
      <c r="IF18" s="47" t="n"/>
      <c r="IG18" s="44" t="n">
        <v>0</v>
      </c>
      <c r="IH18" s="35" t="n"/>
      <c r="II18" s="51" t="n">
        <v>800</v>
      </c>
      <c r="IJ18" s="47" t="n"/>
      <c r="IK18" s="44" t="n">
        <v>0</v>
      </c>
      <c r="IL18" s="35" t="n"/>
      <c r="IM18" s="51" t="n">
        <v>800</v>
      </c>
      <c r="IN18" s="51" t="n"/>
      <c r="IO18" s="44" t="n">
        <v>0</v>
      </c>
      <c r="IP18" s="35" t="n"/>
      <c r="IQ18" s="51" t="n">
        <v>800</v>
      </c>
      <c r="IR18" s="52" t="n"/>
      <c r="IS18" s="44" t="n">
        <v>0</v>
      </c>
      <c r="IT18" s="35" t="n"/>
      <c r="IU18" s="51" t="n">
        <v>800</v>
      </c>
      <c r="IV18" s="47" t="n"/>
      <c r="IW18" s="49" t="n">
        <v>0</v>
      </c>
      <c r="IX18" s="35" t="n"/>
      <c r="IY18" s="51" t="n">
        <v>800</v>
      </c>
      <c r="IZ18" s="53" t="n"/>
      <c r="JA18" s="380" t="n">
        <v>0</v>
      </c>
      <c r="JB18" s="35" t="n"/>
      <c r="JC18" s="381">
        <f>HG18+HK18+HO18+HS18+HW18+IA18+IE18+II18+IM18+IQ18+IU18+IY18</f>
        <v/>
      </c>
      <c r="JD18" s="381">
        <f>JC18*$I18</f>
        <v/>
      </c>
    </row>
    <row r="19">
      <c r="A19" s="382" t="n"/>
      <c r="B19" s="382" t="n"/>
      <c r="C19" s="382" t="n"/>
      <c r="D19" s="382" t="n"/>
      <c r="E19" s="25" t="n">
        <v>14</v>
      </c>
      <c r="F19" s="25" t="n">
        <v>1</v>
      </c>
      <c r="G19" s="26" t="n">
        <v>4494430600</v>
      </c>
      <c r="H19" s="27" t="inlineStr">
        <is>
          <t>Кабель клапана подъема оси</t>
        </is>
      </c>
      <c r="I19" s="28" t="n">
        <v>124.17</v>
      </c>
      <c r="J19" s="29" t="n">
        <v>124.17</v>
      </c>
      <c r="K19" s="29" t="n">
        <v>124.17</v>
      </c>
      <c r="L19" s="29" t="n">
        <v>124.17</v>
      </c>
      <c r="M19" s="29" t="n"/>
      <c r="N19" s="29" t="n"/>
      <c r="O19" s="30" t="n">
        <v>525</v>
      </c>
      <c r="P19" s="31" t="n">
        <v>525</v>
      </c>
      <c r="Q19" s="32" t="n">
        <v>0</v>
      </c>
      <c r="R19" s="31" t="inlineStr">
        <is>
          <t>Был отгружен кабель 4494430400 525 шт</t>
        </is>
      </c>
      <c r="S19" s="30" t="n">
        <v>525</v>
      </c>
      <c r="T19" s="31" t="n">
        <v>525</v>
      </c>
      <c r="U19" s="32" t="n">
        <v>0</v>
      </c>
      <c r="V19" s="31" t="n"/>
      <c r="W19" s="30" t="n">
        <v>800</v>
      </c>
      <c r="X19" s="31" t="n">
        <v>525</v>
      </c>
      <c r="Y19" s="32" t="n">
        <v>995</v>
      </c>
      <c r="Z19" s="31" t="n"/>
      <c r="AA19" s="30" t="n">
        <v>800</v>
      </c>
      <c r="AB19" s="35" t="n">
        <v>510</v>
      </c>
      <c r="AC19" s="32" t="n">
        <v>565</v>
      </c>
      <c r="AD19" s="36" t="inlineStr">
        <is>
          <t>Корректировка прогноза клиентом, в связи с уточнением получаемых заказов</t>
        </is>
      </c>
      <c r="AE19" s="30" t="n">
        <v>800</v>
      </c>
      <c r="AF19" s="35" t="n">
        <v>0</v>
      </c>
      <c r="AG19" s="32" t="n">
        <v>270</v>
      </c>
      <c r="AH19" s="36" t="inlineStr">
        <is>
          <t>Корректировка прогноза клиентом, в связи с уточнением получаемых заказов</t>
        </is>
      </c>
      <c r="AI19" s="30" t="n">
        <v>800</v>
      </c>
      <c r="AJ19" s="47" t="n">
        <v>0</v>
      </c>
      <c r="AK19" s="32" t="n">
        <v>0</v>
      </c>
      <c r="AL19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M19" s="30" t="n">
        <v>800</v>
      </c>
      <c r="AN19" s="31" t="n">
        <v>0</v>
      </c>
      <c r="AO19" s="32" t="n">
        <v>0</v>
      </c>
      <c r="AP19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Q19" s="30" t="n">
        <v>800</v>
      </c>
      <c r="AR19" s="37" t="n">
        <v>0</v>
      </c>
      <c r="AS19" s="32" t="n">
        <v>0</v>
      </c>
      <c r="AT19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U19" s="30" t="n">
        <v>800</v>
      </c>
      <c r="AV19" s="31" t="n">
        <v>0</v>
      </c>
      <c r="AW19" s="32" t="n">
        <v>235</v>
      </c>
      <c r="AX19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Y19" s="30" t="n">
        <v>1000</v>
      </c>
      <c r="AZ19" s="31" t="n">
        <v>0</v>
      </c>
      <c r="BA19" s="32" t="n">
        <v>0</v>
      </c>
      <c r="BB19" s="34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BC19" s="30" t="n">
        <v>1000</v>
      </c>
      <c r="BD19" s="37" t="n">
        <v>0</v>
      </c>
      <c r="BE19" s="40" t="n">
        <v>0</v>
      </c>
      <c r="BF19" s="34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BG19" s="41" t="n">
        <v>1000</v>
      </c>
      <c r="BH19" s="31" t="n">
        <v>0</v>
      </c>
      <c r="BI19" s="42" t="n">
        <v>0</v>
      </c>
      <c r="BJ19" s="34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BK19" s="381">
        <f>O19+S19+W19+AA19+AE19+AI19+AM19+AQ19+AU19+AY19+BC19+BG19</f>
        <v/>
      </c>
      <c r="BL19" s="381">
        <f>BK19*$I19</f>
        <v/>
      </c>
      <c r="BM19" s="41" t="n"/>
      <c r="BN19" s="35" t="n">
        <v>0</v>
      </c>
      <c r="BO19" s="44" t="n">
        <v>0</v>
      </c>
      <c r="BP19" s="35" t="n"/>
      <c r="BQ19" s="45" t="n"/>
      <c r="BR19" s="35" t="n">
        <v>0</v>
      </c>
      <c r="BS19" s="44" t="n">
        <v>0</v>
      </c>
      <c r="BT19" s="35" t="n"/>
      <c r="BU19" s="45" t="n"/>
      <c r="BV19" s="46" t="n">
        <v>0</v>
      </c>
      <c r="BW19" s="44" t="n"/>
      <c r="BX19" s="35" t="n"/>
      <c r="BY19" s="45" t="n"/>
      <c r="BZ19" s="35" t="n">
        <v>0</v>
      </c>
      <c r="CA19" s="44" t="n">
        <v>0</v>
      </c>
      <c r="CB19" s="36" t="n"/>
      <c r="CC19" s="45" t="n"/>
      <c r="CD19" s="35" t="n">
        <v>0</v>
      </c>
      <c r="CE19" s="32" t="n">
        <v>0</v>
      </c>
      <c r="CF19" s="36" t="n"/>
      <c r="CG19" s="41" t="n"/>
      <c r="CH19" s="35" t="n">
        <v>0</v>
      </c>
      <c r="CI19" s="32" t="n">
        <v>0</v>
      </c>
      <c r="CJ19" s="31" t="n"/>
      <c r="CK19" s="41" t="n"/>
      <c r="CL19" s="47" t="n">
        <v>0</v>
      </c>
      <c r="CM19" s="44" t="n">
        <v>0</v>
      </c>
      <c r="CN19" s="35" t="n"/>
      <c r="CO19" s="45" t="n"/>
      <c r="CP19" s="35" t="n">
        <v>0</v>
      </c>
      <c r="CQ19" s="44" t="n"/>
      <c r="CR19" s="35" t="n"/>
      <c r="CS19" s="45" t="n"/>
      <c r="CT19" s="35" t="n">
        <v>0</v>
      </c>
      <c r="CU19" s="44" t="n">
        <v>0</v>
      </c>
      <c r="CV19" s="35" t="n"/>
      <c r="CW19" s="45" t="n"/>
      <c r="CX19" s="278" t="n">
        <v>0</v>
      </c>
      <c r="CY19" s="44" t="n">
        <v>0</v>
      </c>
      <c r="CZ19" s="35" t="n"/>
      <c r="DA19" s="45" t="n"/>
      <c r="DB19" s="278" t="n">
        <v>0</v>
      </c>
      <c r="DC19" s="155" t="n"/>
      <c r="DD19" s="35" t="n"/>
      <c r="DE19" s="45" t="n"/>
      <c r="DF19" s="278" t="n">
        <v>0</v>
      </c>
      <c r="DG19" s="380" t="n"/>
      <c r="DH19" s="35" t="n"/>
      <c r="DI19" s="379">
        <f>BM19+BQ19+BU19+BY19+CC19+CG19+CK19+CO19+CS19+CW19+DA19+DE19</f>
        <v/>
      </c>
      <c r="DJ19" s="379">
        <f>DI19*$I19</f>
        <v/>
      </c>
      <c r="DK19" s="82" t="n">
        <v>0</v>
      </c>
      <c r="DL19" s="35" t="n">
        <v>0</v>
      </c>
      <c r="DM19" s="44" t="n"/>
      <c r="DN19" s="35" t="n"/>
      <c r="DO19" s="82" t="n">
        <v>0</v>
      </c>
      <c r="DP19" s="35" t="n"/>
      <c r="DQ19" s="44" t="n"/>
      <c r="DR19" s="35" t="n"/>
      <c r="DS19" s="82" t="n">
        <v>0</v>
      </c>
      <c r="DT19" s="35" t="n"/>
      <c r="DU19" s="44" t="n"/>
      <c r="DV19" s="35" t="n"/>
      <c r="DW19" s="82" t="n">
        <v>0</v>
      </c>
      <c r="DX19" s="35" t="n">
        <v>0</v>
      </c>
      <c r="DY19" s="44" t="n"/>
      <c r="DZ19" s="36" t="n"/>
      <c r="EA19" s="82" t="n">
        <v>0</v>
      </c>
      <c r="EB19" s="35" t="n">
        <v>0</v>
      </c>
      <c r="EC19" s="44" t="n">
        <v>0</v>
      </c>
      <c r="ED19" s="36" t="n"/>
      <c r="EE19" s="82" t="n">
        <v>0</v>
      </c>
      <c r="EF19" s="35" t="n">
        <v>0</v>
      </c>
      <c r="EG19" s="44" t="n"/>
      <c r="EH19" s="35" t="n"/>
      <c r="EI19" s="82" t="n">
        <v>0</v>
      </c>
      <c r="EJ19" s="35" t="n">
        <v>0</v>
      </c>
      <c r="EK19" s="44" t="n"/>
      <c r="EL19" s="35" t="n"/>
      <c r="EM19" s="82" t="n">
        <v>0</v>
      </c>
      <c r="EN19" s="35" t="n">
        <v>0</v>
      </c>
      <c r="EO19" s="44" t="n"/>
      <c r="EP19" s="35" t="n"/>
      <c r="EQ19" s="82" t="n">
        <v>0</v>
      </c>
      <c r="ER19" s="91" t="n">
        <v>0</v>
      </c>
      <c r="ES19" s="44" t="n"/>
      <c r="ET19" s="35" t="n"/>
      <c r="EU19" s="82" t="n">
        <v>0</v>
      </c>
      <c r="EV19" s="91" t="n">
        <v>0</v>
      </c>
      <c r="EW19" s="44" t="n"/>
      <c r="EX19" s="35" t="n"/>
      <c r="EY19" s="82" t="n">
        <v>0</v>
      </c>
      <c r="EZ19" s="53" t="n">
        <v>0</v>
      </c>
      <c r="FA19" s="288" t="n"/>
      <c r="FB19" s="35" t="n"/>
      <c r="FC19" s="82" t="n">
        <v>0</v>
      </c>
      <c r="FD19" s="92" t="n">
        <v>0</v>
      </c>
      <c r="FE19" s="380" t="n"/>
      <c r="FF19" s="35" t="n"/>
      <c r="FG19" s="379">
        <f>DK19+DO19+DS19+DW19+EA19+EE19+EI19+EM19+EQ19+EU19+EY19+FC19</f>
        <v/>
      </c>
      <c r="FH19" s="379">
        <f>FG19*$I19</f>
        <v/>
      </c>
      <c r="FI19" s="35" t="n">
        <v>0</v>
      </c>
      <c r="FJ19" s="35" t="n"/>
      <c r="FK19" s="44" t="n"/>
      <c r="FL19" s="35" t="n"/>
      <c r="FM19" s="51" t="n">
        <v>200</v>
      </c>
      <c r="FN19" s="35" t="n"/>
      <c r="FO19" s="44" t="n">
        <v>0</v>
      </c>
      <c r="FP19" s="35" t="n"/>
      <c r="FQ19" s="51" t="n">
        <v>200</v>
      </c>
      <c r="FR19" s="46" t="n"/>
      <c r="FS19" s="44" t="n">
        <v>0</v>
      </c>
      <c r="FT19" s="35" t="n"/>
      <c r="FU19" s="51" t="n">
        <v>200</v>
      </c>
      <c r="FV19" s="35" t="n"/>
      <c r="FW19" s="44" t="n">
        <v>0</v>
      </c>
      <c r="FX19" s="36" t="n"/>
      <c r="FY19" s="51" t="n">
        <v>200</v>
      </c>
      <c r="FZ19" s="35" t="n"/>
      <c r="GA19" s="44" t="n">
        <v>0</v>
      </c>
      <c r="GB19" s="36" t="n"/>
      <c r="GC19" s="51" t="n">
        <v>300</v>
      </c>
      <c r="GD19" s="35" t="n"/>
      <c r="GE19" s="44" t="n">
        <v>0</v>
      </c>
      <c r="GF19" s="35" t="n"/>
      <c r="GG19" s="51" t="n">
        <v>300</v>
      </c>
      <c r="GH19" s="35" t="n"/>
      <c r="GI19" s="44" t="n">
        <v>0</v>
      </c>
      <c r="GJ19" s="35" t="n"/>
      <c r="GK19" s="51" t="n">
        <v>300</v>
      </c>
      <c r="GL19" s="35" t="n"/>
      <c r="GM19" s="44" t="n">
        <v>0</v>
      </c>
      <c r="GN19" s="35" t="n"/>
      <c r="GO19" s="51" t="n">
        <v>300</v>
      </c>
      <c r="GP19" s="35" t="n"/>
      <c r="GQ19" s="44" t="n">
        <v>0</v>
      </c>
      <c r="GR19" s="35" t="n"/>
      <c r="GS19" s="51" t="n">
        <v>300</v>
      </c>
      <c r="GT19" s="35" t="n"/>
      <c r="GU19" s="44" t="n">
        <v>0</v>
      </c>
      <c r="GV19" s="35" t="n"/>
      <c r="GW19" s="51" t="n">
        <v>300</v>
      </c>
      <c r="GX19" s="51" t="n"/>
      <c r="GY19" s="49" t="n">
        <v>0</v>
      </c>
      <c r="GZ19" s="35" t="n"/>
      <c r="HA19" s="51" t="n">
        <v>300</v>
      </c>
      <c r="HB19" s="53" t="n"/>
      <c r="HC19" s="380" t="n">
        <v>0</v>
      </c>
      <c r="HD19" s="35" t="n"/>
      <c r="HE19" s="379">
        <f>FI19+FM19+FQ19+FU19+FY19+GC19+GG19+GK19+GO19+GS19+GW19+HA19</f>
        <v/>
      </c>
      <c r="HF19" s="379">
        <f>HE19*$I19</f>
        <v/>
      </c>
      <c r="HG19" s="51" t="n">
        <v>300</v>
      </c>
      <c r="HH19" s="35" t="n"/>
      <c r="HI19" s="44" t="n">
        <v>0</v>
      </c>
      <c r="HJ19" s="35" t="n"/>
      <c r="HK19" s="51" t="n">
        <v>700</v>
      </c>
      <c r="HL19" s="35" t="n"/>
      <c r="HM19" s="44" t="n">
        <v>0</v>
      </c>
      <c r="HN19" s="35" t="n"/>
      <c r="HO19" s="51" t="n">
        <v>700</v>
      </c>
      <c r="HP19" s="46" t="n"/>
      <c r="HQ19" s="44" t="n">
        <v>0</v>
      </c>
      <c r="HR19" s="35" t="n"/>
      <c r="HS19" s="51" t="n">
        <v>700</v>
      </c>
      <c r="HT19" s="35" t="n"/>
      <c r="HU19" s="44" t="n">
        <v>0</v>
      </c>
      <c r="HV19" s="36" t="n"/>
      <c r="HW19" s="51" t="n">
        <v>700</v>
      </c>
      <c r="HX19" s="35" t="n"/>
      <c r="HY19" s="44" t="n">
        <v>0</v>
      </c>
      <c r="HZ19" s="36" t="n"/>
      <c r="IA19" s="51" t="n">
        <v>700</v>
      </c>
      <c r="IB19" s="35" t="n"/>
      <c r="IC19" s="44" t="n">
        <v>0</v>
      </c>
      <c r="ID19" s="35" t="n"/>
      <c r="IE19" s="51" t="n">
        <v>700</v>
      </c>
      <c r="IF19" s="35" t="n"/>
      <c r="IG19" s="44" t="n">
        <v>0</v>
      </c>
      <c r="IH19" s="35" t="n"/>
      <c r="II19" s="51" t="n">
        <v>800</v>
      </c>
      <c r="IJ19" s="35" t="n"/>
      <c r="IK19" s="44" t="n">
        <v>0</v>
      </c>
      <c r="IL19" s="35" t="n"/>
      <c r="IM19" s="51" t="n">
        <v>800</v>
      </c>
      <c r="IN19" s="35" t="n"/>
      <c r="IO19" s="44" t="n">
        <v>0</v>
      </c>
      <c r="IP19" s="35" t="n"/>
      <c r="IQ19" s="51" t="n">
        <v>800</v>
      </c>
      <c r="IR19" s="35" t="n"/>
      <c r="IS19" s="44" t="n">
        <v>0</v>
      </c>
      <c r="IT19" s="35" t="n"/>
      <c r="IU19" s="51" t="n">
        <v>800</v>
      </c>
      <c r="IV19" s="53" t="n"/>
      <c r="IW19" s="49" t="n">
        <v>0</v>
      </c>
      <c r="IX19" s="35" t="n"/>
      <c r="IY19" s="51" t="n">
        <v>800</v>
      </c>
      <c r="IZ19" s="53" t="n"/>
      <c r="JA19" s="380" t="n">
        <v>0</v>
      </c>
      <c r="JB19" s="35" t="n"/>
      <c r="JC19" s="381">
        <f>HG19+HK19+HO19+HS19+HW19+IA19+IE19+II19+IM19+IQ19+IU19+IY19</f>
        <v/>
      </c>
      <c r="JD19" s="381">
        <f>JC19*$I19</f>
        <v/>
      </c>
    </row>
    <row r="20" ht="12.75" customFormat="1" customHeight="1" s="64">
      <c r="A20" s="382" t="n"/>
      <c r="B20" s="382" t="n"/>
      <c r="C20" s="382" t="n"/>
      <c r="D20" s="382" t="n"/>
      <c r="E20" s="25" t="n">
        <v>15</v>
      </c>
      <c r="F20" s="65" t="n">
        <v>1</v>
      </c>
      <c r="G20" s="66" t="n">
        <v>4491731500</v>
      </c>
      <c r="H20" s="67" t="inlineStr">
        <is>
          <t>Кабель питания для п/п 15 м</t>
        </is>
      </c>
      <c r="I20" s="68" t="n">
        <v>860.87</v>
      </c>
      <c r="J20" s="69" t="n">
        <v>860.87</v>
      </c>
      <c r="K20" s="69" t="n">
        <v>860.87</v>
      </c>
      <c r="L20" s="69" t="n">
        <v>860.87</v>
      </c>
      <c r="M20" s="69" t="n"/>
      <c r="N20" s="69" t="n"/>
      <c r="O20" s="70" t="n"/>
      <c r="P20" s="71" t="n"/>
      <c r="Q20" s="72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4" t="n"/>
      <c r="AC20" s="73" t="n"/>
      <c r="AD20" s="75" t="n"/>
      <c r="AE20" s="73" t="n"/>
      <c r="AF20" s="76" t="n"/>
      <c r="AG20" s="73" t="n"/>
      <c r="AH20" s="75" t="n"/>
      <c r="AI20" s="77" t="n"/>
      <c r="AJ20" s="78" t="n"/>
      <c r="AK20" s="73" t="n"/>
      <c r="AL20" s="73" t="n"/>
      <c r="AM20" s="77" t="n"/>
      <c r="AN20" s="77" t="n"/>
      <c r="AO20" s="73" t="n"/>
      <c r="AP20" s="73" t="n"/>
      <c r="AQ20" s="77" t="n"/>
      <c r="AR20" s="79" t="n"/>
      <c r="AS20" s="73" t="n"/>
      <c r="AT20" s="73" t="n"/>
      <c r="AU20" s="77" t="n"/>
      <c r="AV20" s="77" t="n"/>
      <c r="AW20" s="73" t="n"/>
      <c r="AX20" s="73" t="n"/>
      <c r="AY20" s="70" t="n"/>
      <c r="AZ20" s="80" t="n"/>
      <c r="BA20" s="32" t="n">
        <v>32</v>
      </c>
      <c r="BB20" s="81" t="inlineStr">
        <is>
          <t>новый артикул, вставьте цену</t>
        </is>
      </c>
      <c r="BC20" s="30" t="n"/>
      <c r="BD20" s="31" t="n"/>
      <c r="BE20" s="40" t="n">
        <v>0</v>
      </c>
      <c r="BF20" s="34" t="n"/>
      <c r="BG20" s="41" t="n"/>
      <c r="BH20" s="31" t="n">
        <v>0</v>
      </c>
      <c r="BI20" s="42" t="n">
        <v>0</v>
      </c>
      <c r="BJ20" s="34" t="n"/>
      <c r="BK20" s="381" t="n"/>
      <c r="BL20" s="381" t="n"/>
      <c r="BM20" s="41" t="n"/>
      <c r="BN20" s="35" t="n">
        <v>0</v>
      </c>
      <c r="BO20" s="44" t="n">
        <v>0</v>
      </c>
      <c r="BP20" s="35" t="n"/>
      <c r="BQ20" s="45" t="n"/>
      <c r="BR20" s="82" t="n">
        <v>0</v>
      </c>
      <c r="BS20" s="44" t="n">
        <v>0</v>
      </c>
      <c r="BT20" s="35" t="n"/>
      <c r="BU20" s="45" t="n"/>
      <c r="BV20" s="46" t="n">
        <v>0</v>
      </c>
      <c r="BW20" s="44" t="n"/>
      <c r="BX20" s="35" t="n"/>
      <c r="BY20" s="45" t="n"/>
      <c r="BZ20" s="82" t="n">
        <v>0</v>
      </c>
      <c r="CA20" s="44" t="n">
        <v>0</v>
      </c>
      <c r="CB20" s="36" t="inlineStr">
        <is>
          <t> </t>
        </is>
      </c>
      <c r="CC20" s="45" t="n"/>
      <c r="CD20" s="82" t="n">
        <v>0</v>
      </c>
      <c r="CE20" s="32" t="n">
        <v>0</v>
      </c>
      <c r="CF20" s="36" t="n"/>
      <c r="CG20" s="41" t="n"/>
      <c r="CH20" s="82" t="n">
        <v>0</v>
      </c>
      <c r="CI20" s="32" t="n">
        <v>0</v>
      </c>
      <c r="CJ20" s="31" t="n"/>
      <c r="CK20" s="41" t="n"/>
      <c r="CL20" s="52" t="n">
        <v>0</v>
      </c>
      <c r="CM20" s="44" t="n">
        <v>0</v>
      </c>
      <c r="CN20" s="35" t="n"/>
      <c r="CO20" s="45" t="n"/>
      <c r="CP20" s="82" t="n">
        <v>0</v>
      </c>
      <c r="CQ20" s="44" t="n"/>
      <c r="CR20" s="35" t="n"/>
      <c r="CS20" s="45" t="n"/>
      <c r="CT20" s="82" t="n">
        <v>0</v>
      </c>
      <c r="CU20" s="44" t="n">
        <v>0</v>
      </c>
      <c r="CV20" s="35" t="n"/>
      <c r="CW20" s="45" t="n"/>
      <c r="CX20" s="279" t="n">
        <v>0</v>
      </c>
      <c r="CY20" s="44" t="n">
        <v>0</v>
      </c>
      <c r="CZ20" s="35" t="n"/>
      <c r="DA20" s="45" t="n"/>
      <c r="DB20" s="279" t="n">
        <v>0</v>
      </c>
      <c r="DC20" s="155" t="n"/>
      <c r="DD20" s="35" t="n"/>
      <c r="DE20" s="45" t="n"/>
      <c r="DF20" s="279" t="n">
        <v>0</v>
      </c>
      <c r="DG20" s="380" t="n"/>
      <c r="DH20" s="35" t="n"/>
      <c r="DI20" s="379">
        <f>BM20+BQ20+BU20+BY20+CC20+CG20+CK20+CO20+CS20+CW20+DA20+DE20</f>
        <v/>
      </c>
      <c r="DJ20" s="379">
        <f>DI20*$I20</f>
        <v/>
      </c>
      <c r="DK20" s="82" t="n">
        <v>0</v>
      </c>
      <c r="DL20" s="35" t="n"/>
      <c r="DM20" s="44" t="n"/>
      <c r="DN20" s="35" t="n"/>
      <c r="DO20" s="82" t="n">
        <v>0</v>
      </c>
      <c r="DP20" s="35" t="n"/>
      <c r="DQ20" s="44" t="n"/>
      <c r="DR20" s="35" t="n"/>
      <c r="DS20" s="82" t="n">
        <v>0</v>
      </c>
      <c r="DT20" s="35" t="n"/>
      <c r="DU20" s="44" t="n"/>
      <c r="DV20" s="35" t="n"/>
      <c r="DW20" s="82" t="n">
        <v>0</v>
      </c>
      <c r="DX20" s="35" t="n">
        <v>0</v>
      </c>
      <c r="DY20" s="44" t="n"/>
      <c r="DZ20" s="36" t="n"/>
      <c r="EA20" s="82" t="n">
        <v>0</v>
      </c>
      <c r="EB20" s="35" t="n">
        <v>0</v>
      </c>
      <c r="EC20" s="44" t="n">
        <v>0</v>
      </c>
      <c r="ED20" s="36" t="n"/>
      <c r="EE20" s="82" t="n">
        <v>0</v>
      </c>
      <c r="EF20" s="35" t="n">
        <v>0</v>
      </c>
      <c r="EG20" s="44" t="n"/>
      <c r="EH20" s="35" t="n"/>
      <c r="EI20" s="82" t="n">
        <v>0</v>
      </c>
      <c r="EJ20" s="35" t="n">
        <v>0</v>
      </c>
      <c r="EK20" s="44" t="n"/>
      <c r="EL20" s="35" t="n"/>
      <c r="EM20" s="82" t="n">
        <v>0</v>
      </c>
      <c r="EN20" s="35" t="n">
        <v>0</v>
      </c>
      <c r="EO20" s="44" t="n"/>
      <c r="EP20" s="35" t="n"/>
      <c r="EQ20" s="82" t="n">
        <v>0</v>
      </c>
      <c r="ER20" s="91" t="n">
        <v>0</v>
      </c>
      <c r="ES20" s="44" t="n"/>
      <c r="ET20" s="35" t="n"/>
      <c r="EU20" s="82" t="n">
        <v>0</v>
      </c>
      <c r="EV20" s="91" t="n">
        <v>0</v>
      </c>
      <c r="EW20" s="44" t="n"/>
      <c r="EX20" s="35" t="n"/>
      <c r="EY20" s="82" t="n">
        <v>0</v>
      </c>
      <c r="EZ20" s="53" t="n">
        <v>0</v>
      </c>
      <c r="FA20" s="288" t="n"/>
      <c r="FB20" s="35" t="n"/>
      <c r="FC20" s="82" t="n">
        <v>0</v>
      </c>
      <c r="FD20" s="92" t="n">
        <v>0</v>
      </c>
      <c r="FE20" s="380" t="n"/>
      <c r="FF20" s="35" t="n"/>
      <c r="FG20" s="379">
        <f>DK20+DO20+DS20+DW20+EA20+EE20+EI20+EM20+EQ20+EU20+EY20+FC20</f>
        <v/>
      </c>
      <c r="FH20" s="379">
        <f>FG20*$I20</f>
        <v/>
      </c>
      <c r="FI20" s="82" t="n">
        <v>0</v>
      </c>
      <c r="FJ20" s="35" t="n"/>
      <c r="FK20" s="44" t="n"/>
      <c r="FL20" s="35" t="n"/>
      <c r="FM20" s="51" t="n">
        <v>0</v>
      </c>
      <c r="FN20" s="82" t="n"/>
      <c r="FO20" s="44" t="n"/>
      <c r="FP20" s="35" t="n"/>
      <c r="FQ20" s="51" t="n">
        <v>0</v>
      </c>
      <c r="FR20" s="46" t="n"/>
      <c r="FS20" s="44" t="n"/>
      <c r="FT20" s="35" t="n"/>
      <c r="FU20" s="51" t="n">
        <v>0</v>
      </c>
      <c r="FV20" s="82" t="n"/>
      <c r="FW20" s="44" t="n"/>
      <c r="FX20" s="36" t="n"/>
      <c r="FY20" s="51" t="n">
        <v>0</v>
      </c>
      <c r="FZ20" s="82" t="n"/>
      <c r="GA20" s="44" t="n"/>
      <c r="GB20" s="36" t="n"/>
      <c r="GC20" s="51" t="n">
        <v>0</v>
      </c>
      <c r="GD20" s="82" t="n"/>
      <c r="GE20" s="44" t="n"/>
      <c r="GF20" s="35" t="n"/>
      <c r="GG20" s="51" t="n">
        <v>0</v>
      </c>
      <c r="GH20" s="82" t="n"/>
      <c r="GI20" s="44" t="n"/>
      <c r="GJ20" s="35" t="n"/>
      <c r="GK20" s="51" t="n">
        <v>0</v>
      </c>
      <c r="GL20" s="82" t="n"/>
      <c r="GM20" s="44" t="n"/>
      <c r="GN20" s="35" t="n"/>
      <c r="GO20" s="51" t="n">
        <v>0</v>
      </c>
      <c r="GP20" s="35" t="n"/>
      <c r="GQ20" s="44" t="n"/>
      <c r="GR20" s="35" t="n"/>
      <c r="GS20" s="51" t="n">
        <v>0</v>
      </c>
      <c r="GT20" s="35" t="n"/>
      <c r="GU20" s="44" t="n"/>
      <c r="GV20" s="35" t="n"/>
      <c r="GW20" s="51" t="n">
        <v>0</v>
      </c>
      <c r="GX20" s="51" t="n"/>
      <c r="GY20" s="49" t="n"/>
      <c r="GZ20" s="35" t="n"/>
      <c r="HA20" s="51" t="n">
        <v>0</v>
      </c>
      <c r="HB20" s="53" t="n"/>
      <c r="HC20" s="380" t="n"/>
      <c r="HD20" s="35" t="n"/>
      <c r="HE20" s="379">
        <f>FI20+FM20+FQ20+FU20+FY20+GC20+GG20+GK20+GO20+GS20+GW20+HA20</f>
        <v/>
      </c>
      <c r="HF20" s="379">
        <f>HE20*$I20</f>
        <v/>
      </c>
      <c r="HG20" s="51" t="n">
        <v>0</v>
      </c>
      <c r="HH20" s="35" t="n"/>
      <c r="HI20" s="44" t="n"/>
      <c r="HJ20" s="35" t="n"/>
      <c r="HK20" s="51" t="n">
        <v>0</v>
      </c>
      <c r="HL20" s="82" t="n"/>
      <c r="HM20" s="44" t="n"/>
      <c r="HN20" s="35" t="n"/>
      <c r="HO20" s="51" t="n">
        <v>0</v>
      </c>
      <c r="HP20" s="46" t="n"/>
      <c r="HQ20" s="44" t="n"/>
      <c r="HR20" s="35" t="n"/>
      <c r="HS20" s="51" t="n">
        <v>0</v>
      </c>
      <c r="HT20" s="82" t="n"/>
      <c r="HU20" s="44" t="n"/>
      <c r="HV20" s="36" t="n"/>
      <c r="HW20" s="51" t="n">
        <v>0</v>
      </c>
      <c r="HX20" s="82" t="n"/>
      <c r="HY20" s="44" t="n"/>
      <c r="HZ20" s="36" t="n"/>
      <c r="IA20" s="51" t="n">
        <v>0</v>
      </c>
      <c r="IB20" s="82" t="n"/>
      <c r="IC20" s="44" t="n"/>
      <c r="ID20" s="35" t="n"/>
      <c r="IE20" s="51" t="n">
        <v>0</v>
      </c>
      <c r="IF20" s="82" t="n"/>
      <c r="IG20" s="44" t="n"/>
      <c r="IH20" s="35" t="n"/>
      <c r="II20" s="51" t="n">
        <v>0</v>
      </c>
      <c r="IJ20" s="82" t="n"/>
      <c r="IK20" s="44" t="n"/>
      <c r="IL20" s="35" t="n"/>
      <c r="IM20" s="51" t="n">
        <v>0</v>
      </c>
      <c r="IN20" s="35" t="n"/>
      <c r="IO20" s="44" t="n"/>
      <c r="IP20" s="35" t="n"/>
      <c r="IQ20" s="51" t="n">
        <v>0</v>
      </c>
      <c r="IR20" s="35" t="n"/>
      <c r="IS20" s="44" t="n"/>
      <c r="IT20" s="35" t="n"/>
      <c r="IU20" s="51" t="n">
        <v>0</v>
      </c>
      <c r="IV20" s="53" t="n"/>
      <c r="IW20" s="49" t="n"/>
      <c r="IX20" s="35" t="n"/>
      <c r="IY20" s="51" t="n">
        <v>0</v>
      </c>
      <c r="IZ20" s="53" t="n"/>
      <c r="JA20" s="380" t="n"/>
      <c r="JB20" s="35" t="n"/>
      <c r="JC20" s="381">
        <f>HG20+HK20+HO20+HS20+HW20+IA20+IE20+II20+IM20+IQ20+IU20+IY20</f>
        <v/>
      </c>
      <c r="JD20" s="381">
        <f>JC20*$I20</f>
        <v/>
      </c>
    </row>
    <row r="21" ht="12.75" customFormat="1" customHeight="1" s="64">
      <c r="A21" s="382" t="n"/>
      <c r="B21" s="382" t="n"/>
      <c r="C21" s="382" t="n"/>
      <c r="D21" s="382" t="n"/>
      <c r="E21" s="25" t="n">
        <v>16</v>
      </c>
      <c r="F21" s="65" t="n">
        <v>1</v>
      </c>
      <c r="G21" s="83" t="n">
        <v>9730110000</v>
      </c>
      <c r="H21" s="67" t="inlineStr">
        <is>
          <t>Ускорительный клапан</t>
        </is>
      </c>
      <c r="I21" s="84" t="n"/>
      <c r="J21" s="85" t="n">
        <v>117.5</v>
      </c>
      <c r="K21" s="85" t="n">
        <v>117.5</v>
      </c>
      <c r="L21" s="85" t="n">
        <v>117.5</v>
      </c>
      <c r="M21" s="85" t="n"/>
      <c r="N21" s="85" t="n"/>
      <c r="O21" s="70" t="n"/>
      <c r="P21" s="71" t="n"/>
      <c r="Q21" s="72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4" t="n"/>
      <c r="AC21" s="73" t="n"/>
      <c r="AD21" s="75" t="n"/>
      <c r="AE21" s="73" t="n"/>
      <c r="AF21" s="76" t="n"/>
      <c r="AG21" s="73" t="n"/>
      <c r="AH21" s="75" t="n"/>
      <c r="AI21" s="77" t="n"/>
      <c r="AJ21" s="78" t="n"/>
      <c r="AK21" s="73" t="n"/>
      <c r="AL21" s="73" t="n"/>
      <c r="AM21" s="77" t="n"/>
      <c r="AN21" s="77" t="n"/>
      <c r="AO21" s="73" t="n"/>
      <c r="AP21" s="73" t="n"/>
      <c r="AQ21" s="77" t="n"/>
      <c r="AR21" s="79" t="n"/>
      <c r="AS21" s="73" t="n"/>
      <c r="AT21" s="73" t="n"/>
      <c r="AU21" s="77" t="n"/>
      <c r="AV21" s="77" t="n"/>
      <c r="AW21" s="73" t="n"/>
      <c r="AX21" s="73" t="n"/>
      <c r="AY21" s="70" t="n"/>
      <c r="AZ21" s="80" t="n"/>
      <c r="BA21" s="32" t="n"/>
      <c r="BB21" s="81" t="n"/>
      <c r="BC21" s="30" t="n"/>
      <c r="BD21" s="86" t="n"/>
      <c r="BE21" s="87" t="n"/>
      <c r="BF21" s="34" t="n"/>
      <c r="BG21" s="41" t="n"/>
      <c r="BH21" s="88" t="n">
        <v>0</v>
      </c>
      <c r="BI21" s="42" t="n">
        <v>0</v>
      </c>
      <c r="BJ21" s="34" t="n"/>
      <c r="BK21" s="381" t="n"/>
      <c r="BL21" s="381" t="n"/>
      <c r="BM21" s="41" t="n"/>
      <c r="BN21" s="35" t="n">
        <v>0</v>
      </c>
      <c r="BO21" s="44" t="n">
        <v>0</v>
      </c>
      <c r="BP21" s="35" t="n"/>
      <c r="BQ21" s="45" t="n"/>
      <c r="BR21" s="82" t="n">
        <v>0</v>
      </c>
      <c r="BS21" s="44" t="n">
        <v>0</v>
      </c>
      <c r="BT21" s="35" t="n"/>
      <c r="BU21" s="45" t="n"/>
      <c r="BV21" s="46" t="n">
        <v>0</v>
      </c>
      <c r="BW21" s="44" t="n"/>
      <c r="BX21" s="35" t="n"/>
      <c r="BY21" s="45" t="n"/>
      <c r="BZ21" s="82" t="n">
        <v>0</v>
      </c>
      <c r="CA21" s="44" t="n">
        <v>0</v>
      </c>
      <c r="CB21" s="36" t="n"/>
      <c r="CC21" s="45" t="n"/>
      <c r="CD21" s="82" t="n">
        <v>0</v>
      </c>
      <c r="CE21" s="32" t="n">
        <v>0</v>
      </c>
      <c r="CF21" s="36" t="n"/>
      <c r="CG21" s="41" t="n"/>
      <c r="CH21" s="82" t="n">
        <v>0</v>
      </c>
      <c r="CI21" s="32" t="n">
        <v>0</v>
      </c>
      <c r="CJ21" s="31" t="n"/>
      <c r="CK21" s="41" t="n"/>
      <c r="CL21" s="52" t="n">
        <v>0</v>
      </c>
      <c r="CM21" s="44" t="n">
        <v>0</v>
      </c>
      <c r="CN21" s="35" t="n"/>
      <c r="CO21" s="45" t="n"/>
      <c r="CP21" s="89" t="n">
        <v>0</v>
      </c>
      <c r="CQ21" s="44" t="n"/>
      <c r="CR21" s="35" t="n"/>
      <c r="CS21" s="45" t="n"/>
      <c r="CT21" s="89" t="n">
        <v>0</v>
      </c>
      <c r="CU21" s="44" t="n">
        <v>0</v>
      </c>
      <c r="CV21" s="35" t="n"/>
      <c r="CW21" s="45" t="n"/>
      <c r="CX21" s="280" t="n">
        <v>0</v>
      </c>
      <c r="CY21" s="44" t="n">
        <v>0</v>
      </c>
      <c r="CZ21" s="35" t="n"/>
      <c r="DA21" s="45" t="n"/>
      <c r="DB21" s="280" t="n">
        <v>0</v>
      </c>
      <c r="DC21" s="284" t="n"/>
      <c r="DD21" s="35" t="n"/>
      <c r="DE21" s="45" t="n"/>
      <c r="DF21" s="280" t="n">
        <v>0</v>
      </c>
      <c r="DG21" s="380" t="n"/>
      <c r="DH21" s="35" t="n"/>
      <c r="DI21" s="379">
        <f>BM21+BQ21+BU21+BY21+CC21+CG21+CK21+CO21+CS21+CW21+DA21+DE21</f>
        <v/>
      </c>
      <c r="DJ21" s="379" t="n"/>
      <c r="DK21" s="82" t="n">
        <v>0</v>
      </c>
      <c r="DL21" s="35" t="n"/>
      <c r="DM21" s="44" t="n"/>
      <c r="DN21" s="35" t="n"/>
      <c r="DO21" s="82" t="n">
        <v>0</v>
      </c>
      <c r="DP21" s="35" t="n"/>
      <c r="DQ21" s="44" t="n"/>
      <c r="DR21" s="35" t="n"/>
      <c r="DS21" s="82" t="n">
        <v>0</v>
      </c>
      <c r="DT21" s="35" t="n"/>
      <c r="DU21" s="44" t="n"/>
      <c r="DV21" s="35" t="n"/>
      <c r="DW21" s="82" t="n">
        <v>0</v>
      </c>
      <c r="DX21" s="35" t="n">
        <v>0</v>
      </c>
      <c r="DY21" s="44" t="n"/>
      <c r="DZ21" s="36" t="n"/>
      <c r="EA21" s="82" t="n">
        <v>0</v>
      </c>
      <c r="EB21" s="35" t="n">
        <v>0</v>
      </c>
      <c r="EC21" s="44" t="n">
        <v>0</v>
      </c>
      <c r="ED21" s="36" t="n"/>
      <c r="EE21" s="82" t="n">
        <v>35</v>
      </c>
      <c r="EF21" s="35" t="n">
        <v>35</v>
      </c>
      <c r="EG21" s="44" t="n">
        <v>0</v>
      </c>
      <c r="EH21" s="35" t="n"/>
      <c r="EI21" s="82" t="n">
        <v>35</v>
      </c>
      <c r="EJ21" s="35" t="n">
        <v>35</v>
      </c>
      <c r="EK21" s="44" t="n">
        <v>0</v>
      </c>
      <c r="EL21" s="35" t="n"/>
      <c r="EM21" s="82" t="n">
        <v>35</v>
      </c>
      <c r="EN21" s="35" t="n">
        <v>35</v>
      </c>
      <c r="EO21" s="44" t="n">
        <v>0</v>
      </c>
      <c r="EP21" s="35" t="n"/>
      <c r="EQ21" s="82" t="n">
        <v>35</v>
      </c>
      <c r="ER21" s="91" t="n">
        <v>35</v>
      </c>
      <c r="ES21" s="44" t="n">
        <v>0</v>
      </c>
      <c r="ET21" s="35" t="n"/>
      <c r="EU21" s="82" t="n">
        <v>100</v>
      </c>
      <c r="EV21" s="91" t="n">
        <v>100</v>
      </c>
      <c r="EW21" s="44" t="n">
        <v>0</v>
      </c>
      <c r="EX21" s="35" t="n"/>
      <c r="EY21" s="82" t="n">
        <v>100</v>
      </c>
      <c r="EZ21" s="53" t="n">
        <v>100</v>
      </c>
      <c r="FA21" s="288" t="n">
        <v>0</v>
      </c>
      <c r="FB21" s="35" t="n"/>
      <c r="FC21" s="82" t="n">
        <v>100</v>
      </c>
      <c r="FD21" s="92" t="n">
        <v>100</v>
      </c>
      <c r="FE21" s="380" t="n">
        <v>0</v>
      </c>
      <c r="FF21" s="35" t="n"/>
      <c r="FG21" s="379">
        <f>DK21+DO21+DS21+DW21+EA21+EE21+EI21+EM21+EQ21+EU21+EY21+FC21</f>
        <v/>
      </c>
      <c r="FH21" s="379" t="n"/>
      <c r="FI21" s="52" t="n">
        <v>100</v>
      </c>
      <c r="FJ21" s="35" t="n"/>
      <c r="FK21" s="44" t="n">
        <v>0</v>
      </c>
      <c r="FL21" s="35" t="n"/>
      <c r="FM21" s="51" t="n">
        <v>200</v>
      </c>
      <c r="FN21" s="82" t="n"/>
      <c r="FO21" s="44" t="n">
        <v>0</v>
      </c>
      <c r="FP21" s="35" t="n"/>
      <c r="FQ21" s="51" t="n">
        <v>200</v>
      </c>
      <c r="FR21" s="46" t="n"/>
      <c r="FS21" s="44" t="n">
        <v>0</v>
      </c>
      <c r="FT21" s="35" t="n"/>
      <c r="FU21" s="51" t="n">
        <v>200</v>
      </c>
      <c r="FV21" s="82" t="n"/>
      <c r="FW21" s="44" t="n">
        <v>0</v>
      </c>
      <c r="FX21" s="36" t="n"/>
      <c r="FY21" s="51" t="n">
        <v>200</v>
      </c>
      <c r="FZ21" s="52" t="n"/>
      <c r="GA21" s="44" t="n">
        <v>0</v>
      </c>
      <c r="GB21" s="36" t="n"/>
      <c r="GC21" s="51" t="n">
        <v>300</v>
      </c>
      <c r="GD21" s="52" t="n"/>
      <c r="GE21" s="44" t="n">
        <v>0</v>
      </c>
      <c r="GF21" s="35" t="n"/>
      <c r="GG21" s="51" t="n">
        <v>300</v>
      </c>
      <c r="GH21" s="52" t="n"/>
      <c r="GI21" s="44" t="n">
        <v>0</v>
      </c>
      <c r="GJ21" s="35" t="n"/>
      <c r="GK21" s="51" t="n">
        <v>300</v>
      </c>
      <c r="GL21" s="52" t="n"/>
      <c r="GM21" s="44" t="n">
        <v>0</v>
      </c>
      <c r="GN21" s="35" t="n"/>
      <c r="GO21" s="51" t="n">
        <v>300</v>
      </c>
      <c r="GP21" s="91" t="n"/>
      <c r="GQ21" s="44" t="n">
        <v>0</v>
      </c>
      <c r="GR21" s="35" t="n"/>
      <c r="GS21" s="51" t="n">
        <v>300</v>
      </c>
      <c r="GT21" s="91" t="n"/>
      <c r="GU21" s="44" t="n">
        <v>0</v>
      </c>
      <c r="GV21" s="35" t="n"/>
      <c r="GW21" s="51" t="n">
        <v>300</v>
      </c>
      <c r="GX21" s="51" t="n"/>
      <c r="GY21" s="90" t="n">
        <v>0</v>
      </c>
      <c r="GZ21" s="35" t="n"/>
      <c r="HA21" s="51" t="n">
        <v>300</v>
      </c>
      <c r="HB21" s="92" t="n"/>
      <c r="HC21" s="380" t="n">
        <v>0</v>
      </c>
      <c r="HD21" s="35" t="n"/>
      <c r="HE21" s="379">
        <f>FI21+FM21+FQ21+FU21+FY21+GC21+GG21+GK21+GO21+GS21+GW21+HA21</f>
        <v/>
      </c>
      <c r="HF21" s="379" t="n"/>
      <c r="HG21" s="51" t="n">
        <v>300</v>
      </c>
      <c r="HH21" s="35" t="n"/>
      <c r="HI21" s="44" t="n">
        <v>0</v>
      </c>
      <c r="HJ21" s="35" t="n"/>
      <c r="HK21" s="51" t="n">
        <v>350</v>
      </c>
      <c r="HL21" s="82" t="n"/>
      <c r="HM21" s="44" t="n">
        <v>0</v>
      </c>
      <c r="HN21" s="35" t="n"/>
      <c r="HO21" s="51" t="n">
        <v>350</v>
      </c>
      <c r="HP21" s="46" t="n"/>
      <c r="HQ21" s="44" t="n">
        <v>0</v>
      </c>
      <c r="HR21" s="35" t="n"/>
      <c r="HS21" s="51" t="n">
        <v>350</v>
      </c>
      <c r="HT21" s="82" t="n"/>
      <c r="HU21" s="44" t="n">
        <v>0</v>
      </c>
      <c r="HV21" s="36" t="n"/>
      <c r="HW21" s="51" t="n">
        <v>350</v>
      </c>
      <c r="HX21" s="52" t="n"/>
      <c r="HY21" s="44" t="n">
        <v>0</v>
      </c>
      <c r="HZ21" s="36" t="n"/>
      <c r="IA21" s="51" t="n">
        <v>350</v>
      </c>
      <c r="IB21" s="52" t="n"/>
      <c r="IC21" s="44" t="n">
        <v>0</v>
      </c>
      <c r="ID21" s="35" t="n"/>
      <c r="IE21" s="51" t="n">
        <v>350</v>
      </c>
      <c r="IF21" s="52" t="n"/>
      <c r="IG21" s="44" t="n">
        <v>0</v>
      </c>
      <c r="IH21" s="35" t="n"/>
      <c r="II21" s="51" t="n">
        <v>400</v>
      </c>
      <c r="IJ21" s="52" t="n"/>
      <c r="IK21" s="44" t="n">
        <v>0</v>
      </c>
      <c r="IL21" s="35" t="n"/>
      <c r="IM21" s="51" t="n">
        <v>400</v>
      </c>
      <c r="IN21" s="91" t="n"/>
      <c r="IO21" s="44" t="n">
        <v>0</v>
      </c>
      <c r="IP21" s="35" t="n"/>
      <c r="IQ21" s="51" t="n">
        <v>400</v>
      </c>
      <c r="IR21" s="91" t="n"/>
      <c r="IS21" s="44" t="n">
        <v>0</v>
      </c>
      <c r="IT21" s="35" t="n"/>
      <c r="IU21" s="51" t="n">
        <v>400</v>
      </c>
      <c r="IV21" s="53" t="n"/>
      <c r="IW21" s="90" t="n">
        <v>0</v>
      </c>
      <c r="IX21" s="35" t="n"/>
      <c r="IY21" s="51" t="n">
        <v>400</v>
      </c>
      <c r="IZ21" s="92" t="n"/>
      <c r="JA21" s="380" t="n">
        <v>0</v>
      </c>
      <c r="JB21" s="35" t="n"/>
      <c r="JC21" s="381">
        <f>HG21+HK21+HO21+HS21+HW21+IA21+IE21+II21+IM21+IQ21+IU21+IY21</f>
        <v/>
      </c>
      <c r="JD21" s="381" t="n"/>
    </row>
    <row r="22" ht="12.75" customFormat="1" customHeight="1" s="64">
      <c r="A22" s="232" t="n"/>
      <c r="B22" s="232" t="n"/>
      <c r="C22" s="232" t="n"/>
      <c r="D22" s="232" t="n"/>
      <c r="E22" s="25" t="n">
        <v>17</v>
      </c>
      <c r="F22" s="65" t="n">
        <v>1</v>
      </c>
      <c r="G22" s="83" t="n">
        <v>4750103050</v>
      </c>
      <c r="H22" s="67" t="inlineStr">
        <is>
          <t>Клапан ограничения давления</t>
        </is>
      </c>
      <c r="I22" s="84" t="n"/>
      <c r="J22" s="85" t="n">
        <v>61.39</v>
      </c>
      <c r="K22" s="85" t="n">
        <v>61.39</v>
      </c>
      <c r="L22" s="85" t="n">
        <v>61.39</v>
      </c>
      <c r="M22" s="85" t="n"/>
      <c r="N22" s="85" t="n"/>
      <c r="O22" s="70" t="n"/>
      <c r="P22" s="71" t="n"/>
      <c r="Q22" s="72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4" t="n"/>
      <c r="AC22" s="73" t="n"/>
      <c r="AD22" s="75" t="n"/>
      <c r="AE22" s="73" t="n"/>
      <c r="AF22" s="76" t="n"/>
      <c r="AG22" s="73" t="n"/>
      <c r="AH22" s="75" t="n"/>
      <c r="AI22" s="77" t="n"/>
      <c r="AJ22" s="78" t="n"/>
      <c r="AK22" s="73" t="n"/>
      <c r="AL22" s="73" t="n"/>
      <c r="AM22" s="77" t="n"/>
      <c r="AN22" s="77" t="n"/>
      <c r="AO22" s="73" t="n"/>
      <c r="AP22" s="73" t="n"/>
      <c r="AQ22" s="77" t="n"/>
      <c r="AR22" s="79" t="n"/>
      <c r="AS22" s="73" t="n"/>
      <c r="AT22" s="73" t="n"/>
      <c r="AU22" s="77" t="n"/>
      <c r="AV22" s="77" t="n"/>
      <c r="AW22" s="73" t="n"/>
      <c r="AX22" s="73" t="n"/>
      <c r="AY22" s="70" t="n"/>
      <c r="AZ22" s="80" t="n"/>
      <c r="BA22" s="32" t="n"/>
      <c r="BB22" s="81" t="n"/>
      <c r="BC22" s="30" t="n"/>
      <c r="BD22" s="86" t="n"/>
      <c r="BE22" s="87" t="n"/>
      <c r="BF22" s="34" t="n"/>
      <c r="BG22" s="41" t="n"/>
      <c r="BH22" s="88" t="n">
        <v>0</v>
      </c>
      <c r="BI22" s="42" t="n">
        <v>0</v>
      </c>
      <c r="BJ22" s="34" t="n"/>
      <c r="BK22" s="381" t="n"/>
      <c r="BL22" s="381" t="n"/>
      <c r="BM22" s="41" t="n"/>
      <c r="BN22" s="35" t="n">
        <v>0</v>
      </c>
      <c r="BO22" s="44" t="n">
        <v>0</v>
      </c>
      <c r="BP22" s="35" t="n"/>
      <c r="BQ22" s="45" t="n"/>
      <c r="BR22" s="82" t="n">
        <v>0</v>
      </c>
      <c r="BS22" s="44" t="n">
        <v>0</v>
      </c>
      <c r="BT22" s="35" t="n"/>
      <c r="BU22" s="45" t="n"/>
      <c r="BV22" s="82" t="n">
        <v>0</v>
      </c>
      <c r="BW22" s="44" t="n"/>
      <c r="BX22" s="35" t="n"/>
      <c r="BY22" s="45" t="n"/>
      <c r="BZ22" s="82" t="n">
        <v>0</v>
      </c>
      <c r="CA22" s="44" t="n">
        <v>0</v>
      </c>
      <c r="CB22" s="36" t="n"/>
      <c r="CC22" s="45" t="n"/>
      <c r="CD22" s="82" t="n">
        <v>0</v>
      </c>
      <c r="CE22" s="32" t="n">
        <v>0</v>
      </c>
      <c r="CF22" s="36" t="n"/>
      <c r="CG22" s="41" t="n"/>
      <c r="CH22" s="82" t="n">
        <v>0</v>
      </c>
      <c r="CI22" s="32" t="n">
        <v>0</v>
      </c>
      <c r="CJ22" s="31" t="n"/>
      <c r="CK22" s="41" t="n"/>
      <c r="CL22" s="52" t="n">
        <v>0</v>
      </c>
      <c r="CM22" s="44" t="n">
        <v>0</v>
      </c>
      <c r="CN22" s="35" t="n"/>
      <c r="CO22" s="45" t="n"/>
      <c r="CP22" s="89" t="n">
        <v>0</v>
      </c>
      <c r="CQ22" s="44" t="n"/>
      <c r="CR22" s="35" t="n"/>
      <c r="CS22" s="45" t="n"/>
      <c r="CT22" s="89" t="n">
        <v>0</v>
      </c>
      <c r="CU22" s="44" t="n">
        <v>0</v>
      </c>
      <c r="CV22" s="35" t="n"/>
      <c r="CW22" s="45" t="n"/>
      <c r="CX22" s="280" t="n">
        <v>0</v>
      </c>
      <c r="CY22" s="44" t="n">
        <v>0</v>
      </c>
      <c r="CZ22" s="35" t="n"/>
      <c r="DA22" s="45" t="n"/>
      <c r="DB22" s="280" t="n">
        <v>0</v>
      </c>
      <c r="DC22" s="284" t="n"/>
      <c r="DD22" s="35" t="n"/>
      <c r="DE22" s="45" t="n"/>
      <c r="DF22" s="280" t="n">
        <v>0</v>
      </c>
      <c r="DG22" s="380" t="n"/>
      <c r="DH22" s="35" t="n"/>
      <c r="DI22" s="379">
        <f>BM22+BQ22+BU22+BY22+CC22+CG22+CK22+CO22+CS22+CW22+DA22+DE22</f>
        <v/>
      </c>
      <c r="DJ22" s="379" t="n"/>
      <c r="DK22" s="82" t="n">
        <v>0</v>
      </c>
      <c r="DL22" s="35" t="n"/>
      <c r="DM22" s="44" t="n"/>
      <c r="DN22" s="35" t="n"/>
      <c r="DO22" s="82" t="n">
        <v>0</v>
      </c>
      <c r="DP22" s="35" t="n"/>
      <c r="DQ22" s="44" t="n"/>
      <c r="DR22" s="35" t="n"/>
      <c r="DS22" s="82" t="n">
        <v>0</v>
      </c>
      <c r="DT22" s="35" t="n"/>
      <c r="DU22" s="44" t="n"/>
      <c r="DV22" s="35" t="n"/>
      <c r="DW22" s="82" t="n">
        <v>0</v>
      </c>
      <c r="DX22" s="35" t="n">
        <v>0</v>
      </c>
      <c r="DY22" s="44" t="n"/>
      <c r="DZ22" s="36" t="n"/>
      <c r="EA22" s="82" t="n">
        <v>0</v>
      </c>
      <c r="EB22" s="35" t="n">
        <v>0</v>
      </c>
      <c r="EC22" s="44" t="n">
        <v>0</v>
      </c>
      <c r="ED22" s="36" t="n"/>
      <c r="EE22" s="82" t="n">
        <v>35</v>
      </c>
      <c r="EF22" s="35" t="n">
        <v>35</v>
      </c>
      <c r="EG22" s="44" t="n">
        <v>0</v>
      </c>
      <c r="EH22" s="35" t="n"/>
      <c r="EI22" s="82" t="n">
        <v>35</v>
      </c>
      <c r="EJ22" s="35" t="n">
        <v>35</v>
      </c>
      <c r="EK22" s="44" t="n">
        <v>0</v>
      </c>
      <c r="EL22" s="35" t="n"/>
      <c r="EM22" s="82" t="n">
        <v>35</v>
      </c>
      <c r="EN22" s="35" t="n">
        <v>35</v>
      </c>
      <c r="EO22" s="44" t="n">
        <v>0</v>
      </c>
      <c r="EP22" s="35" t="n"/>
      <c r="EQ22" s="82" t="n">
        <v>35</v>
      </c>
      <c r="ER22" s="91" t="n">
        <v>35</v>
      </c>
      <c r="ES22" s="44" t="n">
        <v>0</v>
      </c>
      <c r="ET22" s="35" t="n"/>
      <c r="EU22" s="82" t="n">
        <v>100</v>
      </c>
      <c r="EV22" s="91" t="n">
        <v>100</v>
      </c>
      <c r="EW22" s="44" t="n">
        <v>0</v>
      </c>
      <c r="EX22" s="35" t="n"/>
      <c r="EY22" s="82" t="n">
        <v>100</v>
      </c>
      <c r="EZ22" s="53" t="n">
        <v>100</v>
      </c>
      <c r="FA22" s="288" t="n">
        <v>0</v>
      </c>
      <c r="FB22" s="35" t="n"/>
      <c r="FC22" s="82" t="n">
        <v>100</v>
      </c>
      <c r="FD22" s="92" t="n">
        <v>100</v>
      </c>
      <c r="FE22" s="380" t="n">
        <v>0</v>
      </c>
      <c r="FF22" s="35" t="n"/>
      <c r="FG22" s="379">
        <f>DK22+DO22+DS22+DW22+EA22+EE22+EI22+EM22+EQ22+EU22+EY22+FC22</f>
        <v/>
      </c>
      <c r="FH22" s="379" t="n"/>
      <c r="FI22" s="52" t="n">
        <v>100</v>
      </c>
      <c r="FJ22" s="35" t="n"/>
      <c r="FK22" s="44" t="n">
        <v>0</v>
      </c>
      <c r="FL22" s="35" t="n"/>
      <c r="FM22" s="51" t="n">
        <v>200</v>
      </c>
      <c r="FN22" s="82" t="n"/>
      <c r="FO22" s="44" t="n">
        <v>0</v>
      </c>
      <c r="FP22" s="35" t="n"/>
      <c r="FQ22" s="51" t="n">
        <v>200</v>
      </c>
      <c r="FR22" s="82" t="n"/>
      <c r="FS22" s="44" t="n">
        <v>0</v>
      </c>
      <c r="FT22" s="35" t="n"/>
      <c r="FU22" s="51" t="n">
        <v>200</v>
      </c>
      <c r="FV22" s="82" t="n"/>
      <c r="FW22" s="44" t="n">
        <v>0</v>
      </c>
      <c r="FX22" s="36" t="n"/>
      <c r="FY22" s="51" t="n">
        <v>200</v>
      </c>
      <c r="FZ22" s="52" t="n"/>
      <c r="GA22" s="44" t="n">
        <v>0</v>
      </c>
      <c r="GB22" s="36" t="n"/>
      <c r="GC22" s="51" t="n">
        <v>300</v>
      </c>
      <c r="GD22" s="52" t="n"/>
      <c r="GE22" s="44" t="n">
        <v>0</v>
      </c>
      <c r="GF22" s="35" t="n"/>
      <c r="GG22" s="51" t="n">
        <v>300</v>
      </c>
      <c r="GH22" s="52" t="n"/>
      <c r="GI22" s="44" t="n">
        <v>0</v>
      </c>
      <c r="GJ22" s="35" t="n"/>
      <c r="GK22" s="51" t="n">
        <v>300</v>
      </c>
      <c r="GL22" s="52" t="n"/>
      <c r="GM22" s="44" t="n">
        <v>0</v>
      </c>
      <c r="GN22" s="35" t="n"/>
      <c r="GO22" s="51" t="n">
        <v>300</v>
      </c>
      <c r="GP22" s="91" t="n"/>
      <c r="GQ22" s="44" t="n">
        <v>0</v>
      </c>
      <c r="GR22" s="35" t="n"/>
      <c r="GS22" s="51" t="n">
        <v>300</v>
      </c>
      <c r="GT22" s="91" t="n"/>
      <c r="GU22" s="44" t="n">
        <v>0</v>
      </c>
      <c r="GV22" s="35" t="n"/>
      <c r="GW22" s="51" t="n">
        <v>300</v>
      </c>
      <c r="GX22" s="51" t="n"/>
      <c r="GY22" s="90" t="n">
        <v>0</v>
      </c>
      <c r="GZ22" s="35" t="n"/>
      <c r="HA22" s="51" t="n">
        <v>300</v>
      </c>
      <c r="HB22" s="92" t="n"/>
      <c r="HC22" s="380" t="n">
        <v>0</v>
      </c>
      <c r="HD22" s="35" t="n"/>
      <c r="HE22" s="379">
        <f>FI22+FM22+FQ22+FU22+FY22+GC22+GG22+GK22+GO22+GS22+GW22+HA22</f>
        <v/>
      </c>
      <c r="HF22" s="379" t="n"/>
      <c r="HG22" s="51" t="n">
        <v>300</v>
      </c>
      <c r="HH22" s="35" t="n"/>
      <c r="HI22" s="44" t="n">
        <v>0</v>
      </c>
      <c r="HJ22" s="35" t="n"/>
      <c r="HK22" s="51" t="n">
        <v>350</v>
      </c>
      <c r="HL22" s="82" t="n"/>
      <c r="HM22" s="44" t="n">
        <v>0</v>
      </c>
      <c r="HN22" s="35" t="n"/>
      <c r="HO22" s="51" t="n">
        <v>350</v>
      </c>
      <c r="HP22" s="82" t="n"/>
      <c r="HQ22" s="44" t="n">
        <v>0</v>
      </c>
      <c r="HR22" s="35" t="n"/>
      <c r="HS22" s="51" t="n">
        <v>350</v>
      </c>
      <c r="HT22" s="82" t="n"/>
      <c r="HU22" s="44" t="n">
        <v>0</v>
      </c>
      <c r="HV22" s="36" t="n"/>
      <c r="HW22" s="51" t="n">
        <v>350</v>
      </c>
      <c r="HX22" s="52" t="n"/>
      <c r="HY22" s="44" t="n">
        <v>0</v>
      </c>
      <c r="HZ22" s="36" t="n"/>
      <c r="IA22" s="51" t="n">
        <v>350</v>
      </c>
      <c r="IB22" s="52" t="n"/>
      <c r="IC22" s="44" t="n">
        <v>0</v>
      </c>
      <c r="ID22" s="35" t="n"/>
      <c r="IE22" s="51" t="n">
        <v>350</v>
      </c>
      <c r="IF22" s="52" t="n"/>
      <c r="IG22" s="44" t="n">
        <v>0</v>
      </c>
      <c r="IH22" s="35" t="n"/>
      <c r="II22" s="51" t="n">
        <v>400</v>
      </c>
      <c r="IJ22" s="52" t="n"/>
      <c r="IK22" s="44" t="n">
        <v>0</v>
      </c>
      <c r="IL22" s="35" t="n"/>
      <c r="IM22" s="51" t="n">
        <v>400</v>
      </c>
      <c r="IN22" s="91" t="n"/>
      <c r="IO22" s="44" t="n">
        <v>0</v>
      </c>
      <c r="IP22" s="35" t="n"/>
      <c r="IQ22" s="51" t="n">
        <v>400</v>
      </c>
      <c r="IR22" s="91" t="n"/>
      <c r="IS22" s="44" t="n">
        <v>0</v>
      </c>
      <c r="IT22" s="35" t="n"/>
      <c r="IU22" s="51" t="n">
        <v>400</v>
      </c>
      <c r="IV22" s="53" t="n"/>
      <c r="IW22" s="90" t="n">
        <v>0</v>
      </c>
      <c r="IX22" s="35" t="n"/>
      <c r="IY22" s="51" t="n">
        <v>400</v>
      </c>
      <c r="IZ22" s="92" t="n"/>
      <c r="JA22" s="380" t="n">
        <v>0</v>
      </c>
      <c r="JB22" s="35" t="n"/>
      <c r="JC22" s="381">
        <f>HG22+HK22+HO22+HS22+HW22+IA22+IE22+II22+IM22+IQ22+IU22+IY22</f>
        <v/>
      </c>
      <c r="JD22" s="381" t="n"/>
    </row>
    <row r="23" ht="14.7" customFormat="1" customHeight="1" s="93">
      <c r="A23" s="94" t="n"/>
      <c r="B23" s="94" t="n"/>
      <c r="C23" s="94" t="n"/>
      <c r="D23" s="95" t="n"/>
      <c r="E23" s="96" t="n"/>
      <c r="F23" s="96" t="n"/>
      <c r="G23" s="97" t="n"/>
      <c r="H23" s="98" t="inlineStr">
        <is>
          <t>Итого</t>
        </is>
      </c>
      <c r="I23" s="99" t="n"/>
      <c r="J23" s="99" t="n"/>
      <c r="K23" s="99" t="n"/>
      <c r="L23" s="99" t="n"/>
      <c r="M23" s="99" t="n"/>
      <c r="N23" s="99" t="n"/>
      <c r="O23" s="70" t="n"/>
      <c r="P23" s="71" t="n"/>
      <c r="Q23" s="72" t="n"/>
      <c r="R23" s="71" t="n"/>
      <c r="S23" s="70" t="n"/>
      <c r="T23" s="71" t="n"/>
      <c r="U23" s="72" t="n"/>
      <c r="V23" s="71" t="n"/>
      <c r="W23" s="70" t="n"/>
      <c r="X23" s="71" t="n"/>
      <c r="Y23" s="72" t="n"/>
      <c r="Z23" s="71" t="n"/>
      <c r="AA23" s="70" t="n"/>
      <c r="AB23" s="71" t="n"/>
      <c r="AC23" s="32" t="n"/>
      <c r="AD23" s="100" t="n"/>
      <c r="AE23" s="70" t="n"/>
      <c r="AF23" s="101" t="n"/>
      <c r="AG23" s="72" t="n"/>
      <c r="AH23" s="71" t="n"/>
      <c r="AI23" s="102" t="n"/>
      <c r="AJ23" s="103" t="n"/>
      <c r="AK23" s="32" t="n"/>
      <c r="AL23" s="71" t="n"/>
      <c r="AM23" s="102" t="n"/>
      <c r="AN23" s="104" t="n"/>
      <c r="AO23" s="32" t="n"/>
      <c r="AP23" s="71" t="n"/>
      <c r="AQ23" s="102" t="n"/>
      <c r="AR23" s="103" t="n"/>
      <c r="AS23" s="32" t="n"/>
      <c r="AT23" s="71" t="n"/>
      <c r="AU23" s="102" t="n"/>
      <c r="AV23" s="104" t="n"/>
      <c r="AW23" s="32" t="n"/>
      <c r="AX23" s="71" t="n"/>
      <c r="AY23" s="70" t="n"/>
      <c r="AZ23" s="104" t="n"/>
      <c r="BA23" s="72" t="n"/>
      <c r="BB23" s="100" t="n"/>
      <c r="BC23" s="70" t="n"/>
      <c r="BD23" s="53" t="n"/>
      <c r="BE23" s="105" t="n"/>
      <c r="BF23" s="100" t="n"/>
      <c r="BG23" s="106" t="n"/>
      <c r="BH23" s="107" t="n"/>
      <c r="BI23" s="383" t="n"/>
      <c r="BJ23" s="100" t="n"/>
      <c r="BK23" s="384">
        <f>SUM(BK6:BK19)</f>
        <v/>
      </c>
      <c r="BL23" s="384">
        <f>SUM(BL6:BL19)</f>
        <v/>
      </c>
      <c r="BM23" s="106" t="n"/>
      <c r="BN23" s="71" t="n"/>
      <c r="BO23" s="72" t="n"/>
      <c r="BP23" s="71" t="n"/>
      <c r="BQ23" s="106" t="n"/>
      <c r="BR23" s="71" t="n"/>
      <c r="BS23" s="72" t="n"/>
      <c r="BT23" s="71" t="n"/>
      <c r="BU23" s="106" t="n"/>
      <c r="BV23" s="47" t="n"/>
      <c r="BW23" s="110" t="n"/>
      <c r="BX23" s="47" t="n"/>
      <c r="BY23" s="51" t="n"/>
      <c r="BZ23" s="47" t="n"/>
      <c r="CA23" s="44" t="n"/>
      <c r="CB23" s="111" t="n"/>
      <c r="CC23" s="51" t="n"/>
      <c r="CD23" s="112" t="n"/>
      <c r="CE23" s="72" t="n"/>
      <c r="CF23" s="71" t="n"/>
      <c r="CG23" s="113" t="n"/>
      <c r="CH23" s="103" t="n"/>
      <c r="CI23" s="32" t="n"/>
      <c r="CJ23" s="71" t="n"/>
      <c r="CK23" s="113" t="n"/>
      <c r="CL23" s="104" t="n"/>
      <c r="CM23" s="32" t="n"/>
      <c r="CN23" s="71" t="n"/>
      <c r="CO23" s="113" t="n"/>
      <c r="CP23" s="103" t="n"/>
      <c r="CQ23" s="32" t="n"/>
      <c r="CR23" s="71" t="n"/>
      <c r="CS23" s="113" t="n"/>
      <c r="CT23" s="104" t="n"/>
      <c r="CU23" s="32" t="n"/>
      <c r="CV23" s="71" t="n"/>
      <c r="CW23" s="106" t="n"/>
      <c r="CX23" s="104" t="n"/>
      <c r="CY23" s="72" t="n"/>
      <c r="CZ23" s="71" t="n"/>
      <c r="DA23" s="106" t="n"/>
      <c r="DB23" s="53" t="n"/>
      <c r="DC23" s="285" t="n"/>
      <c r="DD23" s="71" t="n"/>
      <c r="DE23" s="106" t="n"/>
      <c r="DF23" s="107" t="n"/>
      <c r="DG23" s="383" t="n"/>
      <c r="DH23" s="71" t="n"/>
      <c r="DI23" s="384">
        <f>SUM(DI6:DI22)</f>
        <v/>
      </c>
      <c r="DJ23" s="384">
        <f>SUM(DJ6:DJ20)</f>
        <v/>
      </c>
      <c r="DK23" s="106" t="n"/>
      <c r="DL23" s="71" t="n"/>
      <c r="DM23" s="72" t="n"/>
      <c r="DN23" s="71" t="n"/>
      <c r="DO23" s="106" t="n"/>
      <c r="DP23" s="71" t="n"/>
      <c r="DQ23" s="72" t="n"/>
      <c r="DR23" s="71" t="n"/>
      <c r="DS23" s="106" t="n"/>
      <c r="DT23" s="47" t="n"/>
      <c r="DU23" s="110" t="n"/>
      <c r="DV23" s="47" t="n"/>
      <c r="DW23" s="51" t="n"/>
      <c r="DX23" s="47" t="n"/>
      <c r="DY23" s="44" t="n"/>
      <c r="DZ23" s="111" t="n"/>
      <c r="EA23" s="51" t="n"/>
      <c r="EB23" s="112" t="n"/>
      <c r="EC23" s="72" t="n"/>
      <c r="ED23" s="71" t="n"/>
      <c r="EE23" s="113" t="n"/>
      <c r="EF23" s="103" t="n"/>
      <c r="EG23" s="32" t="n"/>
      <c r="EH23" s="71" t="n"/>
      <c r="EI23" s="113" t="n"/>
      <c r="EJ23" s="104" t="n"/>
      <c r="EK23" s="32" t="n"/>
      <c r="EL23" s="71" t="n"/>
      <c r="EM23" s="113" t="n"/>
      <c r="EN23" s="103" t="n"/>
      <c r="EO23" s="32" t="n"/>
      <c r="EP23" s="71" t="n"/>
      <c r="EQ23" s="113" t="n"/>
      <c r="ER23" s="104" t="n"/>
      <c r="ES23" s="32" t="n"/>
      <c r="ET23" s="71" t="n"/>
      <c r="EU23" s="106" t="n"/>
      <c r="EV23" s="104" t="n"/>
      <c r="EW23" s="72" t="n"/>
      <c r="EX23" s="71" t="n"/>
      <c r="EY23" s="106" t="n"/>
      <c r="EZ23" s="53" t="n"/>
      <c r="FA23" s="105" t="n"/>
      <c r="FB23" s="71" t="n"/>
      <c r="FC23" s="106" t="n"/>
      <c r="FD23" s="107" t="n"/>
      <c r="FE23" s="383" t="n"/>
      <c r="FF23" s="71" t="n"/>
      <c r="FG23" s="384">
        <f>SUM(FG6:FG22)</f>
        <v/>
      </c>
      <c r="FH23" s="384">
        <f>SUM(FH6:FH20)</f>
        <v/>
      </c>
      <c r="FI23" s="106" t="n"/>
      <c r="FJ23" s="71" t="n"/>
      <c r="FK23" s="72" t="n"/>
      <c r="FL23" s="71" t="n"/>
      <c r="FM23" s="106" t="n"/>
      <c r="FN23" s="71" t="n"/>
      <c r="FO23" s="72" t="n"/>
      <c r="FP23" s="71" t="n"/>
      <c r="FQ23" s="106" t="n"/>
      <c r="FR23" s="47" t="n"/>
      <c r="FS23" s="110" t="n"/>
      <c r="FT23" s="47" t="n"/>
      <c r="FU23" s="51" t="n"/>
      <c r="FV23" s="47" t="n"/>
      <c r="FW23" s="44" t="n"/>
      <c r="FX23" s="111" t="n"/>
      <c r="FY23" s="51" t="n"/>
      <c r="FZ23" s="112" t="n"/>
      <c r="GA23" s="72" t="n"/>
      <c r="GB23" s="71" t="n"/>
      <c r="GC23" s="113" t="n"/>
      <c r="GD23" s="103" t="n"/>
      <c r="GE23" s="32" t="n"/>
      <c r="GF23" s="71" t="n"/>
      <c r="GG23" s="113" t="n"/>
      <c r="GH23" s="104" t="n"/>
      <c r="GI23" s="32" t="n"/>
      <c r="GJ23" s="71" t="n"/>
      <c r="GK23" s="113" t="n"/>
      <c r="GL23" s="103" t="n"/>
      <c r="GM23" s="32" t="n"/>
      <c r="GN23" s="71" t="n"/>
      <c r="GO23" s="113" t="n"/>
      <c r="GP23" s="104" t="n"/>
      <c r="GQ23" s="32" t="n"/>
      <c r="GR23" s="71" t="n"/>
      <c r="GS23" s="106" t="n"/>
      <c r="GT23" s="104" t="n"/>
      <c r="GU23" s="72" t="n"/>
      <c r="GV23" s="71" t="n"/>
      <c r="GW23" s="106" t="n"/>
      <c r="GX23" s="53" t="n"/>
      <c r="GY23" s="105" t="n"/>
      <c r="GZ23" s="71" t="n"/>
      <c r="HA23" s="106" t="n"/>
      <c r="HB23" s="107" t="n"/>
      <c r="HC23" s="383" t="n"/>
      <c r="HD23" s="71" t="n"/>
      <c r="HE23" s="384">
        <f>SUM(HE6:HE22)</f>
        <v/>
      </c>
      <c r="HF23" s="384">
        <f>SUM(HF6:HF20)</f>
        <v/>
      </c>
      <c r="HG23" s="106" t="n"/>
      <c r="HH23" s="71" t="n"/>
      <c r="HI23" s="72" t="n"/>
      <c r="HJ23" s="71" t="n"/>
      <c r="HK23" s="106" t="n"/>
      <c r="HL23" s="71" t="n"/>
      <c r="HM23" s="72" t="n"/>
      <c r="HN23" s="71" t="n"/>
      <c r="HO23" s="106" t="n"/>
      <c r="HP23" s="47" t="n"/>
      <c r="HQ23" s="110" t="n"/>
      <c r="HR23" s="47" t="n"/>
      <c r="HS23" s="51" t="n"/>
      <c r="HT23" s="47" t="n"/>
      <c r="HU23" s="44" t="n"/>
      <c r="HV23" s="111" t="n"/>
      <c r="HW23" s="51" t="n"/>
      <c r="HX23" s="112" t="n"/>
      <c r="HY23" s="72" t="n"/>
      <c r="HZ23" s="71" t="n"/>
      <c r="IA23" s="113" t="n"/>
      <c r="IB23" s="103" t="n"/>
      <c r="IC23" s="32" t="n"/>
      <c r="ID23" s="71" t="n"/>
      <c r="IE23" s="113" t="n"/>
      <c r="IF23" s="104" t="n"/>
      <c r="IG23" s="32" t="n"/>
      <c r="IH23" s="71" t="n"/>
      <c r="II23" s="113" t="n"/>
      <c r="IJ23" s="103" t="n"/>
      <c r="IK23" s="32" t="n"/>
      <c r="IL23" s="71" t="n"/>
      <c r="IM23" s="113" t="n"/>
      <c r="IN23" s="104" t="n"/>
      <c r="IO23" s="32" t="n"/>
      <c r="IP23" s="71" t="n"/>
      <c r="IQ23" s="106" t="n"/>
      <c r="IR23" s="104" t="n"/>
      <c r="IS23" s="72" t="n"/>
      <c r="IT23" s="71" t="n"/>
      <c r="IU23" s="106" t="n"/>
      <c r="IV23" s="53" t="n"/>
      <c r="IW23" s="105" t="n"/>
      <c r="IX23" s="71" t="n"/>
      <c r="IY23" s="106" t="n"/>
      <c r="IZ23" s="107" t="n"/>
      <c r="JA23" s="383" t="n"/>
      <c r="JB23" s="71" t="n"/>
      <c r="JC23" s="384">
        <f>SUM(JC6:JC22)</f>
        <v/>
      </c>
      <c r="JD23" s="384">
        <f>SUM(JD6:JD20)</f>
        <v/>
      </c>
    </row>
    <row r="24" ht="15" customFormat="1" customHeight="1" s="114">
      <c r="A24" s="115" t="n"/>
      <c r="B24" s="115" t="n"/>
      <c r="C24" s="115" t="n"/>
      <c r="D24" s="115" t="n"/>
      <c r="E24" s="116" t="n"/>
      <c r="F24" s="116" t="n"/>
      <c r="G24" s="117" t="n"/>
      <c r="H24" s="117" t="n"/>
      <c r="I24" s="118" t="n"/>
      <c r="J24" s="119" t="n"/>
      <c r="K24" s="119" t="n"/>
      <c r="L24" s="119" t="n"/>
      <c r="M24" s="119" t="n"/>
      <c r="N24" s="119" t="n"/>
      <c r="O24" s="120" t="n"/>
      <c r="P24" s="120" t="n"/>
      <c r="Q24" s="120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2" t="n"/>
      <c r="AK24" s="123" t="n"/>
      <c r="AL24" s="123" t="n"/>
      <c r="AM24" s="123" t="n"/>
      <c r="AN24" s="123" t="n"/>
      <c r="AO24" s="123" t="n"/>
      <c r="AP24" s="123" t="n"/>
      <c r="AQ24" s="123" t="n"/>
      <c r="AR24" s="124" t="n"/>
      <c r="AS24" s="123" t="n"/>
      <c r="AT24" s="123" t="n"/>
      <c r="AU24" s="123" t="n"/>
      <c r="AV24" s="123" t="n"/>
      <c r="AW24" s="123" t="n"/>
      <c r="AX24" s="123" t="n"/>
      <c r="AY24" s="123" t="n"/>
      <c r="AZ24" s="123" t="n"/>
      <c r="BA24" s="125" t="n"/>
      <c r="BB24" s="126" t="n"/>
      <c r="BC24" s="125" t="n"/>
      <c r="BD24" s="125" t="n"/>
      <c r="BE24" s="127" t="n"/>
      <c r="BF24" s="126" t="n"/>
      <c r="BG24" s="127" t="n"/>
      <c r="BH24" s="127" t="n"/>
      <c r="BI24" s="128" t="n"/>
      <c r="BJ24" s="126" t="n"/>
      <c r="BK24" s="128" t="n"/>
      <c r="BL24" s="128" t="n"/>
      <c r="BM24" s="129" t="n"/>
      <c r="BN24" s="120" t="n"/>
      <c r="BO24" s="120" t="n"/>
      <c r="BP24" s="121" t="n"/>
      <c r="BQ24" s="130" t="n"/>
      <c r="BU24" s="130" t="n"/>
      <c r="BY24" s="130" t="n"/>
      <c r="CC24" s="130" t="n"/>
      <c r="CG24" s="130" t="n"/>
      <c r="CK24" s="131" t="n"/>
      <c r="CO24" s="131" t="n"/>
      <c r="CS24" s="131" t="n"/>
      <c r="CW24" s="131" t="n"/>
      <c r="DA24" s="132" t="n"/>
      <c r="DC24" s="286" t="n"/>
      <c r="DE24" s="133" t="n"/>
      <c r="DK24" s="129" t="n"/>
      <c r="DL24" s="120" t="n"/>
      <c r="DM24" s="120" t="n"/>
      <c r="DN24" s="121" t="n"/>
      <c r="DO24" s="130" t="n"/>
      <c r="DS24" s="130" t="n"/>
      <c r="DW24" s="130" t="n"/>
      <c r="EA24" s="130" t="n"/>
      <c r="EE24" s="130" t="n"/>
      <c r="EI24" s="131" t="n"/>
      <c r="EM24" s="131" t="n"/>
      <c r="EQ24" s="131" t="n"/>
      <c r="EU24" s="131" t="n"/>
      <c r="EY24" s="132" t="n"/>
      <c r="FC24" s="133" t="n"/>
      <c r="FI24" s="129" t="n"/>
      <c r="FJ24" s="120" t="n"/>
      <c r="FK24" s="120" t="n"/>
      <c r="FL24" s="121" t="n"/>
      <c r="FM24" s="130" t="n"/>
      <c r="FQ24" s="130" t="n"/>
      <c r="FU24" s="130" t="n"/>
      <c r="FY24" s="130" t="n"/>
      <c r="GC24" s="130" t="n"/>
      <c r="GG24" s="131" t="n"/>
      <c r="GK24" s="131" t="n"/>
      <c r="GO24" s="131" t="n"/>
      <c r="GS24" s="131" t="n"/>
      <c r="GW24" s="132" t="n"/>
      <c r="HA24" s="133" t="n"/>
      <c r="HG24" s="129" t="n"/>
      <c r="HH24" s="120" t="n"/>
      <c r="HI24" s="120" t="n"/>
      <c r="HJ24" s="121" t="n"/>
      <c r="HK24" s="130" t="n"/>
      <c r="HO24" s="130" t="n"/>
      <c r="HS24" s="130" t="n"/>
      <c r="HW24" s="130" t="n"/>
      <c r="IA24" s="130" t="n"/>
      <c r="IE24" s="131" t="n"/>
      <c r="II24" s="131" t="n"/>
      <c r="IM24" s="131" t="n"/>
      <c r="IQ24" s="131" t="n"/>
      <c r="IU24" s="132" t="n"/>
      <c r="IY24" s="133" t="n"/>
    </row>
    <row r="25" ht="14.7" customHeight="1">
      <c r="A25" s="312" t="inlineStr">
        <is>
          <t>ЭКО ПРИЦЕП</t>
        </is>
      </c>
      <c r="B25" s="314" t="inlineStr">
        <is>
          <t>отсрочка 3 дня</t>
        </is>
      </c>
      <c r="C25" s="378" t="inlineStr">
        <is>
          <t>ВБК Восток</t>
        </is>
      </c>
      <c r="D25" s="316" t="inlineStr">
        <is>
          <t>Александр Хорошевский</t>
        </is>
      </c>
      <c r="E25" s="25" t="n">
        <v>1</v>
      </c>
      <c r="F25" s="25" t="n">
        <v>1</v>
      </c>
      <c r="G25" s="26" t="n">
        <v>9522010010</v>
      </c>
      <c r="H25" s="27" t="inlineStr">
        <is>
          <t>Соединительная головка + маг. Фильтр</t>
        </is>
      </c>
      <c r="I25" s="28" t="n">
        <v>49.13</v>
      </c>
      <c r="J25" s="29" t="n">
        <v>49.13</v>
      </c>
      <c r="K25" s="297" t="n">
        <v>44.26</v>
      </c>
      <c r="L25" s="297" t="n">
        <v>44.26</v>
      </c>
      <c r="M25" s="29" t="n"/>
      <c r="N25" s="29" t="n"/>
      <c r="O25" s="30" t="n">
        <v>400</v>
      </c>
      <c r="P25" s="31" t="n">
        <v>400</v>
      </c>
      <c r="Q25" s="32" t="n">
        <v>200</v>
      </c>
      <c r="R25" s="31" t="n"/>
      <c r="S25" s="30" t="n">
        <v>400</v>
      </c>
      <c r="T25" s="31" t="n">
        <v>400</v>
      </c>
      <c r="U25" s="32" t="n">
        <v>400</v>
      </c>
      <c r="V25" s="31" t="n"/>
      <c r="W25" s="30" t="n">
        <v>450</v>
      </c>
      <c r="X25" s="31" t="n">
        <v>450</v>
      </c>
      <c r="Y25" s="32" t="n">
        <v>215</v>
      </c>
      <c r="Z25" s="31" t="n"/>
      <c r="AA25" s="30" t="n">
        <v>450</v>
      </c>
      <c r="AB25" s="134" t="n">
        <v>400</v>
      </c>
      <c r="AC25" s="32" t="n">
        <v>400</v>
      </c>
      <c r="AD25" s="31" t="n"/>
      <c r="AE25" s="30" t="n">
        <v>450</v>
      </c>
      <c r="AF25" s="31" t="n">
        <v>400</v>
      </c>
      <c r="AG25" s="32" t="n">
        <v>410</v>
      </c>
      <c r="AH25" s="31" t="n"/>
      <c r="AI25" s="30" t="n">
        <v>500</v>
      </c>
      <c r="AJ25" s="31" t="n">
        <v>400</v>
      </c>
      <c r="AK25" s="32" t="n">
        <v>410</v>
      </c>
      <c r="AL25" s="31" t="inlineStr">
        <is>
          <t>Корректировка прогноза клиентом</t>
        </is>
      </c>
      <c r="AM25" s="30" t="n"/>
      <c r="AN25" s="31" t="n">
        <v>400</v>
      </c>
      <c r="AO25" s="32" t="n">
        <v>200</v>
      </c>
      <c r="AP25" s="31" t="n"/>
      <c r="AQ25" s="30" t="n"/>
      <c r="AR25" s="37" t="n">
        <v>300</v>
      </c>
      <c r="AS25" s="32" t="n">
        <v>185</v>
      </c>
      <c r="AT25" s="31" t="n"/>
      <c r="AU25" s="30" t="n"/>
      <c r="AV25" s="37" t="n">
        <v>300</v>
      </c>
      <c r="AW25" s="32" t="n">
        <v>0</v>
      </c>
      <c r="AX25" s="31" t="n"/>
      <c r="AY25" s="30" t="n"/>
      <c r="AZ25" s="135" t="n">
        <v>220</v>
      </c>
      <c r="BA25" s="32" t="n">
        <v>220</v>
      </c>
      <c r="BB25" s="34" t="n"/>
      <c r="BC25" s="30" t="n"/>
      <c r="BD25" s="135" t="n">
        <v>220</v>
      </c>
      <c r="BE25" s="40" t="n">
        <v>220</v>
      </c>
      <c r="BF25" s="34" t="n"/>
      <c r="BG25" s="30" t="n"/>
      <c r="BH25" s="135" t="n">
        <v>220</v>
      </c>
      <c r="BI25" s="136" t="n">
        <v>0</v>
      </c>
      <c r="BJ25" s="34" t="n"/>
      <c r="BK25" s="381">
        <f>O25+S25+W25+AA25+AE25+AI25+AM25+AQ25+AU25+AY25+BC25+BG25</f>
        <v/>
      </c>
      <c r="BL25" s="381">
        <f>BK25*$I25</f>
        <v/>
      </c>
      <c r="BM25" s="41" t="n">
        <v>280</v>
      </c>
      <c r="BN25" s="35" t="n">
        <v>280</v>
      </c>
      <c r="BO25" s="32" t="n">
        <v>280</v>
      </c>
      <c r="BP25" s="31" t="n"/>
      <c r="BQ25" s="41" t="n">
        <v>280</v>
      </c>
      <c r="BR25" s="82" t="n">
        <v>280</v>
      </c>
      <c r="BS25" s="32" t="n">
        <v>0</v>
      </c>
      <c r="BT25" s="31" t="n"/>
      <c r="BU25" s="41" t="n">
        <v>280</v>
      </c>
      <c r="BV25" s="82" t="n">
        <v>0</v>
      </c>
      <c r="BW25" s="32" t="n">
        <v>0</v>
      </c>
      <c r="BX25" s="31" t="n"/>
      <c r="BY25" s="41" t="n">
        <v>300</v>
      </c>
      <c r="BZ25" s="39" t="n">
        <v>0</v>
      </c>
      <c r="CA25" s="44" t="n">
        <v>0</v>
      </c>
      <c r="CB25" s="35" t="n"/>
      <c r="CC25" s="45" t="n">
        <v>300</v>
      </c>
      <c r="CD25" s="35" t="n">
        <v>0</v>
      </c>
      <c r="CE25" s="32" t="n">
        <v>0</v>
      </c>
      <c r="CF25" s="31" t="n"/>
      <c r="CG25" s="41" t="n">
        <v>300</v>
      </c>
      <c r="CH25" s="47" t="n">
        <v>0</v>
      </c>
      <c r="CI25" s="32" t="n">
        <v>121</v>
      </c>
      <c r="CJ25" s="31" t="n"/>
      <c r="CK25" s="45" t="n">
        <v>300</v>
      </c>
      <c r="CL25" s="47" t="n">
        <v>50</v>
      </c>
      <c r="CM25" s="44" t="n">
        <v>100</v>
      </c>
      <c r="CN25" s="35" t="n"/>
      <c r="CO25" s="45" t="n">
        <v>300</v>
      </c>
      <c r="CP25" s="35" t="n">
        <v>50</v>
      </c>
      <c r="CQ25" s="44" t="n">
        <v>100</v>
      </c>
      <c r="CR25" s="35" t="n"/>
      <c r="CS25" s="45" t="n">
        <v>300</v>
      </c>
      <c r="CT25" s="47" t="n">
        <v>100</v>
      </c>
      <c r="CU25" s="44" t="n">
        <v>0</v>
      </c>
      <c r="CV25" s="35" t="n"/>
      <c r="CW25" s="45" t="n">
        <v>300</v>
      </c>
      <c r="CX25" s="47" t="n">
        <v>100</v>
      </c>
      <c r="CY25" s="44" t="n">
        <v>50</v>
      </c>
      <c r="CZ25" s="35" t="n"/>
      <c r="DA25" s="45" t="n">
        <v>300</v>
      </c>
      <c r="DB25" s="47" t="n">
        <v>100</v>
      </c>
      <c r="DC25" s="155" t="n">
        <v>0</v>
      </c>
      <c r="DD25" s="35" t="n"/>
      <c r="DE25" s="45" t="n">
        <v>300</v>
      </c>
      <c r="DF25" s="281" t="n">
        <v>50</v>
      </c>
      <c r="DG25" s="42" t="n">
        <v>0</v>
      </c>
      <c r="DH25" s="35" t="n"/>
      <c r="DI25" s="379">
        <f>BM25+BQ25+BU25+BY25+CC25+CG25+CK25+CO25+CS25+CW25+DA25+DE25</f>
        <v/>
      </c>
      <c r="DJ25" s="379">
        <f>DI25*$I25</f>
        <v/>
      </c>
      <c r="DK25" s="52" t="n">
        <v>100</v>
      </c>
      <c r="DL25" s="35" t="n">
        <v>30</v>
      </c>
      <c r="DM25" s="44" t="n">
        <v>0</v>
      </c>
      <c r="DN25" s="35" t="n"/>
      <c r="DO25" s="82" t="n">
        <v>100</v>
      </c>
      <c r="DP25" s="35" t="n">
        <v>100</v>
      </c>
      <c r="DQ25" s="44" t="n">
        <v>130</v>
      </c>
      <c r="DR25" s="35" t="n"/>
      <c r="DS25" s="82" t="n">
        <v>100</v>
      </c>
      <c r="DT25" s="281" t="n">
        <v>550</v>
      </c>
      <c r="DU25" s="44" t="n">
        <v>450</v>
      </c>
      <c r="DV25" s="35" t="n"/>
      <c r="DW25" s="82" t="n">
        <v>100</v>
      </c>
      <c r="DX25" s="35" t="n">
        <v>100</v>
      </c>
      <c r="DY25" s="44" t="n">
        <v>100</v>
      </c>
      <c r="DZ25" s="36" t="n"/>
      <c r="EA25" s="82" t="n">
        <v>100</v>
      </c>
      <c r="EB25" s="35" t="n">
        <v>200</v>
      </c>
      <c r="EC25" s="44" t="n">
        <v>0</v>
      </c>
      <c r="ED25" s="36" t="n"/>
      <c r="EE25" s="82" t="n">
        <v>100</v>
      </c>
      <c r="EF25" s="281" t="n">
        <v>70</v>
      </c>
      <c r="EG25" s="44" t="n">
        <v>0</v>
      </c>
      <c r="EH25" s="35" t="n"/>
      <c r="EI25" s="82" t="n">
        <v>100</v>
      </c>
      <c r="EJ25" s="281" t="n">
        <v>70</v>
      </c>
      <c r="EK25" s="44" t="n">
        <v>0</v>
      </c>
      <c r="EL25" s="35" t="n"/>
      <c r="EM25" s="82" t="n">
        <v>100</v>
      </c>
      <c r="EN25" s="281" t="n">
        <v>70</v>
      </c>
      <c r="EO25" s="44" t="n">
        <v>0</v>
      </c>
      <c r="EP25" s="35" t="n"/>
      <c r="EQ25" s="82" t="n">
        <v>100</v>
      </c>
      <c r="ER25" s="281" t="n">
        <v>70</v>
      </c>
      <c r="ES25" s="44" t="n">
        <v>0</v>
      </c>
      <c r="ET25" s="35" t="n"/>
      <c r="EU25" s="82" t="n">
        <v>100</v>
      </c>
      <c r="EV25" s="281" t="n">
        <v>70</v>
      </c>
      <c r="EW25" s="44" t="n">
        <v>0</v>
      </c>
      <c r="EX25" s="35" t="n"/>
      <c r="EY25" s="82" t="n">
        <v>100</v>
      </c>
      <c r="EZ25" s="281" t="n">
        <v>70</v>
      </c>
      <c r="FA25" s="288" t="n">
        <v>0</v>
      </c>
      <c r="FB25" s="35" t="n"/>
      <c r="FC25" s="82" t="n">
        <v>100</v>
      </c>
      <c r="FD25" s="281" t="n">
        <v>70</v>
      </c>
      <c r="FE25" s="380" t="n">
        <v>0</v>
      </c>
      <c r="FF25" s="35" t="n"/>
      <c r="FG25" s="379">
        <f>DK25+DO25+DS25+DW25+EA25+EE25+EI25+EM25+EQ25+EU25+EY25+FC25</f>
        <v/>
      </c>
      <c r="FH25" s="379">
        <f>FG25*$I25</f>
        <v/>
      </c>
      <c r="FI25" s="47" t="n">
        <v>100</v>
      </c>
      <c r="FJ25" s="35" t="n"/>
      <c r="FK25" s="44" t="n">
        <v>0</v>
      </c>
      <c r="FL25" s="35" t="n"/>
      <c r="FM25" s="51" t="n">
        <v>200</v>
      </c>
      <c r="FN25" s="82" t="n"/>
      <c r="FO25" s="44" t="n">
        <v>0</v>
      </c>
      <c r="FP25" s="35" t="n"/>
      <c r="FQ25" s="51" t="n">
        <v>200</v>
      </c>
      <c r="FR25" s="82" t="n"/>
      <c r="FS25" s="44" t="n">
        <v>0</v>
      </c>
      <c r="FT25" s="35" t="n"/>
      <c r="FU25" s="51" t="n">
        <v>200</v>
      </c>
      <c r="FV25" s="47" t="n"/>
      <c r="FW25" s="44" t="n">
        <v>0</v>
      </c>
      <c r="FX25" s="35" t="n"/>
      <c r="FY25" s="51" t="n">
        <v>200</v>
      </c>
      <c r="FZ25" s="35" t="n"/>
      <c r="GA25" s="44" t="n">
        <v>0</v>
      </c>
      <c r="GB25" s="35" t="n"/>
      <c r="GC25" s="51" t="n">
        <v>250</v>
      </c>
      <c r="GD25" s="47" t="n"/>
      <c r="GE25" s="44" t="n">
        <v>0</v>
      </c>
      <c r="GF25" s="35" t="n"/>
      <c r="GG25" s="51" t="n">
        <v>250</v>
      </c>
      <c r="GH25" s="47" t="n"/>
      <c r="GI25" s="44" t="n">
        <v>0</v>
      </c>
      <c r="GJ25" s="35" t="n"/>
      <c r="GK25" s="51" t="n">
        <v>250</v>
      </c>
      <c r="GL25" s="35" t="n"/>
      <c r="GM25" s="44" t="n">
        <v>0</v>
      </c>
      <c r="GN25" s="35" t="n"/>
      <c r="GO25" s="51" t="n">
        <v>250</v>
      </c>
      <c r="GP25" s="47" t="n"/>
      <c r="GQ25" s="44" t="n">
        <v>0</v>
      </c>
      <c r="GR25" s="35" t="n"/>
      <c r="GS25" s="51" t="n">
        <v>250</v>
      </c>
      <c r="GT25" s="47" t="n"/>
      <c r="GU25" s="44" t="n">
        <v>0</v>
      </c>
      <c r="GV25" s="35" t="n"/>
      <c r="GW25" s="51" t="n">
        <v>250</v>
      </c>
      <c r="GX25" s="35" t="n"/>
      <c r="GY25" s="49" t="n">
        <v>0</v>
      </c>
      <c r="GZ25" s="35" t="n"/>
      <c r="HA25" s="51" t="n">
        <v>250</v>
      </c>
      <c r="HB25" s="35" t="n"/>
      <c r="HC25" s="380" t="n">
        <v>0</v>
      </c>
      <c r="HD25" s="35" t="n"/>
      <c r="HE25" s="379">
        <f>FI25+FM25+FQ25+FU25+FY25+GC25+GG25+GK25+GO25+GS25+GW25+HA25</f>
        <v/>
      </c>
      <c r="HF25" s="379">
        <f>HE25*$I25</f>
        <v/>
      </c>
      <c r="HG25" s="51" t="n">
        <v>250</v>
      </c>
      <c r="HH25" s="35" t="n"/>
      <c r="HI25" s="44" t="n">
        <v>0</v>
      </c>
      <c r="HJ25" s="35" t="n"/>
      <c r="HK25" s="51" t="n">
        <v>280</v>
      </c>
      <c r="HL25" s="82" t="n"/>
      <c r="HM25" s="44" t="n">
        <v>0</v>
      </c>
      <c r="HN25" s="35" t="n"/>
      <c r="HO25" s="51" t="n">
        <v>280</v>
      </c>
      <c r="HP25" s="82" t="n"/>
      <c r="HQ25" s="44" t="n">
        <v>0</v>
      </c>
      <c r="HR25" s="35" t="n"/>
      <c r="HS25" s="51" t="n">
        <v>280</v>
      </c>
      <c r="HT25" s="47" t="n"/>
      <c r="HU25" s="44" t="n">
        <v>0</v>
      </c>
      <c r="HV25" s="35" t="n"/>
      <c r="HW25" s="51" t="n">
        <v>280</v>
      </c>
      <c r="HX25" s="35" t="n"/>
      <c r="HY25" s="44" t="n">
        <v>0</v>
      </c>
      <c r="HZ25" s="35" t="n"/>
      <c r="IA25" s="51" t="n">
        <v>280</v>
      </c>
      <c r="IB25" s="47" t="n"/>
      <c r="IC25" s="44" t="n">
        <v>0</v>
      </c>
      <c r="ID25" s="35" t="n"/>
      <c r="IE25" s="51" t="n">
        <v>280</v>
      </c>
      <c r="IF25" s="47" t="n"/>
      <c r="IG25" s="44" t="n">
        <v>0</v>
      </c>
      <c r="IH25" s="35" t="n"/>
      <c r="II25" s="51" t="n">
        <v>300</v>
      </c>
      <c r="IJ25" s="35" t="n"/>
      <c r="IK25" s="44" t="n">
        <v>0</v>
      </c>
      <c r="IL25" s="35" t="n"/>
      <c r="IM25" s="51" t="n">
        <v>300</v>
      </c>
      <c r="IN25" s="47" t="n"/>
      <c r="IO25" s="44" t="n">
        <v>0</v>
      </c>
      <c r="IP25" s="35" t="n"/>
      <c r="IQ25" s="51" t="n">
        <v>300</v>
      </c>
      <c r="IR25" s="47" t="n"/>
      <c r="IS25" s="44" t="n">
        <v>0</v>
      </c>
      <c r="IT25" s="35" t="n"/>
      <c r="IU25" s="45" t="n"/>
      <c r="IV25" s="35" t="n"/>
      <c r="IW25" s="49" t="n"/>
      <c r="IX25" s="35" t="n"/>
      <c r="IY25" s="51" t="n">
        <v>300</v>
      </c>
      <c r="IZ25" s="35" t="n"/>
      <c r="JA25" s="380" t="n">
        <v>0</v>
      </c>
      <c r="JB25" s="35" t="n"/>
      <c r="JC25" s="381">
        <f>HG25+HK25+HO25+HS25+HW25+IA25+IE25+II25+IM25+IQ25+IU25+IY25</f>
        <v/>
      </c>
      <c r="JD25" s="381">
        <f>JC25*$I25</f>
        <v/>
      </c>
    </row>
    <row r="26" ht="28.8" customHeight="1">
      <c r="A26" s="382" t="n"/>
      <c r="B26" s="382" t="n"/>
      <c r="C26" s="382" t="n"/>
      <c r="D26" s="382" t="n"/>
      <c r="E26" s="25" t="n">
        <v>2</v>
      </c>
      <c r="F26" s="25" t="n">
        <v>1</v>
      </c>
      <c r="G26" s="137" t="n">
        <v>9522010020</v>
      </c>
      <c r="H26" s="138" t="inlineStr">
        <is>
          <t>Соединительная головка + маг. Фильтр</t>
        </is>
      </c>
      <c r="I26" s="28" t="n">
        <v>49.13</v>
      </c>
      <c r="J26" s="29" t="n">
        <v>49.13</v>
      </c>
      <c r="K26" s="297" t="n">
        <v>44.26</v>
      </c>
      <c r="L26" s="297" t="n">
        <v>44.26</v>
      </c>
      <c r="M26" s="29" t="n"/>
      <c r="N26" s="29" t="n"/>
      <c r="O26" s="30" t="n">
        <v>400</v>
      </c>
      <c r="P26" s="31" t="n">
        <v>400</v>
      </c>
      <c r="Q26" s="32" t="n">
        <v>200</v>
      </c>
      <c r="R26" s="31" t="n"/>
      <c r="S26" s="30" t="n">
        <v>400</v>
      </c>
      <c r="T26" s="31" t="n">
        <v>400</v>
      </c>
      <c r="U26" s="32" t="n">
        <v>400</v>
      </c>
      <c r="V26" s="31" t="n"/>
      <c r="W26" s="30" t="n">
        <v>450</v>
      </c>
      <c r="X26" s="31" t="n">
        <v>450</v>
      </c>
      <c r="Y26" s="55" t="n">
        <v>215</v>
      </c>
      <c r="Z26" s="31" t="n"/>
      <c r="AA26" s="30" t="n">
        <v>450</v>
      </c>
      <c r="AB26" s="134" t="n">
        <v>400</v>
      </c>
      <c r="AC26" s="32" t="n">
        <v>400</v>
      </c>
      <c r="AD26" s="31" t="n"/>
      <c r="AE26" s="30" t="n">
        <v>450</v>
      </c>
      <c r="AF26" s="31" t="n">
        <v>400</v>
      </c>
      <c r="AG26" s="55" t="n">
        <v>410</v>
      </c>
      <c r="AH26" s="31" t="n"/>
      <c r="AI26" s="30" t="n">
        <v>500</v>
      </c>
      <c r="AJ26" s="31" t="n">
        <v>400</v>
      </c>
      <c r="AK26" s="32" t="n">
        <v>460</v>
      </c>
      <c r="AL26" s="35" t="inlineStr">
        <is>
          <t>Корректировка прогноза клиентом</t>
        </is>
      </c>
      <c r="AM26" s="30" t="n"/>
      <c r="AN26" s="31" t="n">
        <v>400</v>
      </c>
      <c r="AO26" s="32" t="n">
        <v>200</v>
      </c>
      <c r="AP26" s="31" t="n"/>
      <c r="AQ26" s="30" t="n"/>
      <c r="AR26" s="37" t="n">
        <v>300</v>
      </c>
      <c r="AS26" s="32" t="n">
        <v>135</v>
      </c>
      <c r="AT26" s="31" t="n"/>
      <c r="AU26" s="30" t="n"/>
      <c r="AV26" s="37" t="n">
        <v>300</v>
      </c>
      <c r="AW26" s="32" t="n">
        <v>0</v>
      </c>
      <c r="AX26" s="31" t="n"/>
      <c r="AY26" s="30" t="n"/>
      <c r="AZ26" s="135" t="n">
        <v>220</v>
      </c>
      <c r="BA26" s="32" t="n">
        <v>220</v>
      </c>
      <c r="BB26" s="34" t="n"/>
      <c r="BC26" s="30" t="n"/>
      <c r="BD26" s="135" t="n">
        <v>220</v>
      </c>
      <c r="BE26" s="40" t="n">
        <v>220</v>
      </c>
      <c r="BF26" s="34" t="n"/>
      <c r="BG26" s="30" t="n"/>
      <c r="BH26" s="135" t="n">
        <v>220</v>
      </c>
      <c r="BI26" s="136" t="n">
        <v>0</v>
      </c>
      <c r="BJ26" s="34" t="n"/>
      <c r="BK26" s="381">
        <f>O26+S26+W26+AA26+AE26+AI26+AM26+AQ26+AU26+AY26+BC26+BG26</f>
        <v/>
      </c>
      <c r="BL26" s="381">
        <f>BK26*$I26</f>
        <v/>
      </c>
      <c r="BM26" s="41" t="n">
        <v>280</v>
      </c>
      <c r="BN26" s="35" t="n">
        <v>280</v>
      </c>
      <c r="BO26" s="32" t="n">
        <v>280</v>
      </c>
      <c r="BP26" s="31" t="n"/>
      <c r="BQ26" s="41" t="n">
        <v>280</v>
      </c>
      <c r="BR26" s="82" t="n">
        <v>280</v>
      </c>
      <c r="BS26" s="32" t="n">
        <v>0</v>
      </c>
      <c r="BT26" s="31" t="n"/>
      <c r="BU26" s="41" t="n">
        <v>280</v>
      </c>
      <c r="BV26" s="82" t="n">
        <v>0</v>
      </c>
      <c r="BW26" s="55" t="n">
        <v>0</v>
      </c>
      <c r="BX26" s="31" t="n"/>
      <c r="BY26" s="41" t="n">
        <v>300</v>
      </c>
      <c r="BZ26" s="47" t="n">
        <v>0</v>
      </c>
      <c r="CA26" s="44" t="n">
        <v>0</v>
      </c>
      <c r="CB26" s="35" t="n"/>
      <c r="CC26" s="45" t="n">
        <v>300</v>
      </c>
      <c r="CD26" s="35" t="n">
        <v>0</v>
      </c>
      <c r="CE26" s="32" t="n">
        <v>0</v>
      </c>
      <c r="CF26" s="31" t="n"/>
      <c r="CG26" s="41" t="n">
        <v>300</v>
      </c>
      <c r="CH26" s="47" t="n">
        <v>0</v>
      </c>
      <c r="CI26" s="32" t="n">
        <v>118</v>
      </c>
      <c r="CJ26" s="31" t="n"/>
      <c r="CK26" s="45" t="n">
        <v>300</v>
      </c>
      <c r="CL26" s="47" t="n">
        <v>50</v>
      </c>
      <c r="CM26" s="44" t="n">
        <v>100</v>
      </c>
      <c r="CN26" s="35" t="n"/>
      <c r="CO26" s="45" t="n">
        <v>300</v>
      </c>
      <c r="CP26" s="35" t="n">
        <v>50</v>
      </c>
      <c r="CQ26" s="44" t="n">
        <v>100</v>
      </c>
      <c r="CR26" s="35" t="n"/>
      <c r="CS26" s="45" t="n">
        <v>300</v>
      </c>
      <c r="CT26" s="47" t="n">
        <v>100</v>
      </c>
      <c r="CU26" s="44" t="n">
        <v>0</v>
      </c>
      <c r="CV26" s="35" t="n"/>
      <c r="CW26" s="45" t="n">
        <v>300</v>
      </c>
      <c r="CX26" s="47" t="n">
        <v>100</v>
      </c>
      <c r="CY26" s="56" t="n">
        <v>50</v>
      </c>
      <c r="CZ26" s="35" t="n"/>
      <c r="DA26" s="45" t="n">
        <v>300</v>
      </c>
      <c r="DB26" s="47" t="n">
        <v>100</v>
      </c>
      <c r="DC26" s="155" t="n">
        <v>0</v>
      </c>
      <c r="DD26" s="35" t="n"/>
      <c r="DE26" s="45" t="n">
        <v>300</v>
      </c>
      <c r="DF26" s="281" t="n">
        <v>50</v>
      </c>
      <c r="DG26" s="42" t="n">
        <v>0</v>
      </c>
      <c r="DH26" s="35" t="n"/>
      <c r="DI26" s="379">
        <f>BM26+BQ26+BU26+BY26+CC26+CG26+CK26+CO26+CS26+CW26+DA26+DE26</f>
        <v/>
      </c>
      <c r="DJ26" s="379">
        <f>DI26*$I26</f>
        <v/>
      </c>
      <c r="DK26" s="52" t="n">
        <v>100</v>
      </c>
      <c r="DL26" s="35" t="n">
        <v>30</v>
      </c>
      <c r="DM26" s="44" t="n">
        <v>0</v>
      </c>
      <c r="DN26" s="35" t="n"/>
      <c r="DO26" s="82" t="n">
        <v>100</v>
      </c>
      <c r="DP26" s="35" t="n">
        <v>100</v>
      </c>
      <c r="DQ26" s="44" t="n">
        <v>130</v>
      </c>
      <c r="DR26" s="35" t="n"/>
      <c r="DS26" s="82" t="n">
        <v>100</v>
      </c>
      <c r="DT26" s="281" t="n">
        <v>550</v>
      </c>
      <c r="DU26" s="44" t="n">
        <v>450</v>
      </c>
      <c r="DV26" s="35" t="n"/>
      <c r="DW26" s="82" t="n">
        <v>100</v>
      </c>
      <c r="DX26" s="35" t="n">
        <v>100</v>
      </c>
      <c r="DY26" s="44" t="n">
        <v>100</v>
      </c>
      <c r="DZ26" s="36" t="n"/>
      <c r="EA26" s="82" t="n">
        <v>100</v>
      </c>
      <c r="EB26" s="35" t="n">
        <v>200</v>
      </c>
      <c r="EC26" s="44" t="n">
        <v>0</v>
      </c>
      <c r="ED26" s="36" t="n"/>
      <c r="EE26" s="82" t="n">
        <v>100</v>
      </c>
      <c r="EF26" s="281" t="n">
        <v>70</v>
      </c>
      <c r="EG26" s="44" t="n">
        <v>0</v>
      </c>
      <c r="EH26" s="35" t="n"/>
      <c r="EI26" s="82" t="n">
        <v>100</v>
      </c>
      <c r="EJ26" s="281" t="n">
        <v>70</v>
      </c>
      <c r="EK26" s="44" t="n">
        <v>0</v>
      </c>
      <c r="EL26" s="35" t="n"/>
      <c r="EM26" s="82" t="n">
        <v>100</v>
      </c>
      <c r="EN26" s="281" t="n">
        <v>70</v>
      </c>
      <c r="EO26" s="44" t="n">
        <v>0</v>
      </c>
      <c r="EP26" s="35" t="n"/>
      <c r="EQ26" s="82" t="n">
        <v>100</v>
      </c>
      <c r="ER26" s="281" t="n">
        <v>70</v>
      </c>
      <c r="ES26" s="44" t="n">
        <v>0</v>
      </c>
      <c r="ET26" s="35" t="n"/>
      <c r="EU26" s="82" t="n">
        <v>100</v>
      </c>
      <c r="EV26" s="281" t="n">
        <v>70</v>
      </c>
      <c r="EW26" s="44" t="n">
        <v>0</v>
      </c>
      <c r="EX26" s="35" t="n"/>
      <c r="EY26" s="82" t="n">
        <v>100</v>
      </c>
      <c r="EZ26" s="281" t="n">
        <v>70</v>
      </c>
      <c r="FA26" s="288" t="n">
        <v>0</v>
      </c>
      <c r="FB26" s="35" t="n"/>
      <c r="FC26" s="82" t="n">
        <v>100</v>
      </c>
      <c r="FD26" s="281" t="n">
        <v>70</v>
      </c>
      <c r="FE26" s="380" t="n">
        <v>0</v>
      </c>
      <c r="FF26" s="35" t="n"/>
      <c r="FG26" s="379">
        <f>DK26+DO26+DS26+DW26+EA26+EE26+EI26+EM26+EQ26+EU26+EY26+FC26</f>
        <v/>
      </c>
      <c r="FH26" s="379">
        <f>FG26*$I26</f>
        <v/>
      </c>
      <c r="FI26" s="47" t="n">
        <v>100</v>
      </c>
      <c r="FJ26" s="35" t="n"/>
      <c r="FK26" s="44" t="n">
        <v>0</v>
      </c>
      <c r="FL26" s="35" t="n"/>
      <c r="FM26" s="51" t="n">
        <v>200</v>
      </c>
      <c r="FN26" s="82" t="n"/>
      <c r="FO26" s="44" t="n">
        <v>0</v>
      </c>
      <c r="FP26" s="35" t="n"/>
      <c r="FQ26" s="51" t="n">
        <v>200</v>
      </c>
      <c r="FR26" s="82" t="n"/>
      <c r="FS26" s="56" t="n">
        <v>0</v>
      </c>
      <c r="FT26" s="35" t="n"/>
      <c r="FU26" s="51" t="n">
        <v>200</v>
      </c>
      <c r="FV26" s="47" t="n"/>
      <c r="FW26" s="44" t="n">
        <v>0</v>
      </c>
      <c r="FX26" s="35" t="n"/>
      <c r="FY26" s="51" t="n">
        <v>200</v>
      </c>
      <c r="FZ26" s="35" t="n"/>
      <c r="GA26" s="56" t="n">
        <v>0</v>
      </c>
      <c r="GB26" s="35" t="n"/>
      <c r="GC26" s="51" t="n">
        <v>250</v>
      </c>
      <c r="GD26" s="47" t="n"/>
      <c r="GE26" s="44" t="n">
        <v>0</v>
      </c>
      <c r="GF26" s="35" t="n"/>
      <c r="GG26" s="51" t="n">
        <v>250</v>
      </c>
      <c r="GH26" s="47" t="n"/>
      <c r="GI26" s="44" t="n">
        <v>0</v>
      </c>
      <c r="GJ26" s="35" t="n"/>
      <c r="GK26" s="51" t="n">
        <v>250</v>
      </c>
      <c r="GL26" s="35" t="n"/>
      <c r="GM26" s="44" t="n">
        <v>0</v>
      </c>
      <c r="GN26" s="35" t="n"/>
      <c r="GO26" s="51" t="n">
        <v>250</v>
      </c>
      <c r="GP26" s="47" t="n"/>
      <c r="GQ26" s="44" t="n">
        <v>0</v>
      </c>
      <c r="GR26" s="35" t="n"/>
      <c r="GS26" s="51" t="n">
        <v>250</v>
      </c>
      <c r="GT26" s="47" t="n"/>
      <c r="GU26" s="44" t="n">
        <v>0</v>
      </c>
      <c r="GV26" s="35" t="n"/>
      <c r="GW26" s="51" t="n">
        <v>250</v>
      </c>
      <c r="GX26" s="47" t="n"/>
      <c r="GY26" s="49" t="n">
        <v>0</v>
      </c>
      <c r="GZ26" s="35" t="n"/>
      <c r="HA26" s="51" t="n">
        <v>250</v>
      </c>
      <c r="HB26" s="35" t="n"/>
      <c r="HC26" s="380" t="n">
        <v>0</v>
      </c>
      <c r="HD26" s="35" t="n"/>
      <c r="HE26" s="379">
        <f>FI26+FM26+FQ26+FU26+FY26+GC26+GG26+GK26+GO26+GS26+GW26+HA26</f>
        <v/>
      </c>
      <c r="HF26" s="379">
        <f>HE26*$I26</f>
        <v/>
      </c>
      <c r="HG26" s="51" t="n">
        <v>250</v>
      </c>
      <c r="HH26" s="35" t="n"/>
      <c r="HI26" s="44" t="n">
        <v>0</v>
      </c>
      <c r="HJ26" s="35" t="n"/>
      <c r="HK26" s="51" t="n">
        <v>280</v>
      </c>
      <c r="HL26" s="82" t="n"/>
      <c r="HM26" s="44" t="n">
        <v>0</v>
      </c>
      <c r="HN26" s="35" t="n"/>
      <c r="HO26" s="51" t="n">
        <v>280</v>
      </c>
      <c r="HP26" s="82" t="n"/>
      <c r="HQ26" s="56" t="n">
        <v>0</v>
      </c>
      <c r="HR26" s="35" t="n"/>
      <c r="HS26" s="51" t="n">
        <v>280</v>
      </c>
      <c r="HT26" s="47" t="n"/>
      <c r="HU26" s="44" t="n">
        <v>0</v>
      </c>
      <c r="HV26" s="35" t="n"/>
      <c r="HW26" s="51" t="n">
        <v>280</v>
      </c>
      <c r="HX26" s="35" t="n"/>
      <c r="HY26" s="56" t="n">
        <v>0</v>
      </c>
      <c r="HZ26" s="35" t="n"/>
      <c r="IA26" s="51" t="n">
        <v>280</v>
      </c>
      <c r="IB26" s="47" t="n"/>
      <c r="IC26" s="44" t="n">
        <v>0</v>
      </c>
      <c r="ID26" s="35" t="n"/>
      <c r="IE26" s="51" t="n">
        <v>280</v>
      </c>
      <c r="IF26" s="47" t="n"/>
      <c r="IG26" s="44" t="n">
        <v>0</v>
      </c>
      <c r="IH26" s="35" t="n"/>
      <c r="II26" s="51" t="n">
        <v>300</v>
      </c>
      <c r="IJ26" s="35" t="n"/>
      <c r="IK26" s="44" t="n">
        <v>0</v>
      </c>
      <c r="IL26" s="35" t="n"/>
      <c r="IM26" s="51" t="n">
        <v>300</v>
      </c>
      <c r="IN26" s="47" t="n"/>
      <c r="IO26" s="44" t="n">
        <v>0</v>
      </c>
      <c r="IP26" s="35" t="n"/>
      <c r="IQ26" s="51" t="n">
        <v>300</v>
      </c>
      <c r="IR26" s="47" t="n"/>
      <c r="IS26" s="44" t="n">
        <v>0</v>
      </c>
      <c r="IT26" s="35" t="n"/>
      <c r="IU26" s="45" t="n"/>
      <c r="IV26" s="47" t="n"/>
      <c r="IW26" s="49" t="n"/>
      <c r="IX26" s="35" t="n"/>
      <c r="IY26" s="51" t="n">
        <v>300</v>
      </c>
      <c r="IZ26" s="35" t="n"/>
      <c r="JA26" s="380" t="n">
        <v>0</v>
      </c>
      <c r="JB26" s="35" t="n"/>
      <c r="JC26" s="381">
        <f>HG26+HK26+HO26+HS26+HW26+IA26+IE26+II26+IM26+IQ26+IU26+IY26</f>
        <v/>
      </c>
      <c r="JD26" s="381">
        <f>JC26*$I26</f>
        <v/>
      </c>
    </row>
    <row r="27">
      <c r="A27" s="382" t="n"/>
      <c r="B27" s="382" t="n"/>
      <c r="C27" s="382" t="n"/>
      <c r="D27" s="382" t="n"/>
      <c r="E27" s="25" t="n">
        <v>3</v>
      </c>
      <c r="F27" s="25" t="n">
        <v>1</v>
      </c>
      <c r="G27" s="137" t="n">
        <v>9710029000</v>
      </c>
      <c r="H27" s="138" t="inlineStr">
        <is>
          <t xml:space="preserve">PREV </t>
        </is>
      </c>
      <c r="I27" s="28" t="n">
        <v>384.23</v>
      </c>
      <c r="J27" s="29" t="n">
        <v>384.23</v>
      </c>
      <c r="K27" s="297" t="n">
        <v>349.18</v>
      </c>
      <c r="L27" s="297" t="n">
        <v>349.18</v>
      </c>
      <c r="M27" s="29" t="n"/>
      <c r="N27" s="29" t="n"/>
      <c r="O27" s="30" t="n">
        <v>400</v>
      </c>
      <c r="P27" s="31" t="n">
        <v>400</v>
      </c>
      <c r="Q27" s="32" t="n">
        <v>200</v>
      </c>
      <c r="R27" s="31" t="n"/>
      <c r="S27" s="30" t="n">
        <v>400</v>
      </c>
      <c r="T27" s="31" t="n">
        <v>400</v>
      </c>
      <c r="U27" s="32" t="n">
        <v>400</v>
      </c>
      <c r="V27" s="31" t="n"/>
      <c r="W27" s="30" t="n">
        <v>450</v>
      </c>
      <c r="X27" s="31" t="n">
        <v>450</v>
      </c>
      <c r="Y27" s="32" t="n">
        <v>215</v>
      </c>
      <c r="Z27" s="31" t="n"/>
      <c r="AA27" s="30" t="n">
        <v>450</v>
      </c>
      <c r="AB27" s="134" t="n">
        <v>400</v>
      </c>
      <c r="AC27" s="32" t="n">
        <v>400</v>
      </c>
      <c r="AD27" s="31" t="n"/>
      <c r="AE27" s="30" t="n">
        <v>450</v>
      </c>
      <c r="AF27" s="31" t="n">
        <v>400</v>
      </c>
      <c r="AG27" s="32" t="n">
        <v>410</v>
      </c>
      <c r="AH27" s="139" t="n"/>
      <c r="AI27" s="30" t="n">
        <v>500</v>
      </c>
      <c r="AJ27" s="31" t="n">
        <v>400</v>
      </c>
      <c r="AK27" s="140" t="n">
        <v>410</v>
      </c>
      <c r="AL27" s="139" t="inlineStr">
        <is>
          <t>Корректировка прогноза клиентом</t>
        </is>
      </c>
      <c r="AM27" s="30" t="n"/>
      <c r="AN27" s="31" t="n">
        <v>400</v>
      </c>
      <c r="AO27" s="140" t="n">
        <v>200</v>
      </c>
      <c r="AP27" s="139" t="n"/>
      <c r="AQ27" s="30" t="n"/>
      <c r="AR27" s="37" t="n">
        <v>300</v>
      </c>
      <c r="AS27" s="140" t="n">
        <v>200</v>
      </c>
      <c r="AT27" s="139" t="n"/>
      <c r="AU27" s="30" t="n"/>
      <c r="AV27" s="37" t="n">
        <v>300</v>
      </c>
      <c r="AW27" s="140" t="n">
        <v>0</v>
      </c>
      <c r="AX27" s="139" t="n"/>
      <c r="AY27" s="30" t="n"/>
      <c r="AZ27" s="135" t="n">
        <v>220</v>
      </c>
      <c r="BA27" s="140" t="n">
        <v>220</v>
      </c>
      <c r="BB27" s="141" t="n"/>
      <c r="BC27" s="30" t="n"/>
      <c r="BD27" s="135" t="n">
        <v>220</v>
      </c>
      <c r="BE27" s="142" t="n">
        <v>220</v>
      </c>
      <c r="BF27" s="141" t="n"/>
      <c r="BG27" s="30" t="n"/>
      <c r="BH27" s="135" t="n">
        <v>220</v>
      </c>
      <c r="BI27" s="136" t="n">
        <v>0</v>
      </c>
      <c r="BJ27" s="141" t="n"/>
      <c r="BK27" s="381">
        <f>O27+S27+W27+AA27+AE27+AI27+AM27+AQ27+AU27+AY27+BC27+BG27</f>
        <v/>
      </c>
      <c r="BL27" s="381">
        <f>BK27*$I27</f>
        <v/>
      </c>
      <c r="BM27" s="41" t="n">
        <v>280</v>
      </c>
      <c r="BN27" s="35" t="n">
        <v>280</v>
      </c>
      <c r="BO27" s="32" t="n">
        <v>280</v>
      </c>
      <c r="BP27" s="31" t="n"/>
      <c r="BQ27" s="41" t="n">
        <v>280</v>
      </c>
      <c r="BR27" s="82" t="n">
        <v>280</v>
      </c>
      <c r="BS27" s="32" t="n">
        <v>0</v>
      </c>
      <c r="BT27" s="31" t="n"/>
      <c r="BU27" s="41" t="n">
        <v>280</v>
      </c>
      <c r="BV27" s="82" t="n">
        <v>0</v>
      </c>
      <c r="BW27" s="32" t="n">
        <v>0</v>
      </c>
      <c r="BX27" s="31" t="n"/>
      <c r="BY27" s="41" t="n">
        <v>300</v>
      </c>
      <c r="BZ27" s="47" t="n">
        <v>0</v>
      </c>
      <c r="CA27" s="44" t="n">
        <v>0</v>
      </c>
      <c r="CB27" s="35" t="n"/>
      <c r="CC27" s="45" t="n">
        <v>300</v>
      </c>
      <c r="CD27" s="35" t="n">
        <v>0</v>
      </c>
      <c r="CE27" s="32" t="n">
        <v>0</v>
      </c>
      <c r="CF27" s="139" t="n"/>
      <c r="CG27" s="41" t="n">
        <v>300</v>
      </c>
      <c r="CH27" s="47" t="n">
        <v>0</v>
      </c>
      <c r="CI27" s="140" t="n">
        <v>118</v>
      </c>
      <c r="CJ27" s="139" t="n"/>
      <c r="CK27" s="45" t="n">
        <v>300</v>
      </c>
      <c r="CL27" s="47" t="n">
        <v>50</v>
      </c>
      <c r="CM27" s="143" t="n">
        <v>100</v>
      </c>
      <c r="CN27" s="144" t="n"/>
      <c r="CO27" s="45" t="n">
        <v>300</v>
      </c>
      <c r="CP27" s="35" t="n">
        <v>50</v>
      </c>
      <c r="CQ27" s="143" t="n">
        <v>100</v>
      </c>
      <c r="CR27" s="144" t="n"/>
      <c r="CS27" s="45" t="n">
        <v>300</v>
      </c>
      <c r="CT27" s="47" t="n">
        <v>100</v>
      </c>
      <c r="CU27" s="44" t="n">
        <v>0</v>
      </c>
      <c r="CV27" s="144" t="n"/>
      <c r="CW27" s="45" t="n">
        <v>300</v>
      </c>
      <c r="CX27" s="47" t="n">
        <v>100</v>
      </c>
      <c r="CY27" s="44" t="n">
        <v>50</v>
      </c>
      <c r="CZ27" s="144" t="n"/>
      <c r="DA27" s="45" t="n">
        <v>300</v>
      </c>
      <c r="DB27" s="47" t="n">
        <v>100</v>
      </c>
      <c r="DC27" s="142" t="n">
        <v>0</v>
      </c>
      <c r="DD27" s="144" t="n"/>
      <c r="DE27" s="45" t="n">
        <v>300</v>
      </c>
      <c r="DF27" s="281" t="n">
        <v>50</v>
      </c>
      <c r="DG27" s="42" t="n">
        <v>0</v>
      </c>
      <c r="DH27" s="144" t="n"/>
      <c r="DI27" s="379">
        <f>BM27+BQ27+BU27+BY27+CC27+CG27+CK27+CO27+CS27+CW27+DA27+DE27</f>
        <v/>
      </c>
      <c r="DJ27" s="379">
        <f>DI27*$I27</f>
        <v/>
      </c>
      <c r="DK27" s="52" t="n">
        <v>100</v>
      </c>
      <c r="DL27" s="35" t="n">
        <v>30</v>
      </c>
      <c r="DM27" s="44" t="n">
        <v>0</v>
      </c>
      <c r="DN27" s="35" t="n"/>
      <c r="DO27" s="82" t="n">
        <v>100</v>
      </c>
      <c r="DP27" s="35" t="n">
        <v>100</v>
      </c>
      <c r="DQ27" s="44" t="n">
        <v>130</v>
      </c>
      <c r="DR27" s="35" t="n"/>
      <c r="DS27" s="82" t="n">
        <v>100</v>
      </c>
      <c r="DT27" s="281" t="n">
        <v>550</v>
      </c>
      <c r="DU27" s="44" t="n">
        <v>450</v>
      </c>
      <c r="DV27" s="35" t="n"/>
      <c r="DW27" s="82" t="n">
        <v>100</v>
      </c>
      <c r="DX27" s="35" t="n">
        <v>100</v>
      </c>
      <c r="DY27" s="44" t="n">
        <v>100</v>
      </c>
      <c r="DZ27" s="36" t="n"/>
      <c r="EA27" s="82" t="n">
        <v>100</v>
      </c>
      <c r="EB27" s="35" t="n">
        <v>200</v>
      </c>
      <c r="EC27" s="44" t="n">
        <v>0</v>
      </c>
      <c r="ED27" s="36" t="n"/>
      <c r="EE27" s="82" t="n">
        <v>100</v>
      </c>
      <c r="EF27" s="281" t="n">
        <v>70</v>
      </c>
      <c r="EG27" s="44" t="n">
        <v>0</v>
      </c>
      <c r="EH27" s="35" t="n"/>
      <c r="EI27" s="82" t="n">
        <v>100</v>
      </c>
      <c r="EJ27" s="281" t="n">
        <v>70</v>
      </c>
      <c r="EK27" s="44" t="n">
        <v>0</v>
      </c>
      <c r="EL27" s="35" t="n"/>
      <c r="EM27" s="82" t="n">
        <v>100</v>
      </c>
      <c r="EN27" s="281" t="n">
        <v>70</v>
      </c>
      <c r="EO27" s="44" t="n">
        <v>0</v>
      </c>
      <c r="EP27" s="35" t="n"/>
      <c r="EQ27" s="82" t="n">
        <v>100</v>
      </c>
      <c r="ER27" s="281" t="n">
        <v>70</v>
      </c>
      <c r="ES27" s="44" t="n">
        <v>0</v>
      </c>
      <c r="ET27" s="35" t="n"/>
      <c r="EU27" s="82" t="n">
        <v>100</v>
      </c>
      <c r="EV27" s="281" t="n">
        <v>70</v>
      </c>
      <c r="EW27" s="44" t="n">
        <v>0</v>
      </c>
      <c r="EX27" s="35" t="n"/>
      <c r="EY27" s="82" t="n">
        <v>100</v>
      </c>
      <c r="EZ27" s="281" t="n">
        <v>70</v>
      </c>
      <c r="FA27" s="288" t="n">
        <v>0</v>
      </c>
      <c r="FB27" s="35" t="n"/>
      <c r="FC27" s="82" t="n">
        <v>100</v>
      </c>
      <c r="FD27" s="281" t="n">
        <v>70</v>
      </c>
      <c r="FE27" s="380" t="n">
        <v>0</v>
      </c>
      <c r="FF27" s="35" t="n"/>
      <c r="FG27" s="379">
        <f>DK27+DO27+DS27+DW27+EA27+EE27+EI27+EM27+EQ27+EU27+EY27+FC27</f>
        <v/>
      </c>
      <c r="FH27" s="379">
        <f>FG27*$I27</f>
        <v/>
      </c>
      <c r="FI27" s="47" t="n">
        <v>100</v>
      </c>
      <c r="FJ27" s="35" t="n"/>
      <c r="FK27" s="44" t="n">
        <v>0</v>
      </c>
      <c r="FL27" s="35" t="n"/>
      <c r="FM27" s="51" t="n">
        <v>200</v>
      </c>
      <c r="FN27" s="82" t="n"/>
      <c r="FO27" s="44" t="n">
        <v>0</v>
      </c>
      <c r="FP27" s="35" t="n"/>
      <c r="FQ27" s="51" t="n">
        <v>200</v>
      </c>
      <c r="FR27" s="82" t="n"/>
      <c r="FS27" s="44" t="n">
        <v>0</v>
      </c>
      <c r="FT27" s="35" t="n"/>
      <c r="FU27" s="51" t="n">
        <v>200</v>
      </c>
      <c r="FV27" s="47" t="n"/>
      <c r="FW27" s="44" t="n">
        <v>0</v>
      </c>
      <c r="FX27" s="35" t="n"/>
      <c r="FY27" s="51" t="n">
        <v>200</v>
      </c>
      <c r="FZ27" s="35" t="n"/>
      <c r="GA27" s="44" t="n">
        <v>0</v>
      </c>
      <c r="GB27" s="144" t="n"/>
      <c r="GC27" s="51" t="n">
        <v>250</v>
      </c>
      <c r="GD27" s="47" t="n"/>
      <c r="GE27" s="143" t="n">
        <v>0</v>
      </c>
      <c r="GF27" s="144" t="n"/>
      <c r="GG27" s="51" t="n">
        <v>250</v>
      </c>
      <c r="GH27" s="47" t="n"/>
      <c r="GI27" s="143" t="n">
        <v>0</v>
      </c>
      <c r="GJ27" s="144" t="n"/>
      <c r="GK27" s="51" t="n">
        <v>250</v>
      </c>
      <c r="GL27" s="35" t="n"/>
      <c r="GM27" s="143" t="n">
        <v>0</v>
      </c>
      <c r="GN27" s="144" t="n"/>
      <c r="GO27" s="51" t="n">
        <v>250</v>
      </c>
      <c r="GP27" s="47" t="n"/>
      <c r="GQ27" s="143" t="n">
        <v>0</v>
      </c>
      <c r="GR27" s="144" t="n"/>
      <c r="GS27" s="51" t="n">
        <v>250</v>
      </c>
      <c r="GT27" s="47" t="n"/>
      <c r="GU27" s="143" t="n">
        <v>0</v>
      </c>
      <c r="GV27" s="144" t="n"/>
      <c r="GW27" s="51" t="n">
        <v>250</v>
      </c>
      <c r="GX27" s="47" t="n"/>
      <c r="GY27" s="142" t="n">
        <v>0</v>
      </c>
      <c r="GZ27" s="144" t="n"/>
      <c r="HA27" s="51" t="n">
        <v>250</v>
      </c>
      <c r="HB27" s="35" t="n"/>
      <c r="HC27" s="380" t="n">
        <v>0</v>
      </c>
      <c r="HD27" s="144" t="n"/>
      <c r="HE27" s="379">
        <f>FI27+FM27+FQ27+FU27+FY27+GC27+GG27+GK27+GO27+GS27+GW27+HA27</f>
        <v/>
      </c>
      <c r="HF27" s="379">
        <f>HE27*$I27</f>
        <v/>
      </c>
      <c r="HG27" s="51" t="n">
        <v>250</v>
      </c>
      <c r="HH27" s="35" t="n"/>
      <c r="HI27" s="44" t="n">
        <v>0</v>
      </c>
      <c r="HJ27" s="35" t="n"/>
      <c r="HK27" s="51" t="n">
        <v>280</v>
      </c>
      <c r="HL27" s="82" t="n"/>
      <c r="HM27" s="44" t="n">
        <v>0</v>
      </c>
      <c r="HN27" s="35" t="n"/>
      <c r="HO27" s="51" t="n">
        <v>280</v>
      </c>
      <c r="HP27" s="82" t="n"/>
      <c r="HQ27" s="44" t="n">
        <v>0</v>
      </c>
      <c r="HR27" s="35" t="n"/>
      <c r="HS27" s="51" t="n">
        <v>280</v>
      </c>
      <c r="HT27" s="47" t="n"/>
      <c r="HU27" s="44" t="n">
        <v>0</v>
      </c>
      <c r="HV27" s="35" t="n"/>
      <c r="HW27" s="51" t="n">
        <v>280</v>
      </c>
      <c r="HX27" s="35" t="n"/>
      <c r="HY27" s="44" t="n">
        <v>0</v>
      </c>
      <c r="HZ27" s="144" t="n"/>
      <c r="IA27" s="51" t="n">
        <v>280</v>
      </c>
      <c r="IB27" s="47" t="n"/>
      <c r="IC27" s="143" t="n">
        <v>0</v>
      </c>
      <c r="ID27" s="144" t="n"/>
      <c r="IE27" s="51" t="n">
        <v>280</v>
      </c>
      <c r="IF27" s="47" t="n"/>
      <c r="IG27" s="143" t="n">
        <v>0</v>
      </c>
      <c r="IH27" s="144" t="n"/>
      <c r="II27" s="51" t="n">
        <v>300</v>
      </c>
      <c r="IJ27" s="35" t="n"/>
      <c r="IK27" s="143" t="n">
        <v>0</v>
      </c>
      <c r="IL27" s="144" t="n"/>
      <c r="IM27" s="51" t="n">
        <v>300</v>
      </c>
      <c r="IN27" s="47" t="n"/>
      <c r="IO27" s="143" t="n">
        <v>0</v>
      </c>
      <c r="IP27" s="144" t="n"/>
      <c r="IQ27" s="51" t="n">
        <v>300</v>
      </c>
      <c r="IR27" s="47" t="n"/>
      <c r="IS27" s="143" t="n">
        <v>0</v>
      </c>
      <c r="IT27" s="144" t="n"/>
      <c r="IU27" s="45" t="n"/>
      <c r="IV27" s="47" t="n"/>
      <c r="IW27" s="142" t="n"/>
      <c r="IX27" s="144" t="n"/>
      <c r="IY27" s="51" t="n">
        <v>300</v>
      </c>
      <c r="IZ27" s="35" t="n"/>
      <c r="JA27" s="380" t="n">
        <v>0</v>
      </c>
      <c r="JB27" s="144" t="n"/>
      <c r="JC27" s="381">
        <f>HG27+HK27+HO27+HS27+HW27+IA27+IE27+II27+IM27+IQ27+IU27+IY27</f>
        <v/>
      </c>
      <c r="JD27" s="381">
        <f>JC27*$I27</f>
        <v/>
      </c>
    </row>
    <row r="28">
      <c r="A28" s="382" t="n"/>
      <c r="B28" s="382" t="n"/>
      <c r="C28" s="382" t="n"/>
      <c r="D28" s="382" t="n"/>
      <c r="E28" s="25" t="n">
        <v>4</v>
      </c>
      <c r="F28" s="25" t="n">
        <v>1</v>
      </c>
      <c r="G28" s="137" t="n">
        <v>4801020640</v>
      </c>
      <c r="H28" s="27" t="inlineStr">
        <is>
          <t>Блок TEBS-E Premium + PEM</t>
        </is>
      </c>
      <c r="I28" s="28" t="n">
        <v>3688.9</v>
      </c>
      <c r="J28" s="57" t="n">
        <v>3968.07</v>
      </c>
      <c r="K28" s="297" t="n">
        <v>4436.57</v>
      </c>
      <c r="L28" s="297" t="n">
        <v>4436.57</v>
      </c>
      <c r="M28" s="57" t="n"/>
      <c r="N28" s="57" t="n"/>
      <c r="O28" s="30" t="n">
        <v>400</v>
      </c>
      <c r="P28" s="31" t="n">
        <v>400</v>
      </c>
      <c r="Q28" s="32" t="n">
        <v>200</v>
      </c>
      <c r="R28" s="31" t="n"/>
      <c r="S28" s="30" t="n">
        <v>400</v>
      </c>
      <c r="T28" s="31" t="n">
        <v>400</v>
      </c>
      <c r="U28" s="32" t="n">
        <v>400</v>
      </c>
      <c r="V28" s="31" t="n"/>
      <c r="W28" s="30" t="n">
        <v>450</v>
      </c>
      <c r="X28" s="31" t="n">
        <v>450</v>
      </c>
      <c r="Y28" s="55" t="n">
        <v>215</v>
      </c>
      <c r="Z28" s="31" t="n"/>
      <c r="AA28" s="30" t="n">
        <v>450</v>
      </c>
      <c r="AB28" s="134" t="n">
        <v>400</v>
      </c>
      <c r="AC28" s="32" t="n">
        <v>400</v>
      </c>
      <c r="AD28" s="31" t="n"/>
      <c r="AE28" s="30" t="n">
        <v>450</v>
      </c>
      <c r="AF28" s="31" t="n">
        <v>400</v>
      </c>
      <c r="AG28" s="55" t="n">
        <v>410</v>
      </c>
      <c r="AH28" s="139" t="n"/>
      <c r="AI28" s="30" t="n">
        <v>500</v>
      </c>
      <c r="AJ28" s="31" t="n">
        <v>400</v>
      </c>
      <c r="AK28" s="140" t="n">
        <v>410</v>
      </c>
      <c r="AL28" s="140" t="inlineStr">
        <is>
          <t xml:space="preserve">Корректировка прогноза клиентом. </t>
        </is>
      </c>
      <c r="AM28" s="30" t="n"/>
      <c r="AN28" s="31" t="n">
        <v>400</v>
      </c>
      <c r="AO28" s="140" t="n">
        <v>200</v>
      </c>
      <c r="AP28" s="139" t="n"/>
      <c r="AQ28" s="30" t="n"/>
      <c r="AR28" s="37" t="n">
        <v>300</v>
      </c>
      <c r="AS28" s="140" t="n">
        <v>200</v>
      </c>
      <c r="AT28" s="139" t="n"/>
      <c r="AU28" s="30" t="n"/>
      <c r="AV28" s="37" t="n">
        <v>300</v>
      </c>
      <c r="AW28" s="140" t="n">
        <v>0</v>
      </c>
      <c r="AX28" s="139" t="n"/>
      <c r="AY28" s="30" t="n"/>
      <c r="AZ28" s="135" t="n">
        <v>220</v>
      </c>
      <c r="BA28" s="140" t="n">
        <v>220</v>
      </c>
      <c r="BB28" s="141" t="n"/>
      <c r="BC28" s="30" t="n"/>
      <c r="BD28" s="135" t="n">
        <v>220</v>
      </c>
      <c r="BE28" s="145" t="n">
        <v>220</v>
      </c>
      <c r="BF28" s="141" t="n"/>
      <c r="BG28" s="30" t="n"/>
      <c r="BH28" s="135" t="n">
        <v>220</v>
      </c>
      <c r="BI28" s="136" t="n">
        <v>0</v>
      </c>
      <c r="BJ28" s="141" t="n"/>
      <c r="BK28" s="381">
        <f>O28+S28+W28+AA28+AE28+AI28+AM28+AQ28+AU28+AY28+BC28+BG28</f>
        <v/>
      </c>
      <c r="BL28" s="381">
        <f>BK28*$I28</f>
        <v/>
      </c>
      <c r="BM28" s="41" t="n">
        <v>280</v>
      </c>
      <c r="BN28" s="35" t="n">
        <v>280</v>
      </c>
      <c r="BO28" s="32" t="n">
        <v>280</v>
      </c>
      <c r="BP28" s="31" t="n"/>
      <c r="BQ28" s="41" t="n">
        <v>280</v>
      </c>
      <c r="BR28" s="82" t="n">
        <v>280</v>
      </c>
      <c r="BS28" s="32" t="n">
        <v>0</v>
      </c>
      <c r="BT28" s="31" t="n"/>
      <c r="BU28" s="41" t="n">
        <v>280</v>
      </c>
      <c r="BV28" s="82" t="n">
        <v>0</v>
      </c>
      <c r="BW28" s="55" t="n">
        <v>0</v>
      </c>
      <c r="BX28" s="31" t="n"/>
      <c r="BY28" s="41" t="n">
        <v>300</v>
      </c>
      <c r="BZ28" s="47" t="n">
        <v>0</v>
      </c>
      <c r="CA28" s="44" t="n">
        <v>0</v>
      </c>
      <c r="CB28" s="35" t="n"/>
      <c r="CC28" s="45" t="n">
        <v>300</v>
      </c>
      <c r="CD28" s="35" t="n">
        <v>0</v>
      </c>
      <c r="CE28" s="32" t="n">
        <v>0</v>
      </c>
      <c r="CF28" s="139" t="n"/>
      <c r="CG28" s="41" t="n">
        <v>300</v>
      </c>
      <c r="CH28" s="47" t="n">
        <v>0</v>
      </c>
      <c r="CI28" s="140" t="n">
        <v>118</v>
      </c>
      <c r="CJ28" s="139" t="n"/>
      <c r="CK28" s="45" t="n">
        <v>300</v>
      </c>
      <c r="CL28" s="47" t="n">
        <v>50</v>
      </c>
      <c r="CM28" s="143" t="n">
        <v>100</v>
      </c>
      <c r="CN28" s="144" t="n"/>
      <c r="CO28" s="45" t="n">
        <v>300</v>
      </c>
      <c r="CP28" s="35" t="n">
        <v>50</v>
      </c>
      <c r="CQ28" s="143" t="n">
        <v>100</v>
      </c>
      <c r="CR28" s="144" t="n"/>
      <c r="CS28" s="45" t="n">
        <v>300</v>
      </c>
      <c r="CT28" s="47" t="n">
        <v>100</v>
      </c>
      <c r="CU28" s="44" t="n">
        <v>0</v>
      </c>
      <c r="CV28" s="144" t="n"/>
      <c r="CW28" s="45" t="n">
        <v>300</v>
      </c>
      <c r="CX28" s="47" t="n">
        <v>100</v>
      </c>
      <c r="CY28" s="56" t="n">
        <v>50</v>
      </c>
      <c r="CZ28" s="144" t="n"/>
      <c r="DA28" s="45" t="n">
        <v>300</v>
      </c>
      <c r="DB28" s="47" t="n">
        <v>100</v>
      </c>
      <c r="DC28" s="142" t="n">
        <v>0</v>
      </c>
      <c r="DD28" s="144" t="n"/>
      <c r="DE28" s="45" t="n">
        <v>300</v>
      </c>
      <c r="DF28" s="281" t="n">
        <v>50</v>
      </c>
      <c r="DG28" s="42" t="n">
        <v>0</v>
      </c>
      <c r="DH28" s="144" t="n"/>
      <c r="DI28" s="379">
        <f>BM28+BQ28+BU28+BY28+CC28+CG28+CK28+CO28+CS28+CW28+DA28+DE28</f>
        <v/>
      </c>
      <c r="DJ28" s="379">
        <f>DI28*$I28</f>
        <v/>
      </c>
      <c r="DK28" s="52" t="n">
        <v>100</v>
      </c>
      <c r="DL28" s="35" t="n">
        <v>30</v>
      </c>
      <c r="DM28" s="44" t="n">
        <v>0</v>
      </c>
      <c r="DN28" s="35" t="n"/>
      <c r="DO28" s="82" t="n">
        <v>100</v>
      </c>
      <c r="DP28" s="35" t="n">
        <v>100</v>
      </c>
      <c r="DQ28" s="44" t="n">
        <v>130</v>
      </c>
      <c r="DR28" s="35" t="n"/>
      <c r="DS28" s="82" t="n">
        <v>100</v>
      </c>
      <c r="DT28" s="281" t="n">
        <v>550</v>
      </c>
      <c r="DU28" s="44" t="n">
        <v>450</v>
      </c>
      <c r="DV28" s="35" t="n"/>
      <c r="DW28" s="82" t="n">
        <v>100</v>
      </c>
      <c r="DX28" s="35" t="n">
        <v>100</v>
      </c>
      <c r="DY28" s="44" t="n">
        <v>100</v>
      </c>
      <c r="DZ28" s="36" t="n"/>
      <c r="EA28" s="82" t="n">
        <v>100</v>
      </c>
      <c r="EB28" s="35" t="n">
        <v>200</v>
      </c>
      <c r="EC28" s="44" t="n">
        <v>0</v>
      </c>
      <c r="ED28" s="36" t="n"/>
      <c r="EE28" s="82" t="n">
        <v>100</v>
      </c>
      <c r="EF28" s="281" t="n">
        <v>70</v>
      </c>
      <c r="EG28" s="44" t="n">
        <v>0</v>
      </c>
      <c r="EH28" s="35" t="n"/>
      <c r="EI28" s="82" t="n">
        <v>100</v>
      </c>
      <c r="EJ28" s="281" t="n">
        <v>70</v>
      </c>
      <c r="EK28" s="44" t="n">
        <v>0</v>
      </c>
      <c r="EL28" s="35" t="n"/>
      <c r="EM28" s="82" t="n">
        <v>100</v>
      </c>
      <c r="EN28" s="281" t="n">
        <v>70</v>
      </c>
      <c r="EO28" s="44" t="n">
        <v>0</v>
      </c>
      <c r="EP28" s="35" t="n"/>
      <c r="EQ28" s="82" t="n">
        <v>100</v>
      </c>
      <c r="ER28" s="281" t="n">
        <v>70</v>
      </c>
      <c r="ES28" s="44" t="n">
        <v>0</v>
      </c>
      <c r="ET28" s="35" t="n"/>
      <c r="EU28" s="82" t="n">
        <v>100</v>
      </c>
      <c r="EV28" s="281" t="n">
        <v>70</v>
      </c>
      <c r="EW28" s="44" t="n">
        <v>0</v>
      </c>
      <c r="EX28" s="35" t="n"/>
      <c r="EY28" s="82" t="n">
        <v>100</v>
      </c>
      <c r="EZ28" s="281" t="n">
        <v>70</v>
      </c>
      <c r="FA28" s="288" t="n">
        <v>0</v>
      </c>
      <c r="FB28" s="35" t="n"/>
      <c r="FC28" s="82" t="n">
        <v>100</v>
      </c>
      <c r="FD28" s="281" t="n">
        <v>70</v>
      </c>
      <c r="FE28" s="380" t="n">
        <v>0</v>
      </c>
      <c r="FF28" s="35" t="n"/>
      <c r="FG28" s="379">
        <f>DK28+DO28+DS28+DW28+EA28+EE28+EI28+EM28+EQ28+EU28+EY28+FC28</f>
        <v/>
      </c>
      <c r="FH28" s="379">
        <f>FG28*$I28</f>
        <v/>
      </c>
      <c r="FI28" s="47" t="n">
        <v>100</v>
      </c>
      <c r="FJ28" s="35" t="n"/>
      <c r="FK28" s="44" t="n">
        <v>0</v>
      </c>
      <c r="FL28" s="35" t="n"/>
      <c r="FM28" s="51" t="n">
        <v>200</v>
      </c>
      <c r="FN28" s="82" t="n"/>
      <c r="FO28" s="44" t="n">
        <v>0</v>
      </c>
      <c r="FP28" s="35" t="n"/>
      <c r="FQ28" s="51" t="n">
        <v>200</v>
      </c>
      <c r="FR28" s="82" t="n"/>
      <c r="FS28" s="56" t="n">
        <v>0</v>
      </c>
      <c r="FT28" s="35" t="n"/>
      <c r="FU28" s="51" t="n">
        <v>200</v>
      </c>
      <c r="FV28" s="47" t="n"/>
      <c r="FW28" s="44" t="n">
        <v>0</v>
      </c>
      <c r="FX28" s="35" t="n"/>
      <c r="FY28" s="51" t="n">
        <v>200</v>
      </c>
      <c r="FZ28" s="35" t="n"/>
      <c r="GA28" s="56" t="n">
        <v>0</v>
      </c>
      <c r="GB28" s="144" t="n"/>
      <c r="GC28" s="51" t="n">
        <v>250</v>
      </c>
      <c r="GD28" s="47" t="n"/>
      <c r="GE28" s="143" t="n">
        <v>0</v>
      </c>
      <c r="GF28" s="144" t="n"/>
      <c r="GG28" s="51" t="n">
        <v>250</v>
      </c>
      <c r="GH28" s="47" t="n"/>
      <c r="GI28" s="143" t="n">
        <v>0</v>
      </c>
      <c r="GJ28" s="144" t="n"/>
      <c r="GK28" s="51" t="n">
        <v>250</v>
      </c>
      <c r="GL28" s="35" t="n"/>
      <c r="GM28" s="143" t="n">
        <v>0</v>
      </c>
      <c r="GN28" s="144" t="n"/>
      <c r="GO28" s="51" t="n">
        <v>250</v>
      </c>
      <c r="GP28" s="47" t="n"/>
      <c r="GQ28" s="143" t="n">
        <v>0</v>
      </c>
      <c r="GR28" s="144" t="n"/>
      <c r="GS28" s="51" t="n">
        <v>250</v>
      </c>
      <c r="GT28" s="47" t="n"/>
      <c r="GU28" s="143" t="n">
        <v>0</v>
      </c>
      <c r="GV28" s="144" t="n"/>
      <c r="GW28" s="51" t="n">
        <v>250</v>
      </c>
      <c r="GX28" s="47" t="n"/>
      <c r="GY28" s="142" t="n">
        <v>0</v>
      </c>
      <c r="GZ28" s="144" t="n"/>
      <c r="HA28" s="51" t="n">
        <v>250</v>
      </c>
      <c r="HB28" s="35" t="n"/>
      <c r="HC28" s="380" t="n">
        <v>0</v>
      </c>
      <c r="HD28" s="144" t="n"/>
      <c r="HE28" s="379">
        <f>FI28+FM28+FQ28+FU28+FY28+GC28+GG28+GK28+GO28+GS28+GW28+HA28</f>
        <v/>
      </c>
      <c r="HF28" s="379">
        <f>HE28*$I28</f>
        <v/>
      </c>
      <c r="HG28" s="51" t="n">
        <v>250</v>
      </c>
      <c r="HH28" s="35" t="n"/>
      <c r="HI28" s="44" t="n">
        <v>0</v>
      </c>
      <c r="HJ28" s="35" t="n"/>
      <c r="HK28" s="51" t="n">
        <v>280</v>
      </c>
      <c r="HL28" s="82" t="n"/>
      <c r="HM28" s="44" t="n">
        <v>0</v>
      </c>
      <c r="HN28" s="35" t="n"/>
      <c r="HO28" s="51" t="n">
        <v>280</v>
      </c>
      <c r="HP28" s="82" t="n"/>
      <c r="HQ28" s="56" t="n">
        <v>0</v>
      </c>
      <c r="HR28" s="35" t="n"/>
      <c r="HS28" s="51" t="n">
        <v>280</v>
      </c>
      <c r="HT28" s="47" t="n"/>
      <c r="HU28" s="44" t="n">
        <v>0</v>
      </c>
      <c r="HV28" s="35" t="n"/>
      <c r="HW28" s="51" t="n">
        <v>280</v>
      </c>
      <c r="HX28" s="35" t="n"/>
      <c r="HY28" s="56" t="n">
        <v>0</v>
      </c>
      <c r="HZ28" s="144" t="n"/>
      <c r="IA28" s="51" t="n">
        <v>280</v>
      </c>
      <c r="IB28" s="47" t="n"/>
      <c r="IC28" s="143" t="n">
        <v>0</v>
      </c>
      <c r="ID28" s="144" t="n"/>
      <c r="IE28" s="51" t="n">
        <v>280</v>
      </c>
      <c r="IF28" s="47" t="n"/>
      <c r="IG28" s="143" t="n">
        <v>0</v>
      </c>
      <c r="IH28" s="144" t="n"/>
      <c r="II28" s="51" t="n">
        <v>300</v>
      </c>
      <c r="IJ28" s="35" t="n"/>
      <c r="IK28" s="143" t="n">
        <v>0</v>
      </c>
      <c r="IL28" s="144" t="n"/>
      <c r="IM28" s="51" t="n">
        <v>300</v>
      </c>
      <c r="IN28" s="47" t="n"/>
      <c r="IO28" s="143" t="n">
        <v>0</v>
      </c>
      <c r="IP28" s="144" t="n"/>
      <c r="IQ28" s="51" t="n">
        <v>300</v>
      </c>
      <c r="IR28" s="47" t="n"/>
      <c r="IS28" s="143" t="n">
        <v>0</v>
      </c>
      <c r="IT28" s="144" t="n"/>
      <c r="IU28" s="45" t="n"/>
      <c r="IV28" s="47" t="n"/>
      <c r="IW28" s="142" t="n"/>
      <c r="IX28" s="144" t="n"/>
      <c r="IY28" s="51" t="n">
        <v>300</v>
      </c>
      <c r="IZ28" s="35" t="n"/>
      <c r="JA28" s="380" t="n">
        <v>0</v>
      </c>
      <c r="JB28" s="144" t="n"/>
      <c r="JC28" s="381">
        <f>HG28+HK28+HO28+HS28+HW28+IA28+IE28+II28+IM28+IQ28+IU28+IY28</f>
        <v/>
      </c>
      <c r="JD28" s="381">
        <f>JC28*$I28</f>
        <v/>
      </c>
    </row>
    <row r="29" ht="17.25" customHeight="1">
      <c r="A29" s="382" t="n"/>
      <c r="B29" s="382" t="n"/>
      <c r="C29" s="382" t="n"/>
      <c r="D29" s="382" t="n"/>
      <c r="E29" s="25" t="n">
        <v>5</v>
      </c>
      <c r="F29" s="25" t="n">
        <v>1</v>
      </c>
      <c r="G29" s="26" t="n">
        <v>4491731200</v>
      </c>
      <c r="H29" s="138" t="inlineStr">
        <is>
          <t>Кабель питания для п/п 12 м</t>
        </is>
      </c>
      <c r="I29" s="28" t="n">
        <v>692.85</v>
      </c>
      <c r="J29" s="29" t="n">
        <v>692.85</v>
      </c>
      <c r="K29" s="29" t="n">
        <v>697.16</v>
      </c>
      <c r="L29" s="29" t="n">
        <v>697.16</v>
      </c>
      <c r="M29" s="29" t="n"/>
      <c r="N29" s="29" t="n"/>
      <c r="O29" s="30" t="n">
        <v>400</v>
      </c>
      <c r="P29" s="31" t="n">
        <v>400</v>
      </c>
      <c r="Q29" s="32" t="n">
        <v>150</v>
      </c>
      <c r="R29" s="31" t="n"/>
      <c r="S29" s="30" t="n">
        <v>400</v>
      </c>
      <c r="T29" s="31" t="n">
        <v>250</v>
      </c>
      <c r="U29" s="32" t="n">
        <v>250</v>
      </c>
      <c r="V29" s="60" t="inlineStr">
        <is>
          <t>Корректировка прогноза клиентом. Увеличение покупки 14 метрового кабеля</t>
        </is>
      </c>
      <c r="W29" s="30" t="n">
        <v>450</v>
      </c>
      <c r="X29" s="31" t="n">
        <v>300</v>
      </c>
      <c r="Y29" s="32" t="n">
        <v>140</v>
      </c>
      <c r="Z29" s="34" t="inlineStr">
        <is>
          <t>Корректировка прогноза клиентом. Увеличение покупки 14 метрового кабеля</t>
        </is>
      </c>
      <c r="AA29" s="30" t="n">
        <v>450</v>
      </c>
      <c r="AB29" s="134" t="n">
        <v>250</v>
      </c>
      <c r="AC29" s="32" t="n">
        <v>250</v>
      </c>
      <c r="AD29" s="31" t="inlineStr">
        <is>
          <t>Корректировка прогноза клиентом. Увеличение покупки 14 метрового кабеля</t>
        </is>
      </c>
      <c r="AE29" s="30" t="n">
        <v>450</v>
      </c>
      <c r="AF29" s="31" t="n">
        <v>250</v>
      </c>
      <c r="AG29" s="140" t="n">
        <v>260</v>
      </c>
      <c r="AH29" s="139" t="inlineStr">
        <is>
          <t>Корректировка прогноза клиентом. Увеличение покупки 14 метрового кабеля</t>
        </is>
      </c>
      <c r="AI29" s="30" t="n">
        <v>500</v>
      </c>
      <c r="AJ29" s="31" t="n">
        <v>250</v>
      </c>
      <c r="AK29" s="140" t="n">
        <v>335</v>
      </c>
      <c r="AL29" s="139" t="inlineStr">
        <is>
          <t>Корректировка прогноза клиентом. Увеличение покупки 14 метрового кабеля</t>
        </is>
      </c>
      <c r="AM29" s="30" t="n"/>
      <c r="AN29" s="31" t="n">
        <v>250</v>
      </c>
      <c r="AO29" s="140" t="n">
        <v>125</v>
      </c>
      <c r="AP29" s="139" t="n"/>
      <c r="AQ29" s="30" t="n"/>
      <c r="AR29" s="37" t="n">
        <v>220</v>
      </c>
      <c r="AS29" s="140" t="n">
        <v>200</v>
      </c>
      <c r="AT29" s="139" t="n"/>
      <c r="AU29" s="30" t="n"/>
      <c r="AV29" s="37" t="n">
        <v>220</v>
      </c>
      <c r="AW29" s="140" t="n">
        <v>0</v>
      </c>
      <c r="AX29" s="139" t="n"/>
      <c r="AY29" s="30" t="n"/>
      <c r="AZ29" s="135" t="n">
        <v>120</v>
      </c>
      <c r="BA29" s="140" t="n">
        <v>120</v>
      </c>
      <c r="BB29" s="141" t="n"/>
      <c r="BC29" s="30" t="n"/>
      <c r="BD29" s="135" t="n">
        <v>120</v>
      </c>
      <c r="BE29" s="145" t="n">
        <v>120</v>
      </c>
      <c r="BF29" s="141" t="n"/>
      <c r="BG29" s="30" t="n"/>
      <c r="BH29" s="135" t="n">
        <v>120</v>
      </c>
      <c r="BI29" s="136" t="n">
        <v>0</v>
      </c>
      <c r="BJ29" s="141" t="n"/>
      <c r="BK29" s="381">
        <f>O29+S29+W29+AA29+AE29+AI29+AM29+AQ29+AU29+AY29+BC29+BG29</f>
        <v/>
      </c>
      <c r="BL29" s="381">
        <f>BK29*$I29</f>
        <v/>
      </c>
      <c r="BM29" s="41" t="n">
        <v>160</v>
      </c>
      <c r="BN29" s="35" t="n">
        <v>160</v>
      </c>
      <c r="BO29" s="32" t="n">
        <v>0</v>
      </c>
      <c r="BP29" s="31" t="n"/>
      <c r="BQ29" s="41" t="n">
        <v>160</v>
      </c>
      <c r="BR29" s="82" t="n">
        <v>160</v>
      </c>
      <c r="BS29" s="32" t="n">
        <v>0</v>
      </c>
      <c r="BT29" s="60" t="n"/>
      <c r="BU29" s="41" t="n">
        <v>160</v>
      </c>
      <c r="BV29" s="82" t="n">
        <v>0</v>
      </c>
      <c r="BW29" s="32" t="n">
        <v>0</v>
      </c>
      <c r="BX29" s="34" t="n"/>
      <c r="BY29" s="41" t="n">
        <v>180</v>
      </c>
      <c r="BZ29" s="47" t="n">
        <v>0</v>
      </c>
      <c r="CA29" s="44" t="n">
        <v>0</v>
      </c>
      <c r="CB29" s="35" t="n"/>
      <c r="CC29" s="45" t="n">
        <v>180</v>
      </c>
      <c r="CD29" s="35" t="n">
        <v>0</v>
      </c>
      <c r="CE29" s="32" t="n">
        <v>0</v>
      </c>
      <c r="CF29" s="139" t="n"/>
      <c r="CG29" s="41" t="n">
        <v>180</v>
      </c>
      <c r="CH29" s="47" t="n">
        <v>0</v>
      </c>
      <c r="CI29" s="140" t="n">
        <v>121</v>
      </c>
      <c r="CJ29" s="139" t="n"/>
      <c r="CK29" s="45" t="n">
        <v>180</v>
      </c>
      <c r="CL29" s="47" t="n">
        <v>0</v>
      </c>
      <c r="CM29" s="143" t="n">
        <v>50</v>
      </c>
      <c r="CN29" s="144" t="n"/>
      <c r="CO29" s="45" t="n">
        <v>180</v>
      </c>
      <c r="CP29" s="35" t="n">
        <v>0</v>
      </c>
      <c r="CQ29" s="143" t="n">
        <v>50</v>
      </c>
      <c r="CR29" s="144" t="n"/>
      <c r="CS29" s="45" t="n">
        <v>180</v>
      </c>
      <c r="CT29" s="47" t="n">
        <v>70</v>
      </c>
      <c r="CU29" s="44" t="n">
        <v>0</v>
      </c>
      <c r="CV29" s="144" t="n"/>
      <c r="CW29" s="45" t="n">
        <v>180</v>
      </c>
      <c r="CX29" s="47" t="n">
        <v>70</v>
      </c>
      <c r="CY29" s="143" t="n">
        <v>0</v>
      </c>
      <c r="CZ29" s="144" t="n"/>
      <c r="DA29" s="45" t="n">
        <v>180</v>
      </c>
      <c r="DB29" s="47" t="n">
        <v>70</v>
      </c>
      <c r="DC29" s="142" t="n">
        <v>0</v>
      </c>
      <c r="DD29" s="144" t="n"/>
      <c r="DE29" s="45" t="n">
        <v>180</v>
      </c>
      <c r="DF29" s="281" t="n">
        <v>0</v>
      </c>
      <c r="DG29" s="42" t="n">
        <v>0</v>
      </c>
      <c r="DH29" s="144" t="n"/>
      <c r="DI29" s="379">
        <f>BM29+BQ29+BU29+BY29+CC29+CG29+CK29+CO29+CS29+CW29+DA29+DE29</f>
        <v/>
      </c>
      <c r="DJ29" s="379">
        <f>DI29*$I29</f>
        <v/>
      </c>
      <c r="DK29" s="52" t="n">
        <v>70</v>
      </c>
      <c r="DL29" s="35" t="n">
        <v>0</v>
      </c>
      <c r="DM29" s="44" t="n">
        <v>0</v>
      </c>
      <c r="DN29" s="35" t="n"/>
      <c r="DO29" s="82" t="n">
        <v>70</v>
      </c>
      <c r="DP29" s="35" t="n">
        <v>0</v>
      </c>
      <c r="DQ29" s="44" t="n">
        <v>0</v>
      </c>
      <c r="DR29" s="35" t="n"/>
      <c r="DS29" s="82" t="n">
        <v>70</v>
      </c>
      <c r="DT29" s="281" t="n">
        <v>50</v>
      </c>
      <c r="DU29" s="44" t="n">
        <v>50</v>
      </c>
      <c r="DV29" s="35" t="n"/>
      <c r="DW29" s="82" t="n">
        <v>70</v>
      </c>
      <c r="DX29" s="35" t="n">
        <v>70</v>
      </c>
      <c r="DY29" s="44" t="n">
        <v>0</v>
      </c>
      <c r="DZ29" s="36" t="n"/>
      <c r="EA29" s="82" t="n">
        <v>70</v>
      </c>
      <c r="EB29" s="35" t="n">
        <v>0</v>
      </c>
      <c r="EC29" s="44" t="n">
        <v>0</v>
      </c>
      <c r="ED29" s="36" t="n"/>
      <c r="EE29" s="82" t="n">
        <v>70</v>
      </c>
      <c r="EF29" s="281" t="n">
        <v>0</v>
      </c>
      <c r="EG29" s="44" t="n">
        <v>0</v>
      </c>
      <c r="EH29" s="35" t="n"/>
      <c r="EI29" s="82" t="n">
        <v>70</v>
      </c>
      <c r="EJ29" s="281" t="n">
        <v>0</v>
      </c>
      <c r="EK29" s="44" t="n">
        <v>0</v>
      </c>
      <c r="EL29" s="35" t="n"/>
      <c r="EM29" s="82" t="n">
        <v>70</v>
      </c>
      <c r="EN29" s="281" t="n">
        <v>0</v>
      </c>
      <c r="EO29" s="44" t="n">
        <v>0</v>
      </c>
      <c r="EP29" s="35" t="n"/>
      <c r="EQ29" s="82" t="n">
        <v>70</v>
      </c>
      <c r="ER29" s="281" t="n">
        <v>0</v>
      </c>
      <c r="ES29" s="44" t="n">
        <v>0</v>
      </c>
      <c r="ET29" s="35" t="n"/>
      <c r="EU29" s="82" t="n">
        <v>70</v>
      </c>
      <c r="EV29" s="281" t="n">
        <v>0</v>
      </c>
      <c r="EW29" s="44" t="n">
        <v>0</v>
      </c>
      <c r="EX29" s="35" t="n"/>
      <c r="EY29" s="82" t="n">
        <v>70</v>
      </c>
      <c r="EZ29" s="281" t="n">
        <v>0</v>
      </c>
      <c r="FA29" s="288" t="n">
        <v>0</v>
      </c>
      <c r="FB29" s="35" t="n"/>
      <c r="FC29" s="82" t="n">
        <v>70</v>
      </c>
      <c r="FD29" s="281" t="n">
        <v>0</v>
      </c>
      <c r="FE29" s="380" t="n">
        <v>0</v>
      </c>
      <c r="FF29" s="35" t="n"/>
      <c r="FG29" s="379">
        <f>DK29+DO29+DS29+DW29+EA29+EE29+EI29+EM29+EQ29+EU29+EY29+FC29</f>
        <v/>
      </c>
      <c r="FH29" s="379">
        <f>FG29*$I29</f>
        <v/>
      </c>
      <c r="FI29" s="47" t="n">
        <v>70</v>
      </c>
      <c r="FJ29" s="35" t="n"/>
      <c r="FK29" s="44" t="n">
        <v>0</v>
      </c>
      <c r="FL29" s="35" t="n"/>
      <c r="FM29" s="51" t="n">
        <v>140</v>
      </c>
      <c r="FN29" s="82" t="n"/>
      <c r="FO29" s="44" t="n">
        <v>0</v>
      </c>
      <c r="FP29" s="61" t="n"/>
      <c r="FQ29" s="51" t="n">
        <v>140</v>
      </c>
      <c r="FR29" s="82" t="n"/>
      <c r="FS29" s="44" t="n">
        <v>0</v>
      </c>
      <c r="FT29" s="36" t="n"/>
      <c r="FU29" s="51" t="n">
        <v>140</v>
      </c>
      <c r="FV29" s="47" t="n"/>
      <c r="FW29" s="44" t="n">
        <v>0</v>
      </c>
      <c r="FX29" s="35" t="n"/>
      <c r="FY29" s="51" t="n">
        <v>140</v>
      </c>
      <c r="FZ29" s="35" t="n"/>
      <c r="GA29" s="143" t="n">
        <v>0</v>
      </c>
      <c r="GB29" s="144" t="n"/>
      <c r="GC29" s="51" t="n">
        <v>180</v>
      </c>
      <c r="GD29" s="47" t="n"/>
      <c r="GE29" s="143" t="n">
        <v>0</v>
      </c>
      <c r="GF29" s="144" t="n"/>
      <c r="GG29" s="51" t="n">
        <v>180</v>
      </c>
      <c r="GH29" s="47" t="n"/>
      <c r="GI29" s="143" t="n">
        <v>0</v>
      </c>
      <c r="GJ29" s="144" t="n"/>
      <c r="GK29" s="51" t="n">
        <v>180</v>
      </c>
      <c r="GL29" s="35" t="n"/>
      <c r="GM29" s="143" t="n">
        <v>0</v>
      </c>
      <c r="GN29" s="144" t="n"/>
      <c r="GO29" s="51" t="n">
        <v>180</v>
      </c>
      <c r="GP29" s="47" t="n"/>
      <c r="GQ29" s="143" t="n">
        <v>0</v>
      </c>
      <c r="GR29" s="144" t="n"/>
      <c r="GS29" s="51" t="n">
        <v>180</v>
      </c>
      <c r="GT29" s="47" t="n"/>
      <c r="GU29" s="143" t="n">
        <v>0</v>
      </c>
      <c r="GV29" s="144" t="n"/>
      <c r="GW29" s="51" t="n">
        <v>180</v>
      </c>
      <c r="GX29" s="47" t="n"/>
      <c r="GY29" s="142" t="n">
        <v>0</v>
      </c>
      <c r="GZ29" s="144" t="n"/>
      <c r="HA29" s="51" t="n">
        <v>180</v>
      </c>
      <c r="HB29" s="35" t="n"/>
      <c r="HC29" s="380" t="n">
        <v>0</v>
      </c>
      <c r="HD29" s="144" t="n"/>
      <c r="HE29" s="379">
        <f>FI29+FM29+FQ29+FU29+FY29+GC29+GG29+GK29+GO29+GS29+GW29+HA29</f>
        <v/>
      </c>
      <c r="HF29" s="379">
        <f>HE29*$I29</f>
        <v/>
      </c>
      <c r="HG29" s="51" t="n">
        <v>180</v>
      </c>
      <c r="HH29" s="35" t="n"/>
      <c r="HI29" s="44" t="n">
        <v>0</v>
      </c>
      <c r="HJ29" s="35" t="n"/>
      <c r="HK29" s="51" t="n">
        <v>160</v>
      </c>
      <c r="HL29" s="82" t="n"/>
      <c r="HM29" s="44" t="n">
        <v>0</v>
      </c>
      <c r="HN29" s="61" t="n"/>
      <c r="HO29" s="51" t="n">
        <v>160</v>
      </c>
      <c r="HP29" s="82" t="n"/>
      <c r="HQ29" s="44" t="n">
        <v>0</v>
      </c>
      <c r="HR29" s="36" t="n"/>
      <c r="HS29" s="51" t="n">
        <v>160</v>
      </c>
      <c r="HT29" s="47" t="n"/>
      <c r="HU29" s="44" t="n">
        <v>0</v>
      </c>
      <c r="HV29" s="35" t="n"/>
      <c r="HW29" s="51" t="n">
        <v>160</v>
      </c>
      <c r="HX29" s="35" t="n"/>
      <c r="HY29" s="143" t="n">
        <v>0</v>
      </c>
      <c r="HZ29" s="144" t="n"/>
      <c r="IA29" s="51" t="n">
        <v>160</v>
      </c>
      <c r="IB29" s="47" t="n"/>
      <c r="IC29" s="143" t="n">
        <v>0</v>
      </c>
      <c r="ID29" s="144" t="n"/>
      <c r="IE29" s="51" t="n">
        <v>160</v>
      </c>
      <c r="IF29" s="47" t="n"/>
      <c r="IG29" s="143" t="n">
        <v>0</v>
      </c>
      <c r="IH29" s="144" t="n"/>
      <c r="II29" s="51" t="n">
        <v>180</v>
      </c>
      <c r="IJ29" s="35" t="n"/>
      <c r="IK29" s="143" t="n">
        <v>0</v>
      </c>
      <c r="IL29" s="144" t="n"/>
      <c r="IM29" s="51" t="n">
        <v>180</v>
      </c>
      <c r="IN29" s="47" t="n"/>
      <c r="IO29" s="143" t="n">
        <v>0</v>
      </c>
      <c r="IP29" s="144" t="n"/>
      <c r="IQ29" s="51" t="n">
        <v>180</v>
      </c>
      <c r="IR29" s="47" t="n"/>
      <c r="IS29" s="143" t="n">
        <v>0</v>
      </c>
      <c r="IT29" s="144" t="n"/>
      <c r="IU29" s="45" t="n"/>
      <c r="IV29" s="47" t="n"/>
      <c r="IW29" s="142" t="n"/>
      <c r="IX29" s="144" t="n"/>
      <c r="IY29" s="51" t="n">
        <v>180</v>
      </c>
      <c r="IZ29" s="35" t="n"/>
      <c r="JA29" s="380" t="n">
        <v>0</v>
      </c>
      <c r="JB29" s="144" t="n"/>
      <c r="JC29" s="381">
        <f>HG29+HK29+HO29+HS29+HW29+IA29+IE29+II29+IM29+IQ29+IU29+IY29</f>
        <v/>
      </c>
      <c r="JD29" s="381">
        <f>JC29*$I29</f>
        <v/>
      </c>
    </row>
    <row r="30" ht="17.25" customHeight="1">
      <c r="A30" s="382" t="n"/>
      <c r="B30" s="382" t="n"/>
      <c r="C30" s="382" t="n"/>
      <c r="D30" s="382" t="n"/>
      <c r="E30" s="25" t="n">
        <v>6</v>
      </c>
      <c r="F30" s="25" t="n">
        <v>1</v>
      </c>
      <c r="G30" s="146" t="inlineStr">
        <is>
          <t>449 173 140 0</t>
        </is>
      </c>
      <c r="H30" s="147" t="inlineStr">
        <is>
          <t>Кабель питания для п/п 14 м</t>
        </is>
      </c>
      <c r="I30" s="28" t="n">
        <v>790.79</v>
      </c>
      <c r="J30" s="29" t="n">
        <v>790.79</v>
      </c>
      <c r="K30" s="297" t="n">
        <v>697.16</v>
      </c>
      <c r="L30" s="297" t="n">
        <v>697.16</v>
      </c>
      <c r="M30" s="29" t="n"/>
      <c r="N30" s="29" t="n"/>
      <c r="O30" s="30" t="n">
        <v>50</v>
      </c>
      <c r="P30" s="31" t="n">
        <v>50</v>
      </c>
      <c r="Q30" s="32" t="n">
        <v>50</v>
      </c>
      <c r="R30" s="60" t="inlineStr">
        <is>
          <t>Новая строка с артикулом 4491731400</t>
        </is>
      </c>
      <c r="S30" s="30" t="n">
        <v>50</v>
      </c>
      <c r="T30" s="31" t="n">
        <v>150</v>
      </c>
      <c r="U30" s="32" t="n">
        <v>150</v>
      </c>
      <c r="V30" s="60" t="inlineStr">
        <is>
          <t>Корректировка прогноза клиентом. Увеличение покупки 14 метрового кабеля</t>
        </is>
      </c>
      <c r="W30" s="30" t="n">
        <v>200</v>
      </c>
      <c r="X30" s="31" t="n">
        <v>150</v>
      </c>
      <c r="Y30" s="32" t="n">
        <v>75</v>
      </c>
      <c r="Z30" s="34" t="inlineStr">
        <is>
          <t xml:space="preserve">Корректировка прогноза клиентом. </t>
        </is>
      </c>
      <c r="AA30" s="30" t="n">
        <v>250</v>
      </c>
      <c r="AB30" s="134" t="n">
        <v>150</v>
      </c>
      <c r="AC30" s="32" t="n">
        <v>150</v>
      </c>
      <c r="AD30" s="31" t="inlineStr">
        <is>
          <t>Корректировка прогноза клиентом. Увеличение покупки 14 метрового кабеля</t>
        </is>
      </c>
      <c r="AE30" s="30" t="n">
        <v>250</v>
      </c>
      <c r="AF30" s="31" t="n">
        <v>150</v>
      </c>
      <c r="AG30" s="140" t="n">
        <v>150</v>
      </c>
      <c r="AH30" s="139" t="inlineStr">
        <is>
          <t>Корректировка прогноза клиентом. Увеличение покупки 14 метрового кабеля</t>
        </is>
      </c>
      <c r="AI30" s="30" t="n">
        <v>250</v>
      </c>
      <c r="AJ30" s="31" t="n">
        <v>150</v>
      </c>
      <c r="AK30" s="140" t="n">
        <v>75</v>
      </c>
      <c r="AL30" s="139" t="inlineStr">
        <is>
          <t>Корректировка прогноза клиентом. Увеличение покупки 14 метрового кабеля</t>
        </is>
      </c>
      <c r="AM30" s="30" t="n"/>
      <c r="AN30" s="31" t="n">
        <v>150</v>
      </c>
      <c r="AO30" s="140" t="n">
        <v>75</v>
      </c>
      <c r="AP30" s="139" t="n"/>
      <c r="AQ30" s="30" t="n"/>
      <c r="AR30" s="37" t="n">
        <v>80</v>
      </c>
      <c r="AS30" s="140" t="n">
        <v>0</v>
      </c>
      <c r="AT30" s="139" t="n"/>
      <c r="AU30" s="30" t="n"/>
      <c r="AV30" s="37" t="n">
        <v>80</v>
      </c>
      <c r="AW30" s="140" t="n">
        <v>0</v>
      </c>
      <c r="AX30" s="139" t="n"/>
      <c r="AY30" s="30" t="n"/>
      <c r="AZ30" s="135" t="n">
        <v>100</v>
      </c>
      <c r="BA30" s="140" t="n">
        <v>100</v>
      </c>
      <c r="BB30" s="141" t="n"/>
      <c r="BC30" s="30" t="n"/>
      <c r="BD30" s="135" t="n">
        <v>100</v>
      </c>
      <c r="BE30" s="145" t="n">
        <v>100</v>
      </c>
      <c r="BF30" s="141" t="n"/>
      <c r="BG30" s="30" t="n"/>
      <c r="BH30" s="135" t="n">
        <v>100</v>
      </c>
      <c r="BI30" s="385" t="n">
        <v>60</v>
      </c>
      <c r="BJ30" s="141" t="n"/>
      <c r="BK30" s="381">
        <f>O30+S30+W30+AA30+AE30+AI30+AM30+AQ30+AU30+AY30+BC30+BG30</f>
        <v/>
      </c>
      <c r="BL30" s="381">
        <f>BK30*$I30</f>
        <v/>
      </c>
      <c r="BM30" s="41" t="n">
        <v>120</v>
      </c>
      <c r="BN30" s="35" t="n">
        <v>120</v>
      </c>
      <c r="BO30" s="32" t="n">
        <v>280</v>
      </c>
      <c r="BP30" s="60" t="n"/>
      <c r="BQ30" s="41" t="n">
        <v>120</v>
      </c>
      <c r="BR30" s="82" t="n">
        <v>120</v>
      </c>
      <c r="BS30" s="32" t="n">
        <v>0</v>
      </c>
      <c r="BT30" s="60" t="n"/>
      <c r="BU30" s="41" t="n">
        <v>120</v>
      </c>
      <c r="BV30" s="82" t="n">
        <v>0</v>
      </c>
      <c r="BW30" s="32" t="n">
        <v>0</v>
      </c>
      <c r="BX30" s="34" t="n"/>
      <c r="BY30" s="41" t="n">
        <v>120</v>
      </c>
      <c r="BZ30" s="47" t="n">
        <v>0</v>
      </c>
      <c r="CA30" s="44" t="n">
        <v>0</v>
      </c>
      <c r="CB30" s="35" t="n"/>
      <c r="CC30" s="45" t="n">
        <v>120</v>
      </c>
      <c r="CD30" s="35" t="n">
        <v>0</v>
      </c>
      <c r="CE30" s="32" t="n">
        <v>0</v>
      </c>
      <c r="CF30" s="139" t="n"/>
      <c r="CG30" s="41" t="n">
        <v>120</v>
      </c>
      <c r="CH30" s="47" t="n">
        <v>0</v>
      </c>
      <c r="CI30" s="140" t="n">
        <v>0</v>
      </c>
      <c r="CJ30" s="139" t="n"/>
      <c r="CK30" s="45" t="n">
        <v>120</v>
      </c>
      <c r="CL30" s="47" t="n">
        <v>50</v>
      </c>
      <c r="CM30" s="143" t="n">
        <v>50</v>
      </c>
      <c r="CN30" s="144" t="n"/>
      <c r="CO30" s="45" t="n">
        <v>120</v>
      </c>
      <c r="CP30" s="35" t="n">
        <v>50</v>
      </c>
      <c r="CQ30" s="143" t="n">
        <v>50</v>
      </c>
      <c r="CR30" s="144" t="n"/>
      <c r="CS30" s="45" t="n">
        <v>120</v>
      </c>
      <c r="CT30" s="47" t="n">
        <v>30</v>
      </c>
      <c r="CU30" s="44" t="n">
        <v>0</v>
      </c>
      <c r="CV30" s="144" t="n"/>
      <c r="CW30" s="45" t="n">
        <v>120</v>
      </c>
      <c r="CX30" s="47" t="n">
        <v>30</v>
      </c>
      <c r="CY30" s="56" t="n">
        <v>50</v>
      </c>
      <c r="CZ30" s="144" t="n"/>
      <c r="DA30" s="45" t="n">
        <v>120</v>
      </c>
      <c r="DB30" s="47" t="n">
        <v>30</v>
      </c>
      <c r="DC30" s="142" t="n">
        <v>0</v>
      </c>
      <c r="DD30" s="144" t="n"/>
      <c r="DE30" s="45" t="n">
        <v>120</v>
      </c>
      <c r="DF30" s="281" t="n">
        <v>50</v>
      </c>
      <c r="DG30" s="42" t="n">
        <v>0</v>
      </c>
      <c r="DH30" s="144" t="n"/>
      <c r="DI30" s="379">
        <f>BM30+BQ30+BU30+BY30+CC30+CG30+CK30+CO30+CS30+CW30+DA30+DE30</f>
        <v/>
      </c>
      <c r="DJ30" s="379">
        <f>DI30*$I30</f>
        <v/>
      </c>
      <c r="DK30" s="52" t="n">
        <v>30</v>
      </c>
      <c r="DL30" s="35" t="n">
        <v>30</v>
      </c>
      <c r="DM30" s="44" t="n">
        <v>0</v>
      </c>
      <c r="DN30" s="35" t="n"/>
      <c r="DO30" s="82" t="n">
        <v>30</v>
      </c>
      <c r="DP30" s="35" t="n">
        <v>100</v>
      </c>
      <c r="DQ30" s="44" t="n">
        <v>130</v>
      </c>
      <c r="DR30" s="35" t="n"/>
      <c r="DS30" s="82" t="n">
        <v>30</v>
      </c>
      <c r="DT30" s="281" t="n">
        <v>500</v>
      </c>
      <c r="DU30" s="44" t="n">
        <v>400</v>
      </c>
      <c r="DV30" s="35" t="n"/>
      <c r="DW30" s="82" t="n">
        <v>30</v>
      </c>
      <c r="DX30" s="35" t="n">
        <v>30</v>
      </c>
      <c r="DY30" s="44" t="n">
        <v>100</v>
      </c>
      <c r="DZ30" s="36" t="n"/>
      <c r="EA30" s="82" t="n">
        <v>30</v>
      </c>
      <c r="EB30" s="35" t="n">
        <v>200</v>
      </c>
      <c r="EC30" s="44" t="n">
        <v>0</v>
      </c>
      <c r="ED30" s="36" t="n"/>
      <c r="EE30" s="82" t="n">
        <v>30</v>
      </c>
      <c r="EF30" s="281" t="n">
        <v>70</v>
      </c>
      <c r="EG30" s="44" t="n">
        <v>0</v>
      </c>
      <c r="EH30" s="35" t="n"/>
      <c r="EI30" s="82" t="n">
        <v>30</v>
      </c>
      <c r="EJ30" s="281" t="n">
        <v>70</v>
      </c>
      <c r="EK30" s="44" t="n">
        <v>0</v>
      </c>
      <c r="EL30" s="35" t="n"/>
      <c r="EM30" s="82" t="n">
        <v>30</v>
      </c>
      <c r="EN30" s="281" t="n">
        <v>70</v>
      </c>
      <c r="EO30" s="44" t="n">
        <v>0</v>
      </c>
      <c r="EP30" s="35" t="n"/>
      <c r="EQ30" s="82" t="n">
        <v>30</v>
      </c>
      <c r="ER30" s="281" t="n">
        <v>70</v>
      </c>
      <c r="ES30" s="44" t="n">
        <v>0</v>
      </c>
      <c r="ET30" s="35" t="n"/>
      <c r="EU30" s="82" t="n">
        <v>30</v>
      </c>
      <c r="EV30" s="281" t="n">
        <v>70</v>
      </c>
      <c r="EW30" s="44" t="n">
        <v>0</v>
      </c>
      <c r="EX30" s="35" t="n"/>
      <c r="EY30" s="82" t="n">
        <v>30</v>
      </c>
      <c r="EZ30" s="281" t="n">
        <v>70</v>
      </c>
      <c r="FA30" s="288" t="n">
        <v>0</v>
      </c>
      <c r="FB30" s="35" t="n"/>
      <c r="FC30" s="82" t="n">
        <v>30</v>
      </c>
      <c r="FD30" s="281" t="n">
        <v>70</v>
      </c>
      <c r="FE30" s="380" t="n">
        <v>0</v>
      </c>
      <c r="FF30" s="35" t="n"/>
      <c r="FG30" s="379">
        <f>DK30+DO30+DS30+DW30+EA30+EE30+EI30+EM30+EQ30+EU30+EY30+FC30</f>
        <v/>
      </c>
      <c r="FH30" s="379">
        <f>FG30*$I30</f>
        <v/>
      </c>
      <c r="FI30" s="47" t="n">
        <v>30</v>
      </c>
      <c r="FJ30" s="35" t="n"/>
      <c r="FK30" s="44" t="n">
        <v>0</v>
      </c>
      <c r="FL30" s="61" t="n"/>
      <c r="FM30" s="51" t="n">
        <v>60</v>
      </c>
      <c r="FN30" s="82" t="n"/>
      <c r="FO30" s="44" t="n">
        <v>0</v>
      </c>
      <c r="FP30" s="61" t="n"/>
      <c r="FQ30" s="51" t="n">
        <v>60</v>
      </c>
      <c r="FR30" s="82" t="n"/>
      <c r="FS30" s="44" t="n">
        <v>0</v>
      </c>
      <c r="FT30" s="36" t="n"/>
      <c r="FU30" s="51" t="n">
        <v>60</v>
      </c>
      <c r="FV30" s="47" t="n"/>
      <c r="FW30" s="44" t="n">
        <v>0</v>
      </c>
      <c r="FX30" s="35" t="n"/>
      <c r="FY30" s="51" t="n">
        <v>60</v>
      </c>
      <c r="FZ30" s="35" t="n"/>
      <c r="GA30" s="143" t="n">
        <v>0</v>
      </c>
      <c r="GB30" s="144" t="n"/>
      <c r="GC30" s="51" t="n">
        <v>70</v>
      </c>
      <c r="GD30" s="47" t="n"/>
      <c r="GE30" s="143" t="n">
        <v>0</v>
      </c>
      <c r="GF30" s="144" t="n"/>
      <c r="GG30" s="51" t="n">
        <v>70</v>
      </c>
      <c r="GH30" s="47" t="n"/>
      <c r="GI30" s="143" t="n">
        <v>0</v>
      </c>
      <c r="GJ30" s="144" t="n"/>
      <c r="GK30" s="51" t="n">
        <v>70</v>
      </c>
      <c r="GL30" s="35" t="n"/>
      <c r="GM30" s="143" t="n">
        <v>0</v>
      </c>
      <c r="GN30" s="144" t="n"/>
      <c r="GO30" s="51" t="n">
        <v>70</v>
      </c>
      <c r="GP30" s="47" t="n"/>
      <c r="GQ30" s="143" t="n">
        <v>0</v>
      </c>
      <c r="GR30" s="144" t="n"/>
      <c r="GS30" s="51" t="n">
        <v>70</v>
      </c>
      <c r="GT30" s="47" t="n"/>
      <c r="GU30" s="143" t="n">
        <v>0</v>
      </c>
      <c r="GV30" s="144" t="n"/>
      <c r="GW30" s="51" t="n">
        <v>70</v>
      </c>
      <c r="GX30" s="47" t="n"/>
      <c r="GY30" s="142" t="n">
        <v>0</v>
      </c>
      <c r="GZ30" s="144" t="n"/>
      <c r="HA30" s="51" t="n">
        <v>70</v>
      </c>
      <c r="HB30" s="35" t="n"/>
      <c r="HC30" s="380" t="n">
        <v>0</v>
      </c>
      <c r="HD30" s="144" t="n"/>
      <c r="HE30" s="379">
        <f>FI30+FM30+FQ30+FU30+FY30+GC30+GG30+GK30+GO30+GS30+GW30+HA30</f>
        <v/>
      </c>
      <c r="HF30" s="379">
        <f>HE30*$I30</f>
        <v/>
      </c>
      <c r="HG30" s="51" t="n">
        <v>70</v>
      </c>
      <c r="HH30" s="35" t="n"/>
      <c r="HI30" s="44" t="n">
        <v>0</v>
      </c>
      <c r="HJ30" s="61" t="n"/>
      <c r="HK30" s="51" t="n">
        <v>120</v>
      </c>
      <c r="HL30" s="82" t="n"/>
      <c r="HM30" s="44" t="n">
        <v>0</v>
      </c>
      <c r="HN30" s="61" t="n"/>
      <c r="HO30" s="51" t="n">
        <v>120</v>
      </c>
      <c r="HP30" s="82" t="n"/>
      <c r="HQ30" s="44" t="n">
        <v>0</v>
      </c>
      <c r="HR30" s="36" t="n"/>
      <c r="HS30" s="51" t="n">
        <v>120</v>
      </c>
      <c r="HT30" s="47" t="n"/>
      <c r="HU30" s="44" t="n">
        <v>0</v>
      </c>
      <c r="HV30" s="35" t="n"/>
      <c r="HW30" s="51" t="n">
        <v>120</v>
      </c>
      <c r="HX30" s="35" t="n"/>
      <c r="HY30" s="143" t="n">
        <v>0</v>
      </c>
      <c r="HZ30" s="144" t="n"/>
      <c r="IA30" s="51" t="n">
        <v>120</v>
      </c>
      <c r="IB30" s="47" t="n"/>
      <c r="IC30" s="143" t="n">
        <v>0</v>
      </c>
      <c r="ID30" s="144" t="n"/>
      <c r="IE30" s="51" t="n">
        <v>120</v>
      </c>
      <c r="IF30" s="47" t="n"/>
      <c r="IG30" s="143" t="n">
        <v>0</v>
      </c>
      <c r="IH30" s="144" t="n"/>
      <c r="II30" s="51" t="n">
        <v>120</v>
      </c>
      <c r="IJ30" s="35" t="n"/>
      <c r="IK30" s="143" t="n">
        <v>0</v>
      </c>
      <c r="IL30" s="144" t="n"/>
      <c r="IM30" s="51" t="n">
        <v>120</v>
      </c>
      <c r="IN30" s="47" t="n"/>
      <c r="IO30" s="143" t="n">
        <v>0</v>
      </c>
      <c r="IP30" s="144" t="n"/>
      <c r="IQ30" s="51" t="n">
        <v>120</v>
      </c>
      <c r="IR30" s="47" t="n"/>
      <c r="IS30" s="143" t="n">
        <v>0</v>
      </c>
      <c r="IT30" s="144" t="n"/>
      <c r="IU30" s="45" t="n"/>
      <c r="IV30" s="47" t="n"/>
      <c r="IW30" s="142" t="n"/>
      <c r="IX30" s="144" t="n"/>
      <c r="IY30" s="51" t="n">
        <v>120</v>
      </c>
      <c r="IZ30" s="35" t="n"/>
      <c r="JA30" s="380" t="n">
        <v>0</v>
      </c>
      <c r="JB30" s="144" t="n"/>
      <c r="JC30" s="381">
        <f>HG30+HK30+HO30+HS30+HW30+IA30+IE30+II30+IM30+IQ30+IU30+IY30</f>
        <v/>
      </c>
      <c r="JD30" s="381">
        <f>JC30*$I30</f>
        <v/>
      </c>
    </row>
    <row r="31" ht="17.25" customHeight="1">
      <c r="A31" s="382" t="n"/>
      <c r="B31" s="382" t="n"/>
      <c r="C31" s="382" t="n"/>
      <c r="D31" s="382" t="n"/>
      <c r="E31" s="25" t="n">
        <v>7</v>
      </c>
      <c r="F31" s="25" t="n">
        <v>1</v>
      </c>
      <c r="G31" s="26" t="n">
        <v>4497230300</v>
      </c>
      <c r="H31" s="138" t="inlineStr">
        <is>
          <t>Кабель-удлинитель датчика АБС 3м</t>
        </is>
      </c>
      <c r="I31" s="149" t="n">
        <v>61.32</v>
      </c>
      <c r="J31" s="149" t="n">
        <v>61.32</v>
      </c>
      <c r="K31" s="301" t="n">
        <v>165.24</v>
      </c>
      <c r="L31" s="301" t="n">
        <v>165.24</v>
      </c>
      <c r="M31" s="149" t="n"/>
      <c r="N31" s="149" t="n"/>
      <c r="O31" s="30" t="n">
        <v>800</v>
      </c>
      <c r="P31" s="31" t="n">
        <v>800</v>
      </c>
      <c r="Q31" s="32" t="n">
        <v>0</v>
      </c>
      <c r="R31" s="60" t="inlineStr">
        <is>
          <t>Вместо него был продан кабель 4497230400 400 шт</t>
        </is>
      </c>
      <c r="S31" s="30" t="n">
        <v>800</v>
      </c>
      <c r="T31" s="31" t="n">
        <v>800</v>
      </c>
      <c r="U31" s="32" t="n">
        <v>0</v>
      </c>
      <c r="V31" s="150" t="inlineStr">
        <is>
          <t>Вместо него был продан кабель 4497230400 800 шт</t>
        </is>
      </c>
      <c r="W31" s="30" t="n">
        <v>900</v>
      </c>
      <c r="X31" s="31" t="n">
        <v>900</v>
      </c>
      <c r="Y31" s="32" t="n">
        <v>430</v>
      </c>
      <c r="Z31" s="31" t="n"/>
      <c r="AA31" s="30" t="n">
        <v>900</v>
      </c>
      <c r="AB31" s="134" t="n">
        <v>800</v>
      </c>
      <c r="AC31" s="32" t="n">
        <v>800</v>
      </c>
      <c r="AD31" s="31" t="n"/>
      <c r="AE31" s="30" t="n">
        <v>900</v>
      </c>
      <c r="AF31" s="31" t="n">
        <v>800</v>
      </c>
      <c r="AG31" s="140" t="n">
        <v>820</v>
      </c>
      <c r="AH31" s="139" t="n"/>
      <c r="AI31" s="30" t="n">
        <v>1000</v>
      </c>
      <c r="AJ31" s="31" t="n">
        <v>800</v>
      </c>
      <c r="AK31" s="140" t="n">
        <v>820</v>
      </c>
      <c r="AL31" s="139" t="inlineStr">
        <is>
          <t xml:space="preserve">Корректировка прогноза клиентом. </t>
        </is>
      </c>
      <c r="AM31" s="30" t="n"/>
      <c r="AN31" s="31" t="n">
        <v>800</v>
      </c>
      <c r="AO31" s="140" t="n">
        <v>400</v>
      </c>
      <c r="AP31" s="139" t="n"/>
      <c r="AQ31" s="30" t="n"/>
      <c r="AR31" s="37" t="n">
        <v>600</v>
      </c>
      <c r="AS31" s="140" t="n">
        <v>400</v>
      </c>
      <c r="AT31" s="139" t="n"/>
      <c r="AU31" s="30" t="n"/>
      <c r="AV31" s="37" t="n">
        <v>600</v>
      </c>
      <c r="AW31" s="140" t="n">
        <v>0</v>
      </c>
      <c r="AX31" s="139" t="n"/>
      <c r="AY31" s="30" t="n"/>
      <c r="AZ31" s="135" t="n">
        <v>440</v>
      </c>
      <c r="BA31" s="140" t="n">
        <v>440</v>
      </c>
      <c r="BB31" s="141" t="n"/>
      <c r="BC31" s="30" t="n"/>
      <c r="BD31" s="135" t="n">
        <v>440</v>
      </c>
      <c r="BE31" s="145" t="n">
        <v>440</v>
      </c>
      <c r="BF31" s="141" t="n"/>
      <c r="BG31" s="30" t="n"/>
      <c r="BH31" s="135" t="n">
        <v>440</v>
      </c>
      <c r="BI31" s="136" t="n">
        <v>0</v>
      </c>
      <c r="BJ31" s="141" t="n"/>
      <c r="BK31" s="381">
        <f>O31+S31+W31+AA31+AE31+AI31+AM31+AQ31+AU31+AY31+BC31+BG31</f>
        <v/>
      </c>
      <c r="BL31" s="381">
        <f>BK31*$I31</f>
        <v/>
      </c>
      <c r="BM31" s="41" t="n">
        <v>250</v>
      </c>
      <c r="BN31" s="35" t="n">
        <v>250</v>
      </c>
      <c r="BO31" s="32" t="n">
        <v>560</v>
      </c>
      <c r="BP31" s="60" t="n"/>
      <c r="BQ31" s="41" t="n">
        <v>250</v>
      </c>
      <c r="BR31" s="82" t="n">
        <v>250</v>
      </c>
      <c r="BS31" s="32" t="n">
        <v>0</v>
      </c>
      <c r="BT31" s="150" t="n"/>
      <c r="BU31" s="41" t="n">
        <v>250</v>
      </c>
      <c r="BV31" s="82" t="n">
        <v>0</v>
      </c>
      <c r="BW31" s="32" t="n">
        <v>0</v>
      </c>
      <c r="BX31" s="31" t="n"/>
      <c r="BY31" s="41" t="n">
        <v>600</v>
      </c>
      <c r="BZ31" s="47" t="n">
        <v>0</v>
      </c>
      <c r="CA31" s="44" t="n">
        <v>0</v>
      </c>
      <c r="CB31" s="35" t="n"/>
      <c r="CC31" s="45" t="n">
        <v>600</v>
      </c>
      <c r="CD31" s="35" t="n">
        <v>0</v>
      </c>
      <c r="CE31" s="32" t="n">
        <v>0</v>
      </c>
      <c r="CF31" s="139" t="n"/>
      <c r="CG31" s="41" t="n">
        <v>600</v>
      </c>
      <c r="CH31" s="47" t="n">
        <v>0</v>
      </c>
      <c r="CI31" s="140" t="n">
        <v>236</v>
      </c>
      <c r="CJ31" s="139" t="n"/>
      <c r="CK31" s="45" t="n">
        <v>600</v>
      </c>
      <c r="CL31" s="47" t="n">
        <v>100</v>
      </c>
      <c r="CM31" s="143" t="n">
        <v>200</v>
      </c>
      <c r="CN31" s="144" t="n"/>
      <c r="CO31" s="45" t="n">
        <v>600</v>
      </c>
      <c r="CP31" s="35" t="n">
        <v>100</v>
      </c>
      <c r="CQ31" s="143" t="n">
        <v>200</v>
      </c>
      <c r="CR31" s="144" t="n"/>
      <c r="CS31" s="45" t="n">
        <v>600</v>
      </c>
      <c r="CT31" s="47" t="n">
        <v>200</v>
      </c>
      <c r="CU31" s="44" t="n">
        <v>0</v>
      </c>
      <c r="CV31" s="144" t="n"/>
      <c r="CW31" s="45" t="n">
        <v>600</v>
      </c>
      <c r="CX31" s="47" t="n">
        <v>200</v>
      </c>
      <c r="CY31" s="143" t="n">
        <v>100</v>
      </c>
      <c r="CZ31" s="144" t="n"/>
      <c r="DA31" s="45" t="n">
        <v>600</v>
      </c>
      <c r="DB31" s="47" t="n">
        <v>200</v>
      </c>
      <c r="DC31" s="142" t="n">
        <v>0</v>
      </c>
      <c r="DD31" s="144" t="n"/>
      <c r="DE31" s="45" t="n">
        <v>600</v>
      </c>
      <c r="DF31" s="281" t="n">
        <v>100</v>
      </c>
      <c r="DG31" s="42" t="n">
        <v>0</v>
      </c>
      <c r="DH31" s="144" t="n"/>
      <c r="DI31" s="379">
        <f>BM31+BQ31+BU31+BY31+CC31+CG31+CK31+CO31+CS31+CW31+DA31+DE31</f>
        <v/>
      </c>
      <c r="DJ31" s="379">
        <f>DI31*$I31</f>
        <v/>
      </c>
      <c r="DK31" s="52" t="n">
        <v>200</v>
      </c>
      <c r="DL31" s="35" t="n">
        <v>60</v>
      </c>
      <c r="DM31" s="44" t="n">
        <v>0</v>
      </c>
      <c r="DN31" s="35" t="n"/>
      <c r="DO31" s="82" t="n">
        <v>200</v>
      </c>
      <c r="DP31" s="35" t="n">
        <v>200</v>
      </c>
      <c r="DQ31" s="44" t="n">
        <v>260</v>
      </c>
      <c r="DR31" s="35" t="n"/>
      <c r="DS31" s="82" t="n">
        <v>200</v>
      </c>
      <c r="DT31" s="281" t="n">
        <v>1100</v>
      </c>
      <c r="DU31" s="44" t="n">
        <v>900</v>
      </c>
      <c r="DV31" s="35" t="n"/>
      <c r="DW31" s="82" t="n">
        <v>200</v>
      </c>
      <c r="DX31" s="35" t="n">
        <v>200</v>
      </c>
      <c r="DY31" s="44" t="n">
        <v>200</v>
      </c>
      <c r="DZ31" s="36" t="n"/>
      <c r="EA31" s="82" t="n">
        <v>200</v>
      </c>
      <c r="EB31" s="35" t="n">
        <v>400</v>
      </c>
      <c r="EC31" s="44" t="n">
        <v>0</v>
      </c>
      <c r="ED31" s="36" t="n"/>
      <c r="EE31" s="82" t="n">
        <v>200</v>
      </c>
      <c r="EF31" s="281" t="n">
        <v>140</v>
      </c>
      <c r="EG31" s="44" t="n">
        <v>0</v>
      </c>
      <c r="EH31" s="35" t="n"/>
      <c r="EI31" s="82" t="n">
        <v>200</v>
      </c>
      <c r="EJ31" s="281" t="n">
        <v>140</v>
      </c>
      <c r="EK31" s="44" t="n">
        <v>0</v>
      </c>
      <c r="EL31" s="35" t="n"/>
      <c r="EM31" s="82" t="n">
        <v>200</v>
      </c>
      <c r="EN31" s="281" t="n">
        <v>140</v>
      </c>
      <c r="EO31" s="44" t="n">
        <v>0</v>
      </c>
      <c r="EP31" s="35" t="n"/>
      <c r="EQ31" s="82" t="n">
        <v>200</v>
      </c>
      <c r="ER31" s="281" t="n">
        <v>140</v>
      </c>
      <c r="ES31" s="44" t="n">
        <v>0</v>
      </c>
      <c r="ET31" s="35" t="n"/>
      <c r="EU31" s="82" t="n">
        <v>200</v>
      </c>
      <c r="EV31" s="281" t="n">
        <v>140</v>
      </c>
      <c r="EW31" s="44" t="n">
        <v>0</v>
      </c>
      <c r="EX31" s="35" t="n"/>
      <c r="EY31" s="82" t="n">
        <v>200</v>
      </c>
      <c r="EZ31" s="281" t="n">
        <v>140</v>
      </c>
      <c r="FA31" s="288" t="n">
        <v>0</v>
      </c>
      <c r="FB31" s="35" t="n"/>
      <c r="FC31" s="82" t="n">
        <v>200</v>
      </c>
      <c r="FD31" s="281" t="n">
        <v>140</v>
      </c>
      <c r="FE31" s="380" t="n">
        <v>0</v>
      </c>
      <c r="FF31" s="35" t="n"/>
      <c r="FG31" s="379">
        <f>DK31+DO31+DS31+DW31+EA31+EE31+EI31+EM31+EQ31+EU31+EY31+FC31</f>
        <v/>
      </c>
      <c r="FH31" s="379">
        <f>FG31*$I31</f>
        <v/>
      </c>
      <c r="FI31" s="47" t="n">
        <v>200</v>
      </c>
      <c r="FJ31" s="35" t="n"/>
      <c r="FK31" s="44" t="n">
        <v>0</v>
      </c>
      <c r="FL31" s="61" t="n"/>
      <c r="FM31" s="51" t="n">
        <v>400</v>
      </c>
      <c r="FN31" s="82" t="n"/>
      <c r="FO31" s="44" t="n">
        <v>0</v>
      </c>
      <c r="FP31" s="151" t="n"/>
      <c r="FQ31" s="51" t="n">
        <v>400</v>
      </c>
      <c r="FR31" s="82" t="n"/>
      <c r="FS31" s="44" t="n">
        <v>0</v>
      </c>
      <c r="FT31" s="35" t="n"/>
      <c r="FU31" s="51" t="n">
        <v>400</v>
      </c>
      <c r="FV31" s="47" t="n"/>
      <c r="FW31" s="44" t="n">
        <v>0</v>
      </c>
      <c r="FX31" s="35" t="n"/>
      <c r="FY31" s="51" t="n">
        <v>400</v>
      </c>
      <c r="FZ31" s="35" t="n"/>
      <c r="GA31" s="143" t="n">
        <v>0</v>
      </c>
      <c r="GB31" s="144" t="n"/>
      <c r="GC31" s="51" t="n">
        <v>500</v>
      </c>
      <c r="GD31" s="47" t="n"/>
      <c r="GE31" s="143" t="n">
        <v>0</v>
      </c>
      <c r="GF31" s="144" t="n"/>
      <c r="GG31" s="51" t="n">
        <v>500</v>
      </c>
      <c r="GH31" s="47" t="n"/>
      <c r="GI31" s="143" t="n">
        <v>0</v>
      </c>
      <c r="GJ31" s="144" t="n"/>
      <c r="GK31" s="51" t="n">
        <v>500</v>
      </c>
      <c r="GL31" s="35" t="n"/>
      <c r="GM31" s="143" t="n">
        <v>0</v>
      </c>
      <c r="GN31" s="144" t="n"/>
      <c r="GO31" s="51" t="n">
        <v>500</v>
      </c>
      <c r="GP31" s="47" t="n"/>
      <c r="GQ31" s="143" t="n">
        <v>0</v>
      </c>
      <c r="GR31" s="144" t="n"/>
      <c r="GS31" s="51" t="n">
        <v>500</v>
      </c>
      <c r="GT31" s="47" t="n"/>
      <c r="GU31" s="143" t="n">
        <v>0</v>
      </c>
      <c r="GV31" s="144" t="n"/>
      <c r="GW31" s="51" t="n">
        <v>500</v>
      </c>
      <c r="GX31" s="47" t="n"/>
      <c r="GY31" s="142" t="n">
        <v>0</v>
      </c>
      <c r="GZ31" s="144" t="n"/>
      <c r="HA31" s="51" t="n">
        <v>500</v>
      </c>
      <c r="HB31" s="35" t="n"/>
      <c r="HC31" s="380" t="n">
        <v>0</v>
      </c>
      <c r="HD31" s="144" t="n"/>
      <c r="HE31" s="379">
        <f>FI31+FM31+FQ31+FU31+FY31+GC31+GG31+GK31+GO31+GS31+GW31+HA31</f>
        <v/>
      </c>
      <c r="HF31" s="379">
        <f>HE31*$I31</f>
        <v/>
      </c>
      <c r="HG31" s="51" t="n">
        <v>500</v>
      </c>
      <c r="HH31" s="35" t="n"/>
      <c r="HI31" s="44" t="n">
        <v>0</v>
      </c>
      <c r="HJ31" s="61" t="n"/>
      <c r="HK31" s="51" t="n">
        <v>250</v>
      </c>
      <c r="HL31" s="82" t="n"/>
      <c r="HM31" s="44" t="n">
        <v>0</v>
      </c>
      <c r="HN31" s="151" t="n"/>
      <c r="HO31" s="51" t="n">
        <v>250</v>
      </c>
      <c r="HP31" s="82" t="n"/>
      <c r="HQ31" s="44" t="n">
        <v>0</v>
      </c>
      <c r="HR31" s="35" t="n"/>
      <c r="HS31" s="51" t="n">
        <v>250</v>
      </c>
      <c r="HT31" s="47" t="n"/>
      <c r="HU31" s="44" t="n">
        <v>0</v>
      </c>
      <c r="HV31" s="35" t="n"/>
      <c r="HW31" s="51" t="n">
        <v>250</v>
      </c>
      <c r="HX31" s="35" t="n"/>
      <c r="HY31" s="143" t="n">
        <v>0</v>
      </c>
      <c r="HZ31" s="144" t="n"/>
      <c r="IA31" s="51" t="n">
        <v>250</v>
      </c>
      <c r="IB31" s="47" t="n"/>
      <c r="IC31" s="143" t="n">
        <v>0</v>
      </c>
      <c r="ID31" s="144" t="n"/>
      <c r="IE31" s="51" t="n">
        <v>250</v>
      </c>
      <c r="IF31" s="47" t="n"/>
      <c r="IG31" s="143" t="n">
        <v>0</v>
      </c>
      <c r="IH31" s="144" t="n"/>
      <c r="II31" s="51" t="n">
        <v>600</v>
      </c>
      <c r="IJ31" s="35" t="n"/>
      <c r="IK31" s="143" t="n">
        <v>0</v>
      </c>
      <c r="IL31" s="144" t="n"/>
      <c r="IM31" s="51" t="n">
        <v>600</v>
      </c>
      <c r="IN31" s="47" t="n"/>
      <c r="IO31" s="143" t="n">
        <v>0</v>
      </c>
      <c r="IP31" s="144" t="n"/>
      <c r="IQ31" s="51" t="n">
        <v>600</v>
      </c>
      <c r="IR31" s="47" t="n"/>
      <c r="IS31" s="143" t="n">
        <v>0</v>
      </c>
      <c r="IT31" s="144" t="n"/>
      <c r="IU31" s="45" t="n"/>
      <c r="IV31" s="47" t="n"/>
      <c r="IW31" s="142" t="n"/>
      <c r="IX31" s="144" t="n"/>
      <c r="IY31" s="51" t="n">
        <v>600</v>
      </c>
      <c r="IZ31" s="35" t="n"/>
      <c r="JA31" s="380" t="n">
        <v>0</v>
      </c>
      <c r="JB31" s="144" t="n"/>
      <c r="JC31" s="381">
        <f>HG31+HK31+HO31+HS31+HW31+IA31+IE31+II31+IM31+IQ31+IU31+IY31</f>
        <v/>
      </c>
      <c r="JD31" s="381">
        <f>JC31*$I31</f>
        <v/>
      </c>
    </row>
    <row r="32" ht="17.25" customHeight="1">
      <c r="A32" s="382" t="n"/>
      <c r="B32" s="382" t="n"/>
      <c r="C32" s="382" t="n"/>
      <c r="D32" s="382" t="n"/>
      <c r="E32" s="25" t="n">
        <v>8</v>
      </c>
      <c r="F32" s="25" t="n">
        <v>1</v>
      </c>
      <c r="G32" s="26" t="n">
        <v>4497230400</v>
      </c>
      <c r="H32" s="138" t="inlineStr">
        <is>
          <t>Кабель-удлинитель датчика АБС 4м</t>
        </is>
      </c>
      <c r="I32" s="28" t="n">
        <v>102.02</v>
      </c>
      <c r="J32" s="29" t="n">
        <v>102.02</v>
      </c>
      <c r="K32" s="29" t="n">
        <v>102.02</v>
      </c>
      <c r="L32" s="29" t="n">
        <v>102.02</v>
      </c>
      <c r="M32" s="29" t="n"/>
      <c r="N32" s="29" t="n"/>
      <c r="O32" s="30" t="n"/>
      <c r="P32" s="31" t="n"/>
      <c r="Q32" s="32" t="n"/>
      <c r="R32" s="60" t="n"/>
      <c r="S32" s="30" t="n"/>
      <c r="T32" s="31" t="n"/>
      <c r="U32" s="32" t="n">
        <v>800</v>
      </c>
      <c r="V32" s="61" t="inlineStr">
        <is>
          <t>Новый артикул. Использовался разово, так как не имелось в наличие  3-х метрового кабеля</t>
        </is>
      </c>
      <c r="W32" s="30" t="n"/>
      <c r="X32" s="31" t="n"/>
      <c r="Y32" s="32" t="n">
        <v>0</v>
      </c>
      <c r="Z32" s="31" t="n"/>
      <c r="AA32" s="30" t="n"/>
      <c r="AB32" s="134" t="n"/>
      <c r="AC32" s="32" t="n">
        <v>0</v>
      </c>
      <c r="AD32" s="31" t="n"/>
      <c r="AE32" s="30" t="n"/>
      <c r="AF32" s="31" t="n"/>
      <c r="AG32" s="140" t="n">
        <v>0</v>
      </c>
      <c r="AH32" s="139" t="n"/>
      <c r="AI32" s="30" t="n"/>
      <c r="AJ32" s="31" t="n"/>
      <c r="AK32" s="140" t="n"/>
      <c r="AL32" s="139" t="n"/>
      <c r="AM32" s="30" t="n"/>
      <c r="AN32" s="31" t="n"/>
      <c r="AO32" s="140" t="n">
        <v>0</v>
      </c>
      <c r="AP32" s="139" t="n"/>
      <c r="AQ32" s="30" t="n"/>
      <c r="AR32" s="37" t="n"/>
      <c r="AS32" s="140" t="n">
        <v>0</v>
      </c>
      <c r="AT32" s="139" t="n"/>
      <c r="AU32" s="30" t="n"/>
      <c r="AV32" s="37" t="n"/>
      <c r="AW32" s="140" t="n">
        <v>0</v>
      </c>
      <c r="AX32" s="139" t="n"/>
      <c r="AY32" s="30" t="n"/>
      <c r="AZ32" s="135" t="n"/>
      <c r="BA32" s="140" t="n">
        <v>0</v>
      </c>
      <c r="BB32" s="141" t="n"/>
      <c r="BC32" s="30" t="n"/>
      <c r="BD32" s="135" t="n">
        <v>0</v>
      </c>
      <c r="BE32" s="145" t="n">
        <v>0</v>
      </c>
      <c r="BF32" s="141" t="n"/>
      <c r="BG32" s="30" t="n"/>
      <c r="BH32" s="135" t="n"/>
      <c r="BI32" s="136" t="n">
        <v>0</v>
      </c>
      <c r="BJ32" s="141" t="n"/>
      <c r="BK32" s="381" t="n"/>
      <c r="BL32" s="381">
        <f>BK32*$I32</f>
        <v/>
      </c>
      <c r="BM32" s="41" t="n"/>
      <c r="BN32" s="35" t="n"/>
      <c r="BO32" s="32" t="n">
        <v>0</v>
      </c>
      <c r="BP32" s="60" t="n"/>
      <c r="BQ32" s="41" t="n"/>
      <c r="BR32" s="82" t="n"/>
      <c r="BS32" s="32" t="n">
        <v>0</v>
      </c>
      <c r="BT32" s="61" t="n"/>
      <c r="BU32" s="41" t="n"/>
      <c r="BV32" s="82" t="n"/>
      <c r="BW32" s="32" t="n"/>
      <c r="BX32" s="31" t="n"/>
      <c r="BY32" s="41" t="n"/>
      <c r="BZ32" s="35" t="n"/>
      <c r="CA32" s="44" t="n">
        <v>0</v>
      </c>
      <c r="CB32" s="35" t="n"/>
      <c r="CC32" s="45" t="n"/>
      <c r="CD32" s="35" t="n"/>
      <c r="CE32" s="32" t="n">
        <v>0</v>
      </c>
      <c r="CF32" s="139" t="n"/>
      <c r="CG32" s="41" t="n"/>
      <c r="CH32" s="47" t="n"/>
      <c r="CI32" s="140" t="n">
        <v>0</v>
      </c>
      <c r="CJ32" s="139" t="n"/>
      <c r="CK32" s="45" t="n"/>
      <c r="CL32" s="47" t="n"/>
      <c r="CM32" s="143" t="n">
        <v>0</v>
      </c>
      <c r="CN32" s="144" t="n"/>
      <c r="CO32" s="45" t="n"/>
      <c r="CP32" s="35" t="n"/>
      <c r="CQ32" s="143" t="n"/>
      <c r="CR32" s="144" t="n"/>
      <c r="CS32" s="45" t="n"/>
      <c r="CT32" s="47" t="n"/>
      <c r="CU32" s="44" t="n">
        <v>0</v>
      </c>
      <c r="CV32" s="144" t="n"/>
      <c r="CW32" s="45" t="n"/>
      <c r="CX32" s="47" t="n"/>
      <c r="CY32" s="143" t="n"/>
      <c r="CZ32" s="144" t="n"/>
      <c r="DA32" s="45" t="n"/>
      <c r="DB32" s="47" t="n"/>
      <c r="DC32" s="142" t="n">
        <v>0</v>
      </c>
      <c r="DD32" s="144" t="n"/>
      <c r="DE32" s="45" t="n"/>
      <c r="DF32" s="281" t="n"/>
      <c r="DG32" s="42" t="n">
        <v>0</v>
      </c>
      <c r="DH32" s="144" t="n"/>
      <c r="DI32" s="379">
        <f>BM32+BQ32+BU32+BY32+CC32+CG32+CK32+CO32+CS32+CW32+DA32+DE32</f>
        <v/>
      </c>
      <c r="DJ32" s="379">
        <f>DI32*$I32</f>
        <v/>
      </c>
      <c r="DK32" s="52" t="n"/>
      <c r="DL32" s="35" t="n"/>
      <c r="DM32" s="44" t="n">
        <v>0</v>
      </c>
      <c r="DN32" s="35" t="n"/>
      <c r="DO32" s="82" t="n"/>
      <c r="DP32" s="35" t="n"/>
      <c r="DQ32" s="44" t="n"/>
      <c r="DR32" s="35" t="n"/>
      <c r="DS32" s="82" t="n"/>
      <c r="DT32" s="35" t="n"/>
      <c r="DU32" s="44" t="n"/>
      <c r="DV32" s="35" t="n"/>
      <c r="DW32" s="82" t="n"/>
      <c r="DX32" s="35" t="n"/>
      <c r="DY32" s="44" t="n"/>
      <c r="DZ32" s="36" t="n"/>
      <c r="EA32" s="82" t="n"/>
      <c r="EB32" s="35" t="n"/>
      <c r="EC32" s="44" t="n">
        <v>0</v>
      </c>
      <c r="ED32" s="36" t="n"/>
      <c r="EE32" s="82" t="n"/>
      <c r="EF32" s="281" t="n"/>
      <c r="EG32" s="44" t="n"/>
      <c r="EH32" s="35" t="n"/>
      <c r="EI32" s="82" t="n"/>
      <c r="EJ32" s="281" t="n"/>
      <c r="EK32" s="44" t="n"/>
      <c r="EL32" s="35" t="n"/>
      <c r="EM32" s="82" t="n"/>
      <c r="EN32" s="281" t="n"/>
      <c r="EO32" s="44" t="n"/>
      <c r="EP32" s="35" t="n"/>
      <c r="EQ32" s="82" t="n"/>
      <c r="ER32" s="281" t="n"/>
      <c r="ES32" s="44" t="n"/>
      <c r="ET32" s="35" t="n"/>
      <c r="EU32" s="82" t="n"/>
      <c r="EV32" s="281" t="n"/>
      <c r="EW32" s="44" t="n"/>
      <c r="EX32" s="35" t="n"/>
      <c r="EY32" s="82" t="n"/>
      <c r="EZ32" s="281" t="n"/>
      <c r="FA32" s="288" t="n"/>
      <c r="FB32" s="35" t="n"/>
      <c r="FC32" s="82" t="n"/>
      <c r="FD32" s="281" t="n"/>
      <c r="FE32" s="380" t="n"/>
      <c r="FF32" s="35" t="n"/>
      <c r="FG32" s="379">
        <f>DK32+DO32+DS32+DW32+EA32+EE32+EI32+EM32+EQ32+EU32+EY32+FC32</f>
        <v/>
      </c>
      <c r="FH32" s="379">
        <f>FG32*$I32</f>
        <v/>
      </c>
      <c r="FI32" s="47" t="n"/>
      <c r="FJ32" s="35" t="n"/>
      <c r="FK32" s="44" t="n"/>
      <c r="FL32" s="61" t="n"/>
      <c r="FM32" s="51" t="n"/>
      <c r="FN32" s="82" t="n"/>
      <c r="FO32" s="44" t="n"/>
      <c r="FP32" s="61" t="n"/>
      <c r="FQ32" s="51" t="n"/>
      <c r="FR32" s="82" t="n"/>
      <c r="FS32" s="44" t="n"/>
      <c r="FT32" s="35" t="n"/>
      <c r="FU32" s="51" t="n"/>
      <c r="FV32" s="35" t="n"/>
      <c r="FW32" s="44" t="n"/>
      <c r="FX32" s="35" t="n"/>
      <c r="FY32" s="51" t="n"/>
      <c r="FZ32" s="35" t="n"/>
      <c r="GA32" s="143" t="n"/>
      <c r="GB32" s="144" t="n"/>
      <c r="GC32" s="51" t="n"/>
      <c r="GD32" s="47" t="n"/>
      <c r="GE32" s="143" t="n"/>
      <c r="GF32" s="144" t="n"/>
      <c r="GG32" s="51" t="n"/>
      <c r="GH32" s="47" t="n"/>
      <c r="GI32" s="143" t="n"/>
      <c r="GJ32" s="144" t="n"/>
      <c r="GK32" s="51" t="n"/>
      <c r="GL32" s="35" t="n"/>
      <c r="GM32" s="143" t="n"/>
      <c r="GN32" s="144" t="n"/>
      <c r="GO32" s="51" t="n"/>
      <c r="GP32" s="47" t="n"/>
      <c r="GQ32" s="143" t="n"/>
      <c r="GR32" s="144" t="n"/>
      <c r="GS32" s="51" t="n"/>
      <c r="GT32" s="47" t="n"/>
      <c r="GU32" s="143" t="n"/>
      <c r="GV32" s="144" t="n"/>
      <c r="GW32" s="51" t="n"/>
      <c r="GX32" s="47" t="n"/>
      <c r="GY32" s="142" t="n"/>
      <c r="GZ32" s="144" t="n"/>
      <c r="HA32" s="51" t="n"/>
      <c r="HB32" s="35" t="n"/>
      <c r="HC32" s="380" t="n"/>
      <c r="HD32" s="144" t="n"/>
      <c r="HE32" s="379">
        <f>FI32+FM32+FQ32+FU32+FY32+GC32+GG32+GK32+GO32+GS32+GW32+HA32</f>
        <v/>
      </c>
      <c r="HF32" s="379">
        <f>HE32*$I32</f>
        <v/>
      </c>
      <c r="HG32" s="51" t="n"/>
      <c r="HH32" s="35" t="n"/>
      <c r="HI32" s="44" t="n"/>
      <c r="HJ32" s="61" t="n"/>
      <c r="HK32" s="51" t="n"/>
      <c r="HL32" s="82" t="n"/>
      <c r="HM32" s="44" t="n"/>
      <c r="HN32" s="61" t="n"/>
      <c r="HO32" s="51" t="n"/>
      <c r="HP32" s="82" t="n"/>
      <c r="HQ32" s="44" t="n"/>
      <c r="HR32" s="35" t="n"/>
      <c r="HS32" s="51" t="n"/>
      <c r="HT32" s="35" t="n"/>
      <c r="HU32" s="44" t="n"/>
      <c r="HV32" s="35" t="n"/>
      <c r="HW32" s="51" t="n"/>
      <c r="HX32" s="35" t="n"/>
      <c r="HY32" s="143" t="n"/>
      <c r="HZ32" s="144" t="n"/>
      <c r="IA32" s="51" t="n"/>
      <c r="IB32" s="47" t="n"/>
      <c r="IC32" s="143" t="n"/>
      <c r="ID32" s="144" t="n"/>
      <c r="IE32" s="51" t="n"/>
      <c r="IF32" s="47" t="n"/>
      <c r="IG32" s="143" t="n"/>
      <c r="IH32" s="144" t="n"/>
      <c r="II32" s="51" t="n"/>
      <c r="IJ32" s="35" t="n"/>
      <c r="IK32" s="143" t="n"/>
      <c r="IL32" s="144" t="n"/>
      <c r="IM32" s="51" t="n"/>
      <c r="IN32" s="47" t="n"/>
      <c r="IO32" s="143" t="n"/>
      <c r="IP32" s="144" t="n"/>
      <c r="IQ32" s="51" t="n"/>
      <c r="IR32" s="47" t="n"/>
      <c r="IS32" s="143" t="n"/>
      <c r="IT32" s="144" t="n"/>
      <c r="IU32" s="45" t="n"/>
      <c r="IV32" s="47" t="n"/>
      <c r="IW32" s="142" t="n"/>
      <c r="IX32" s="144" t="n"/>
      <c r="IY32" s="51" t="n"/>
      <c r="IZ32" s="35" t="n"/>
      <c r="JA32" s="380" t="n"/>
      <c r="JB32" s="144" t="n"/>
      <c r="JC32" s="381">
        <f>HG32+HK32+HO32+HS32+HW32+IA32+IE32+II32+IM32+IQ32+IU32+IY32</f>
        <v/>
      </c>
      <c r="JD32" s="381">
        <f>JC32*$I32</f>
        <v/>
      </c>
    </row>
    <row r="33" ht="17.25" customHeight="1">
      <c r="A33" s="382" t="n"/>
      <c r="B33" s="382" t="n"/>
      <c r="C33" s="382" t="n"/>
      <c r="D33" s="382" t="n"/>
      <c r="E33" s="25" t="n">
        <v>9</v>
      </c>
      <c r="F33" s="25" t="n">
        <v>1</v>
      </c>
      <c r="G33" s="26" t="n">
        <v>4497230500</v>
      </c>
      <c r="H33" s="138" t="inlineStr">
        <is>
          <t>Кабель-удлинитель датчика АБС 5м</t>
        </is>
      </c>
      <c r="I33" s="28" t="n">
        <v>123.28</v>
      </c>
      <c r="J33" s="29" t="n">
        <v>123.28</v>
      </c>
      <c r="K33" s="29" t="n">
        <v>123.28</v>
      </c>
      <c r="L33" s="29" t="n">
        <v>123.28</v>
      </c>
      <c r="M33" s="29" t="n"/>
      <c r="N33" s="29" t="n"/>
      <c r="O33" s="30" t="n">
        <v>200</v>
      </c>
      <c r="P33" s="31" t="n">
        <v>200</v>
      </c>
      <c r="Q33" s="32" t="n">
        <v>200</v>
      </c>
      <c r="R33" s="60" t="inlineStr">
        <is>
          <t>Изменен артикул с 4507230500 на 4497230500</t>
        </is>
      </c>
      <c r="S33" s="30" t="n">
        <v>200</v>
      </c>
      <c r="T33" s="31" t="n">
        <v>300</v>
      </c>
      <c r="U33" s="32" t="n">
        <v>300</v>
      </c>
      <c r="V33" s="60" t="inlineStr">
        <is>
          <t>Корректировка прогноза клиентом, в связи с увеличением выпуска 4-х осных полуприцепов</t>
        </is>
      </c>
      <c r="W33" s="30" t="n">
        <v>225</v>
      </c>
      <c r="X33" s="31" t="n">
        <v>300</v>
      </c>
      <c r="Y33" s="32" t="n">
        <v>100</v>
      </c>
      <c r="Z33" s="31" t="inlineStr">
        <is>
          <t>Корректировка прогноза клиентом, в связи с увеличением выпуска 4-х осных полуприцепов</t>
        </is>
      </c>
      <c r="AA33" s="30" t="n">
        <v>225</v>
      </c>
      <c r="AB33" s="134" t="n">
        <v>300</v>
      </c>
      <c r="AC33" s="32" t="n">
        <v>100</v>
      </c>
      <c r="AD33" s="31" t="inlineStr">
        <is>
          <t>Корректировка прогноза клиентом, в связи с увеличением выпуска 4-х осных полуприцепов</t>
        </is>
      </c>
      <c r="AE33" s="30" t="n">
        <v>225</v>
      </c>
      <c r="AF33" s="31" t="n">
        <v>300</v>
      </c>
      <c r="AG33" s="140" t="n">
        <v>330</v>
      </c>
      <c r="AH33" s="139" t="inlineStr">
        <is>
          <t>Корректировка прогноза клиентом, в связи с увеличением выпуска 4-х осных полуприцепов</t>
        </is>
      </c>
      <c r="AI33" s="30" t="n">
        <v>250</v>
      </c>
      <c r="AJ33" s="31" t="n">
        <v>300</v>
      </c>
      <c r="AK33" s="140" t="n">
        <v>180</v>
      </c>
      <c r="AL33" s="139" t="inlineStr">
        <is>
          <t>Корректировка прогноза клиентом, в связи с увеличением выпуска 4-х осных полуприцепов</t>
        </is>
      </c>
      <c r="AM33" s="30" t="n"/>
      <c r="AN33" s="31" t="n">
        <v>300</v>
      </c>
      <c r="AO33" s="140" t="n">
        <v>150</v>
      </c>
      <c r="AP33" s="139" t="n"/>
      <c r="AQ33" s="30" t="n"/>
      <c r="AR33" s="37" t="n">
        <v>160</v>
      </c>
      <c r="AS33" s="140" t="n">
        <v>0</v>
      </c>
      <c r="AT33" s="139" t="n"/>
      <c r="AU33" s="30" t="n"/>
      <c r="AV33" s="37" t="n">
        <v>160</v>
      </c>
      <c r="AW33" s="140" t="n">
        <v>0</v>
      </c>
      <c r="AX33" s="139" t="n"/>
      <c r="AY33" s="30" t="n"/>
      <c r="AZ33" s="135" t="n">
        <v>200</v>
      </c>
      <c r="BA33" s="140" t="n">
        <v>200</v>
      </c>
      <c r="BB33" s="141" t="n"/>
      <c r="BC33" s="30" t="n"/>
      <c r="BD33" s="37" t="n">
        <v>0</v>
      </c>
      <c r="BE33" s="32" t="n">
        <v>0</v>
      </c>
      <c r="BF33" s="141" t="n"/>
      <c r="BG33" s="30" t="n"/>
      <c r="BH33" s="135" t="n">
        <v>200</v>
      </c>
      <c r="BI33" s="136" t="n">
        <v>0</v>
      </c>
      <c r="BJ33" s="141" t="n"/>
      <c r="BK33" s="381">
        <f>O33+S33+W33+AA33+AE33+AI33+AM33+AQ33+AU33+AY33+BC33+BG33</f>
        <v/>
      </c>
      <c r="BL33" s="381">
        <f>BK33*$I33</f>
        <v/>
      </c>
      <c r="BM33" s="41" t="n">
        <v>240</v>
      </c>
      <c r="BN33" s="35" t="n">
        <v>240</v>
      </c>
      <c r="BO33" s="32" t="n">
        <v>0</v>
      </c>
      <c r="BP33" s="60" t="n"/>
      <c r="BQ33" s="41" t="n">
        <v>240</v>
      </c>
      <c r="BR33" s="82" t="n">
        <v>240</v>
      </c>
      <c r="BS33" s="32" t="n">
        <v>0</v>
      </c>
      <c r="BT33" s="60" t="n"/>
      <c r="BU33" s="41" t="n">
        <v>240</v>
      </c>
      <c r="BV33" s="82" t="n">
        <v>0</v>
      </c>
      <c r="BW33" s="32" t="n">
        <v>0</v>
      </c>
      <c r="BX33" s="31" t="n"/>
      <c r="BY33" s="41" t="n">
        <v>240</v>
      </c>
      <c r="BZ33" s="35" t="n">
        <v>0</v>
      </c>
      <c r="CA33" s="44" t="n">
        <v>0</v>
      </c>
      <c r="CB33" s="35" t="n"/>
      <c r="CC33" s="45" t="n">
        <v>240</v>
      </c>
      <c r="CD33" s="35" t="n">
        <v>0</v>
      </c>
      <c r="CE33" s="32" t="n">
        <v>0</v>
      </c>
      <c r="CF33" s="139" t="n"/>
      <c r="CG33" s="41" t="n">
        <v>240</v>
      </c>
      <c r="CH33" s="47" t="n">
        <v>0</v>
      </c>
      <c r="CI33" s="140" t="n">
        <v>0</v>
      </c>
      <c r="CJ33" s="139" t="n"/>
      <c r="CK33" s="45" t="n">
        <v>240</v>
      </c>
      <c r="CL33" s="47" t="n">
        <v>40</v>
      </c>
      <c r="CM33" s="143" t="n">
        <v>0</v>
      </c>
      <c r="CN33" s="144" t="n"/>
      <c r="CO33" s="45" t="n">
        <v>240</v>
      </c>
      <c r="CP33" s="35" t="n">
        <v>40</v>
      </c>
      <c r="CQ33" s="143" t="n">
        <v>0</v>
      </c>
      <c r="CR33" s="144" t="n"/>
      <c r="CS33" s="45" t="n">
        <v>240</v>
      </c>
      <c r="CT33" s="47" t="n">
        <v>80</v>
      </c>
      <c r="CU33" s="44" t="n">
        <v>0</v>
      </c>
      <c r="CV33" s="144" t="n"/>
      <c r="CW33" s="45" t="n">
        <v>240</v>
      </c>
      <c r="CX33" s="47" t="n">
        <v>80</v>
      </c>
      <c r="CY33" s="143" t="n">
        <v>0</v>
      </c>
      <c r="CZ33" s="144" t="n"/>
      <c r="DA33" s="45" t="n">
        <v>240</v>
      </c>
      <c r="DB33" s="47" t="n">
        <v>80</v>
      </c>
      <c r="DC33" s="44" t="n">
        <v>0</v>
      </c>
      <c r="DD33" s="144" t="n"/>
      <c r="DE33" s="45" t="n">
        <v>240</v>
      </c>
      <c r="DF33" s="281" t="n">
        <v>0</v>
      </c>
      <c r="DG33" s="42" t="n">
        <v>0</v>
      </c>
      <c r="DH33" s="144" t="n"/>
      <c r="DI33" s="379">
        <f>BM33+BQ33+BU33+BY33+CC33+CG33+CK33+CO33+CS33+CW33+DA33+DE33</f>
        <v/>
      </c>
      <c r="DJ33" s="379">
        <f>DI33*$I33</f>
        <v/>
      </c>
      <c r="DK33" s="52" t="n">
        <v>80</v>
      </c>
      <c r="DL33" s="35" t="n">
        <v>0</v>
      </c>
      <c r="DM33" s="44" t="n">
        <v>0</v>
      </c>
      <c r="DN33" s="35" t="n"/>
      <c r="DO33" s="82" t="n">
        <v>80</v>
      </c>
      <c r="DP33" s="35" t="n">
        <v>0</v>
      </c>
      <c r="DQ33" s="44" t="n">
        <v>130</v>
      </c>
      <c r="DR33" s="35" t="n"/>
      <c r="DS33" s="82" t="n">
        <v>80</v>
      </c>
      <c r="DT33" s="35" t="n">
        <v>0</v>
      </c>
      <c r="DU33" s="44" t="n">
        <v>0</v>
      </c>
      <c r="DV33" s="35" t="n"/>
      <c r="DW33" s="82" t="n">
        <v>80</v>
      </c>
      <c r="DX33" s="35" t="n">
        <v>80</v>
      </c>
      <c r="DY33" s="44" t="n">
        <v>0</v>
      </c>
      <c r="DZ33" s="36" t="n"/>
      <c r="EA33" s="82" t="n">
        <v>80</v>
      </c>
      <c r="EB33" s="35" t="n">
        <v>0</v>
      </c>
      <c r="EC33" s="44" t="n">
        <v>0</v>
      </c>
      <c r="ED33" s="36" t="n"/>
      <c r="EE33" s="82" t="n">
        <v>80</v>
      </c>
      <c r="EF33" s="281" t="n">
        <v>0</v>
      </c>
      <c r="EG33" s="44" t="n">
        <v>0</v>
      </c>
      <c r="EH33" s="35" t="n"/>
      <c r="EI33" s="82" t="n">
        <v>80</v>
      </c>
      <c r="EJ33" s="281" t="n">
        <v>0</v>
      </c>
      <c r="EK33" s="44" t="n">
        <v>0</v>
      </c>
      <c r="EL33" s="35" t="n"/>
      <c r="EM33" s="82" t="n">
        <v>80</v>
      </c>
      <c r="EN33" s="281" t="n">
        <v>0</v>
      </c>
      <c r="EO33" s="44" t="n">
        <v>0</v>
      </c>
      <c r="EP33" s="35" t="n"/>
      <c r="EQ33" s="82" t="n">
        <v>80</v>
      </c>
      <c r="ER33" s="281" t="n">
        <v>0</v>
      </c>
      <c r="ES33" s="44" t="n">
        <v>0</v>
      </c>
      <c r="ET33" s="35" t="n"/>
      <c r="EU33" s="82" t="n">
        <v>80</v>
      </c>
      <c r="EV33" s="281" t="n">
        <v>0</v>
      </c>
      <c r="EW33" s="44" t="n">
        <v>0</v>
      </c>
      <c r="EX33" s="35" t="n"/>
      <c r="EY33" s="82" t="n">
        <v>80</v>
      </c>
      <c r="EZ33" s="281" t="n">
        <v>0</v>
      </c>
      <c r="FA33" s="288" t="n">
        <v>0</v>
      </c>
      <c r="FB33" s="35" t="n"/>
      <c r="FC33" s="82" t="n">
        <v>80</v>
      </c>
      <c r="FD33" s="281" t="n">
        <v>0</v>
      </c>
      <c r="FE33" s="380" t="n">
        <v>0</v>
      </c>
      <c r="FF33" s="35" t="n"/>
      <c r="FG33" s="379">
        <f>DK33+DO33+DS33+DW33+EA33+EE33+EI33+EM33+EQ33+EU33+EY33+FC33</f>
        <v/>
      </c>
      <c r="FH33" s="379">
        <f>FG33*$I33</f>
        <v/>
      </c>
      <c r="FI33" s="47" t="n">
        <v>80</v>
      </c>
      <c r="FJ33" s="35" t="n"/>
      <c r="FK33" s="44" t="n">
        <v>0</v>
      </c>
      <c r="FL33" s="61" t="n"/>
      <c r="FM33" s="51" t="n">
        <v>160</v>
      </c>
      <c r="FN33" s="82" t="n"/>
      <c r="FO33" s="44" t="n">
        <v>0</v>
      </c>
      <c r="FP33" s="61" t="n"/>
      <c r="FQ33" s="51" t="n">
        <v>160</v>
      </c>
      <c r="FR33" s="82" t="n"/>
      <c r="FS33" s="44" t="n">
        <v>0</v>
      </c>
      <c r="FT33" s="35" t="n"/>
      <c r="FU33" s="51" t="n">
        <v>160</v>
      </c>
      <c r="FV33" s="35" t="n"/>
      <c r="FW33" s="44" t="n">
        <v>0</v>
      </c>
      <c r="FX33" s="35" t="n"/>
      <c r="FY33" s="51" t="n">
        <v>160</v>
      </c>
      <c r="FZ33" s="35" t="n"/>
      <c r="GA33" s="143" t="n">
        <v>0</v>
      </c>
      <c r="GB33" s="144" t="n"/>
      <c r="GC33" s="51" t="n">
        <v>200</v>
      </c>
      <c r="GD33" s="47" t="n"/>
      <c r="GE33" s="143" t="n">
        <v>0</v>
      </c>
      <c r="GF33" s="144" t="n"/>
      <c r="GG33" s="51" t="n">
        <v>200</v>
      </c>
      <c r="GH33" s="47" t="n"/>
      <c r="GI33" s="143" t="n">
        <v>0</v>
      </c>
      <c r="GJ33" s="144" t="n"/>
      <c r="GK33" s="51" t="n">
        <v>200</v>
      </c>
      <c r="GL33" s="35" t="n"/>
      <c r="GM33" s="143" t="n">
        <v>0</v>
      </c>
      <c r="GN33" s="144" t="n"/>
      <c r="GO33" s="51" t="n">
        <v>200</v>
      </c>
      <c r="GP33" s="47" t="n"/>
      <c r="GQ33" s="143" t="n">
        <v>0</v>
      </c>
      <c r="GR33" s="144" t="n"/>
      <c r="GS33" s="51" t="n">
        <v>200</v>
      </c>
      <c r="GT33" s="47" t="n"/>
      <c r="GU33" s="143" t="n">
        <v>0</v>
      </c>
      <c r="GV33" s="144" t="n"/>
      <c r="GW33" s="51" t="n">
        <v>200</v>
      </c>
      <c r="GX33" s="47" t="n"/>
      <c r="GY33" s="44" t="n">
        <v>0</v>
      </c>
      <c r="GZ33" s="144" t="n"/>
      <c r="HA33" s="51" t="n">
        <v>200</v>
      </c>
      <c r="HB33" s="35" t="n"/>
      <c r="HC33" s="380" t="n">
        <v>0</v>
      </c>
      <c r="HD33" s="144" t="n"/>
      <c r="HE33" s="379">
        <f>FI33+FM33+FQ33+FU33+FY33+GC33+GG33+GK33+GO33+GS33+GW33+HA33</f>
        <v/>
      </c>
      <c r="HF33" s="379">
        <f>HE33*$I33</f>
        <v/>
      </c>
      <c r="HG33" s="51" t="n">
        <v>200</v>
      </c>
      <c r="HH33" s="35" t="n"/>
      <c r="HI33" s="44" t="n">
        <v>0</v>
      </c>
      <c r="HJ33" s="61" t="n"/>
      <c r="HK33" s="51" t="n">
        <v>240</v>
      </c>
      <c r="HL33" s="82" t="n"/>
      <c r="HM33" s="44" t="n">
        <v>0</v>
      </c>
      <c r="HN33" s="61" t="n"/>
      <c r="HO33" s="51" t="n">
        <v>240</v>
      </c>
      <c r="HP33" s="82" t="n"/>
      <c r="HQ33" s="44" t="n">
        <v>0</v>
      </c>
      <c r="HR33" s="35" t="n"/>
      <c r="HS33" s="51" t="n">
        <v>240</v>
      </c>
      <c r="HT33" s="35" t="n"/>
      <c r="HU33" s="44" t="n">
        <v>0</v>
      </c>
      <c r="HV33" s="35" t="n"/>
      <c r="HW33" s="51" t="n">
        <v>240</v>
      </c>
      <c r="HX33" s="35" t="n"/>
      <c r="HY33" s="143" t="n">
        <v>0</v>
      </c>
      <c r="HZ33" s="144" t="n"/>
      <c r="IA33" s="51" t="n">
        <v>240</v>
      </c>
      <c r="IB33" s="47" t="n"/>
      <c r="IC33" s="143" t="n">
        <v>0</v>
      </c>
      <c r="ID33" s="144" t="n"/>
      <c r="IE33" s="51" t="n">
        <v>240</v>
      </c>
      <c r="IF33" s="47" t="n"/>
      <c r="IG33" s="143" t="n">
        <v>0</v>
      </c>
      <c r="IH33" s="144" t="n"/>
      <c r="II33" s="51" t="n">
        <v>240</v>
      </c>
      <c r="IJ33" s="35" t="n"/>
      <c r="IK33" s="143" t="n">
        <v>0</v>
      </c>
      <c r="IL33" s="144" t="n"/>
      <c r="IM33" s="51" t="n">
        <v>240</v>
      </c>
      <c r="IN33" s="47" t="n"/>
      <c r="IO33" s="143" t="n">
        <v>0</v>
      </c>
      <c r="IP33" s="144" t="n"/>
      <c r="IQ33" s="51" t="n">
        <v>240</v>
      </c>
      <c r="IR33" s="47" t="n"/>
      <c r="IS33" s="143" t="n">
        <v>0</v>
      </c>
      <c r="IT33" s="144" t="n"/>
      <c r="IU33" s="45" t="n"/>
      <c r="IV33" s="47" t="n"/>
      <c r="IW33" s="44" t="n"/>
      <c r="IX33" s="144" t="n"/>
      <c r="IY33" s="51" t="n">
        <v>240</v>
      </c>
      <c r="IZ33" s="35" t="n"/>
      <c r="JA33" s="380" t="n">
        <v>0</v>
      </c>
      <c r="JB33" s="144" t="n"/>
      <c r="JC33" s="381">
        <f>HG33+HK33+HO33+HS33+HW33+IA33+IE33+II33+IM33+IQ33+IU33+IY33</f>
        <v/>
      </c>
      <c r="JD33" s="381">
        <f>JC33*$I33</f>
        <v/>
      </c>
    </row>
    <row r="34" ht="43.2" customHeight="1">
      <c r="A34" s="382" t="n"/>
      <c r="B34" s="382" t="n"/>
      <c r="C34" s="382" t="n"/>
      <c r="D34" s="382" t="n"/>
      <c r="E34" s="25" t="n">
        <v>10</v>
      </c>
      <c r="F34" s="25" t="n">
        <v>1</v>
      </c>
      <c r="G34" s="26" t="n">
        <v>4630320200</v>
      </c>
      <c r="H34" s="138" t="inlineStr">
        <is>
          <t>Кран управления пневмоподвеской без фитингов</t>
        </is>
      </c>
      <c r="I34" s="149" t="n">
        <v>281.85</v>
      </c>
      <c r="J34" s="149" t="n">
        <v>281.85</v>
      </c>
      <c r="K34" s="301" t="n">
        <v>240.37</v>
      </c>
      <c r="L34" s="301" t="n">
        <v>240.37</v>
      </c>
      <c r="M34" s="149" t="n"/>
      <c r="N34" s="149" t="n"/>
      <c r="O34" s="30" t="n">
        <v>400</v>
      </c>
      <c r="P34" s="31" t="n">
        <v>400</v>
      </c>
      <c r="Q34" s="32" t="n">
        <v>200</v>
      </c>
      <c r="R34" s="31" t="n"/>
      <c r="S34" s="30" t="n">
        <v>400</v>
      </c>
      <c r="T34" s="31" t="n">
        <v>400</v>
      </c>
      <c r="U34" s="32" t="n">
        <v>400</v>
      </c>
      <c r="V34" s="31" t="n"/>
      <c r="W34" s="30" t="n">
        <v>450</v>
      </c>
      <c r="X34" s="31" t="n">
        <v>450</v>
      </c>
      <c r="Y34" s="55" t="n">
        <v>215</v>
      </c>
      <c r="Z34" s="31" t="n"/>
      <c r="AA34" s="30" t="n">
        <v>450</v>
      </c>
      <c r="AB34" s="134" t="n">
        <v>400</v>
      </c>
      <c r="AC34" s="32" t="n">
        <v>400</v>
      </c>
      <c r="AD34" s="31" t="n"/>
      <c r="AE34" s="152" t="n">
        <v>450</v>
      </c>
      <c r="AF34" s="31" t="n">
        <v>400</v>
      </c>
      <c r="AG34" s="55" t="n">
        <v>410</v>
      </c>
      <c r="AH34" s="139" t="n"/>
      <c r="AI34" s="30" t="n">
        <v>500</v>
      </c>
      <c r="AJ34" s="31" t="n">
        <v>400</v>
      </c>
      <c r="AK34" s="140" t="n">
        <v>410</v>
      </c>
      <c r="AL34" s="139" t="inlineStr">
        <is>
          <t xml:space="preserve">Корректировка прогноза клиентом. </t>
        </is>
      </c>
      <c r="AM34" s="30" t="n"/>
      <c r="AN34" s="31" t="n">
        <v>400</v>
      </c>
      <c r="AO34" s="140" t="n">
        <v>200</v>
      </c>
      <c r="AP34" s="139" t="n"/>
      <c r="AQ34" s="152" t="n"/>
      <c r="AR34" s="37" t="n">
        <v>300</v>
      </c>
      <c r="AS34" s="140" t="n">
        <v>200</v>
      </c>
      <c r="AT34" s="139" t="n"/>
      <c r="AU34" s="152" t="n"/>
      <c r="AV34" s="37" t="n">
        <v>300</v>
      </c>
      <c r="AW34" s="140" t="n">
        <v>0</v>
      </c>
      <c r="AX34" s="139" t="n"/>
      <c r="AY34" s="152" t="n"/>
      <c r="AZ34" s="135" t="n">
        <v>220</v>
      </c>
      <c r="BA34" s="140" t="n">
        <v>220</v>
      </c>
      <c r="BB34" s="141" t="n"/>
      <c r="BC34" s="152" t="n"/>
      <c r="BD34" s="135" t="n">
        <v>220</v>
      </c>
      <c r="BE34" s="32" t="n">
        <v>220</v>
      </c>
      <c r="BF34" s="141" t="n"/>
      <c r="BG34" s="152" t="n"/>
      <c r="BH34" s="135" t="n">
        <v>220</v>
      </c>
      <c r="BI34" s="136" t="n">
        <v>0</v>
      </c>
      <c r="BJ34" s="141" t="n"/>
      <c r="BK34" s="381">
        <f>O34+S34+W34+AA34+AE34+AI34+AM34+AQ34+AU34+AY34+BC34+BG34</f>
        <v/>
      </c>
      <c r="BL34" s="381">
        <f>BK34*$I34</f>
        <v/>
      </c>
      <c r="BM34" s="41" t="n">
        <v>280</v>
      </c>
      <c r="BN34" s="35" t="n">
        <v>280</v>
      </c>
      <c r="BO34" s="32" t="n">
        <v>280</v>
      </c>
      <c r="BP34" s="31" t="n"/>
      <c r="BQ34" s="41" t="n">
        <v>280</v>
      </c>
      <c r="BR34" s="82" t="n">
        <v>280</v>
      </c>
      <c r="BS34" s="32" t="n">
        <v>0</v>
      </c>
      <c r="BT34" s="31" t="n"/>
      <c r="BU34" s="41" t="n">
        <v>280</v>
      </c>
      <c r="BV34" s="82" t="n">
        <v>0</v>
      </c>
      <c r="BW34" s="55" t="n">
        <v>0</v>
      </c>
      <c r="BX34" s="31" t="n"/>
      <c r="BY34" s="41" t="n">
        <v>300</v>
      </c>
      <c r="BZ34" s="35" t="n">
        <v>0</v>
      </c>
      <c r="CA34" s="44" t="n">
        <v>0</v>
      </c>
      <c r="CB34" s="35" t="n"/>
      <c r="CC34" s="45" t="n">
        <v>300</v>
      </c>
      <c r="CD34" s="35" t="n">
        <v>0</v>
      </c>
      <c r="CE34" s="32" t="n">
        <v>0</v>
      </c>
      <c r="CF34" s="139" t="n"/>
      <c r="CG34" s="41" t="n">
        <v>300</v>
      </c>
      <c r="CH34" s="47" t="n">
        <v>0</v>
      </c>
      <c r="CI34" s="140" t="n">
        <v>118</v>
      </c>
      <c r="CJ34" s="139" t="n"/>
      <c r="CK34" s="45" t="n">
        <v>300</v>
      </c>
      <c r="CL34" s="47" t="n">
        <v>50</v>
      </c>
      <c r="CM34" s="143" t="n">
        <v>100</v>
      </c>
      <c r="CN34" s="144" t="n"/>
      <c r="CO34" s="45" t="n">
        <v>300</v>
      </c>
      <c r="CP34" s="35" t="n">
        <v>50</v>
      </c>
      <c r="CQ34" s="143" t="n">
        <v>100</v>
      </c>
      <c r="CR34" s="144" t="n"/>
      <c r="CS34" s="45" t="n">
        <v>300</v>
      </c>
      <c r="CT34" s="35" t="n">
        <v>100</v>
      </c>
      <c r="CU34" s="44" t="n">
        <v>0</v>
      </c>
      <c r="CV34" s="144" t="n"/>
      <c r="CW34" s="45" t="n">
        <v>300</v>
      </c>
      <c r="CX34" s="35" t="n">
        <v>100</v>
      </c>
      <c r="CY34" s="143" t="n">
        <v>250</v>
      </c>
      <c r="CZ34" s="144" t="n"/>
      <c r="DA34" s="45" t="n">
        <v>300</v>
      </c>
      <c r="DB34" s="35" t="n">
        <v>100</v>
      </c>
      <c r="DC34" s="44" t="n">
        <v>0</v>
      </c>
      <c r="DD34" s="144" t="n"/>
      <c r="DE34" s="63" t="n">
        <v>300</v>
      </c>
      <c r="DF34" s="282" t="n">
        <v>50</v>
      </c>
      <c r="DG34" s="42" t="n">
        <v>0</v>
      </c>
      <c r="DH34" s="144" t="n"/>
      <c r="DI34" s="379">
        <f>BM34+BQ34+BU34+BY34+CC34+CG34+CK34+CO34+CS34+CW34+DA34+DE34</f>
        <v/>
      </c>
      <c r="DJ34" s="379">
        <f>DI34*$I34</f>
        <v/>
      </c>
      <c r="DK34" s="82" t="n">
        <v>100</v>
      </c>
      <c r="DL34" s="35" t="n">
        <v>30</v>
      </c>
      <c r="DM34" s="44" t="n">
        <v>0</v>
      </c>
      <c r="DN34" s="35" t="n"/>
      <c r="DO34" s="82" t="n">
        <v>100</v>
      </c>
      <c r="DP34" s="35" t="n">
        <v>100</v>
      </c>
      <c r="DQ34" s="44" t="n">
        <v>130</v>
      </c>
      <c r="DR34" s="35" t="n"/>
      <c r="DS34" s="82" t="n">
        <v>100</v>
      </c>
      <c r="DT34" s="281" t="n">
        <v>550</v>
      </c>
      <c r="DU34" s="44" t="n">
        <v>450</v>
      </c>
      <c r="DV34" s="35" t="n"/>
      <c r="DW34" s="82" t="n">
        <v>100</v>
      </c>
      <c r="DX34" s="35" t="n">
        <v>100</v>
      </c>
      <c r="DY34" s="44" t="n">
        <v>100</v>
      </c>
      <c r="DZ34" s="36" t="n"/>
      <c r="EA34" s="82" t="n">
        <v>100</v>
      </c>
      <c r="EB34" s="35" t="n">
        <v>200</v>
      </c>
      <c r="EC34" s="44" t="n">
        <v>0</v>
      </c>
      <c r="ED34" s="36" t="n"/>
      <c r="EE34" s="82" t="n">
        <v>100</v>
      </c>
      <c r="EF34" s="281" t="n">
        <v>70</v>
      </c>
      <c r="EG34" s="44" t="n">
        <v>0</v>
      </c>
      <c r="EH34" s="35" t="n"/>
      <c r="EI34" s="82" t="n">
        <v>100</v>
      </c>
      <c r="EJ34" s="281" t="n">
        <v>70</v>
      </c>
      <c r="EK34" s="44" t="n">
        <v>0</v>
      </c>
      <c r="EL34" s="35" t="n"/>
      <c r="EM34" s="82" t="n">
        <v>100</v>
      </c>
      <c r="EN34" s="281" t="n">
        <v>70</v>
      </c>
      <c r="EO34" s="44" t="n">
        <v>0</v>
      </c>
      <c r="EP34" s="35" t="n"/>
      <c r="EQ34" s="82" t="n">
        <v>100</v>
      </c>
      <c r="ER34" s="281" t="n">
        <v>70</v>
      </c>
      <c r="ES34" s="44" t="n">
        <v>0</v>
      </c>
      <c r="ET34" s="35" t="n"/>
      <c r="EU34" s="82" t="n">
        <v>100</v>
      </c>
      <c r="EV34" s="281" t="n">
        <v>70</v>
      </c>
      <c r="EW34" s="44" t="n">
        <v>0</v>
      </c>
      <c r="EX34" s="35" t="n"/>
      <c r="EY34" s="82" t="n">
        <v>100</v>
      </c>
      <c r="EZ34" s="281" t="n">
        <v>70</v>
      </c>
      <c r="FA34" s="288" t="n">
        <v>0</v>
      </c>
      <c r="FB34" s="35" t="n"/>
      <c r="FC34" s="82" t="n">
        <v>100</v>
      </c>
      <c r="FD34" s="281" t="n">
        <v>70</v>
      </c>
      <c r="FE34" s="380" t="n">
        <v>0</v>
      </c>
      <c r="FF34" s="35" t="n"/>
      <c r="FG34" s="379">
        <f>DK34+DO34+DS34+DW34+EA34+EE34+EI34+EM34+EQ34+EU34+EY34+FC34</f>
        <v/>
      </c>
      <c r="FH34" s="379">
        <f>FG34*$I34</f>
        <v/>
      </c>
      <c r="FI34" s="35" t="n">
        <v>100</v>
      </c>
      <c r="FJ34" s="35" t="n"/>
      <c r="FK34" s="44" t="n">
        <v>0</v>
      </c>
      <c r="FL34" s="35" t="n"/>
      <c r="FM34" s="51" t="n">
        <v>200</v>
      </c>
      <c r="FN34" s="82" t="n"/>
      <c r="FO34" s="44" t="n">
        <v>0</v>
      </c>
      <c r="FP34" s="35" t="n"/>
      <c r="FQ34" s="51" t="n">
        <v>200</v>
      </c>
      <c r="FR34" s="82" t="n"/>
      <c r="FS34" s="56" t="n">
        <v>0</v>
      </c>
      <c r="FT34" s="35" t="n"/>
      <c r="FU34" s="51" t="n">
        <v>200</v>
      </c>
      <c r="FV34" s="35" t="n"/>
      <c r="FW34" s="44" t="n">
        <v>0</v>
      </c>
      <c r="FX34" s="35" t="n"/>
      <c r="FY34" s="51" t="n">
        <v>200</v>
      </c>
      <c r="FZ34" s="35" t="n"/>
      <c r="GA34" s="56" t="n">
        <v>0</v>
      </c>
      <c r="GB34" s="144" t="n"/>
      <c r="GC34" s="51" t="n">
        <v>250</v>
      </c>
      <c r="GD34" s="47" t="n"/>
      <c r="GE34" s="143" t="n">
        <v>0</v>
      </c>
      <c r="GF34" s="144" t="n"/>
      <c r="GG34" s="51" t="n">
        <v>250</v>
      </c>
      <c r="GH34" s="47" t="n"/>
      <c r="GI34" s="143" t="n">
        <v>0</v>
      </c>
      <c r="GJ34" s="144" t="n"/>
      <c r="GK34" s="51" t="n">
        <v>250</v>
      </c>
      <c r="GL34" s="35" t="n"/>
      <c r="GM34" s="143" t="n">
        <v>0</v>
      </c>
      <c r="GN34" s="144" t="n"/>
      <c r="GO34" s="51" t="n">
        <v>250</v>
      </c>
      <c r="GP34" s="35" t="n"/>
      <c r="GQ34" s="143" t="n">
        <v>0</v>
      </c>
      <c r="GR34" s="144" t="n"/>
      <c r="GS34" s="51" t="n">
        <v>250</v>
      </c>
      <c r="GT34" s="35" t="n"/>
      <c r="GU34" s="143" t="n">
        <v>0</v>
      </c>
      <c r="GV34" s="144" t="n"/>
      <c r="GW34" s="51" t="n">
        <v>250</v>
      </c>
      <c r="GX34" s="47" t="n"/>
      <c r="GY34" s="44" t="n">
        <v>0</v>
      </c>
      <c r="GZ34" s="144" t="n"/>
      <c r="HA34" s="153" t="n">
        <v>250</v>
      </c>
      <c r="HB34" s="35" t="n"/>
      <c r="HC34" s="380" t="n">
        <v>0</v>
      </c>
      <c r="HD34" s="144" t="n"/>
      <c r="HE34" s="379">
        <f>FI34+FM34+FQ34+FU34+FY34+GC34+GG34+GK34+GO34+GS34+GW34+HA34</f>
        <v/>
      </c>
      <c r="HF34" s="379">
        <f>HE34*$I34</f>
        <v/>
      </c>
      <c r="HG34" s="51" t="n">
        <v>250</v>
      </c>
      <c r="HH34" s="35" t="n"/>
      <c r="HI34" s="44" t="n">
        <v>0</v>
      </c>
      <c r="HJ34" s="35" t="n"/>
      <c r="HK34" s="51" t="n">
        <v>280</v>
      </c>
      <c r="HL34" s="82" t="n"/>
      <c r="HM34" s="44" t="n">
        <v>0</v>
      </c>
      <c r="HN34" s="35" t="n"/>
      <c r="HO34" s="51" t="n">
        <v>280</v>
      </c>
      <c r="HP34" s="82" t="n"/>
      <c r="HQ34" s="56" t="n">
        <v>0</v>
      </c>
      <c r="HR34" s="35" t="n"/>
      <c r="HS34" s="51" t="n">
        <v>280</v>
      </c>
      <c r="HT34" s="35" t="n"/>
      <c r="HU34" s="44" t="n">
        <v>0</v>
      </c>
      <c r="HV34" s="35" t="n"/>
      <c r="HW34" s="51" t="n">
        <v>280</v>
      </c>
      <c r="HX34" s="35" t="n"/>
      <c r="HY34" s="56" t="n">
        <v>0</v>
      </c>
      <c r="HZ34" s="144" t="n"/>
      <c r="IA34" s="51" t="n">
        <v>280</v>
      </c>
      <c r="IB34" s="47" t="n"/>
      <c r="IC34" s="143" t="n">
        <v>0</v>
      </c>
      <c r="ID34" s="144" t="n"/>
      <c r="IE34" s="51" t="n">
        <v>280</v>
      </c>
      <c r="IF34" s="47" t="n"/>
      <c r="IG34" s="143" t="n">
        <v>0</v>
      </c>
      <c r="IH34" s="144" t="n"/>
      <c r="II34" s="51" t="n">
        <v>300</v>
      </c>
      <c r="IJ34" s="35" t="n"/>
      <c r="IK34" s="143" t="n">
        <v>0</v>
      </c>
      <c r="IL34" s="144" t="n"/>
      <c r="IM34" s="51" t="n">
        <v>300</v>
      </c>
      <c r="IN34" s="35" t="n"/>
      <c r="IO34" s="143" t="n">
        <v>0</v>
      </c>
      <c r="IP34" s="144" t="n"/>
      <c r="IQ34" s="51" t="n">
        <v>300</v>
      </c>
      <c r="IR34" s="35" t="n"/>
      <c r="IS34" s="143" t="n">
        <v>0</v>
      </c>
      <c r="IT34" s="144" t="n"/>
      <c r="IU34" s="45" t="n"/>
      <c r="IV34" s="47" t="n"/>
      <c r="IW34" s="44" t="n"/>
      <c r="IX34" s="144" t="n"/>
      <c r="IY34" s="51" t="n">
        <v>300</v>
      </c>
      <c r="IZ34" s="35" t="n"/>
      <c r="JA34" s="380" t="n">
        <v>0</v>
      </c>
      <c r="JB34" s="144" t="n"/>
      <c r="JC34" s="381">
        <f>HG34+HK34+HO34+HS34+HW34+IA34+IE34+II34+IM34+IQ34+IU34+IY34</f>
        <v/>
      </c>
      <c r="JD34" s="381">
        <f>JC34*$I34</f>
        <v/>
      </c>
    </row>
    <row r="35" ht="28.8" customHeight="1">
      <c r="A35" s="382" t="n"/>
      <c r="B35" s="382" t="n"/>
      <c r="C35" s="382" t="n"/>
      <c r="D35" s="382" t="n"/>
      <c r="E35" s="25" t="n">
        <v>11</v>
      </c>
      <c r="F35" s="25" t="n">
        <v>1</v>
      </c>
      <c r="G35" s="26" t="n">
        <v>4334010030</v>
      </c>
      <c r="H35" s="138" t="inlineStr">
        <is>
          <t>Гибкий элемент для крана уровня пола</t>
        </is>
      </c>
      <c r="I35" s="149" t="n">
        <v>32.75</v>
      </c>
      <c r="J35" s="149" t="n">
        <v>32.75</v>
      </c>
      <c r="K35" s="301" t="n">
        <v>29.51</v>
      </c>
      <c r="L35" s="301" t="n">
        <v>29.51</v>
      </c>
      <c r="M35" s="149" t="n"/>
      <c r="N35" s="149" t="n"/>
      <c r="O35" s="30" t="n">
        <v>400</v>
      </c>
      <c r="P35" s="31" t="n">
        <v>400</v>
      </c>
      <c r="Q35" s="32" t="n">
        <v>200</v>
      </c>
      <c r="R35" s="31" t="n"/>
      <c r="S35" s="30" t="n">
        <v>400</v>
      </c>
      <c r="T35" s="31" t="n">
        <v>400</v>
      </c>
      <c r="U35" s="32" t="n">
        <v>400</v>
      </c>
      <c r="V35" s="31" t="n"/>
      <c r="W35" s="30" t="n">
        <v>450</v>
      </c>
      <c r="X35" s="31" t="n">
        <v>450</v>
      </c>
      <c r="Y35" s="32" t="n">
        <v>215</v>
      </c>
      <c r="Z35" s="31" t="n"/>
      <c r="AA35" s="30" t="n">
        <v>450</v>
      </c>
      <c r="AB35" s="134" t="n">
        <v>400</v>
      </c>
      <c r="AC35" s="32" t="n">
        <v>400</v>
      </c>
      <c r="AD35" s="31" t="n"/>
      <c r="AE35" s="30" t="n">
        <v>450</v>
      </c>
      <c r="AF35" s="31" t="n">
        <v>400</v>
      </c>
      <c r="AG35" s="32" t="n">
        <v>410</v>
      </c>
      <c r="AH35" s="139" t="n"/>
      <c r="AI35" s="30" t="n">
        <v>500</v>
      </c>
      <c r="AJ35" s="31" t="n">
        <v>400</v>
      </c>
      <c r="AK35" s="140" t="n">
        <v>410</v>
      </c>
      <c r="AL35" s="139" t="inlineStr">
        <is>
          <t xml:space="preserve">Корректировка прогноза клиентом. </t>
        </is>
      </c>
      <c r="AM35" s="30" t="n"/>
      <c r="AN35" s="31" t="n">
        <v>400</v>
      </c>
      <c r="AO35" s="140" t="n">
        <v>200</v>
      </c>
      <c r="AP35" s="139" t="n"/>
      <c r="AQ35" s="152" t="n"/>
      <c r="AR35" s="37" t="n">
        <v>300</v>
      </c>
      <c r="AS35" s="140" t="n">
        <v>200</v>
      </c>
      <c r="AT35" s="139" t="n"/>
      <c r="AU35" s="152" t="n"/>
      <c r="AV35" s="37" t="n">
        <v>300</v>
      </c>
      <c r="AW35" s="140" t="n">
        <v>0</v>
      </c>
      <c r="AX35" s="139" t="n"/>
      <c r="AY35" s="152" t="n"/>
      <c r="AZ35" s="135" t="n">
        <v>220</v>
      </c>
      <c r="BA35" s="140" t="n">
        <v>220</v>
      </c>
      <c r="BB35" s="141" t="n"/>
      <c r="BC35" s="152" t="n"/>
      <c r="BD35" s="135" t="n">
        <v>220</v>
      </c>
      <c r="BE35" s="32" t="n">
        <v>220</v>
      </c>
      <c r="BF35" s="141" t="n"/>
      <c r="BG35" s="152" t="n"/>
      <c r="BH35" s="135" t="n">
        <v>220</v>
      </c>
      <c r="BI35" s="136" t="n">
        <v>0</v>
      </c>
      <c r="BJ35" s="141" t="n"/>
      <c r="BK35" s="381">
        <f>O35+S35+W35+AA35+AE35+AI35+AM35+AQ35+AU35+AY35+BC35+BG35</f>
        <v/>
      </c>
      <c r="BL35" s="381">
        <f>BK35*$I35</f>
        <v/>
      </c>
      <c r="BM35" s="41" t="n">
        <v>280</v>
      </c>
      <c r="BN35" s="35" t="n">
        <v>280</v>
      </c>
      <c r="BO35" s="32" t="n">
        <v>280</v>
      </c>
      <c r="BP35" s="31" t="n"/>
      <c r="BQ35" s="41" t="n">
        <v>280</v>
      </c>
      <c r="BR35" s="82" t="n">
        <v>280</v>
      </c>
      <c r="BS35" s="32" t="n">
        <v>0</v>
      </c>
      <c r="BT35" s="31" t="n"/>
      <c r="BU35" s="41" t="n">
        <v>280</v>
      </c>
      <c r="BV35" s="82" t="n">
        <v>0</v>
      </c>
      <c r="BW35" s="32" t="n">
        <v>0</v>
      </c>
      <c r="BX35" s="31" t="n"/>
      <c r="BY35" s="41" t="n">
        <v>300</v>
      </c>
      <c r="BZ35" s="35" t="n">
        <v>0</v>
      </c>
      <c r="CA35" s="44" t="n">
        <v>0</v>
      </c>
      <c r="CB35" s="35" t="n"/>
      <c r="CC35" s="45" t="n">
        <v>300</v>
      </c>
      <c r="CD35" s="35" t="n">
        <v>0</v>
      </c>
      <c r="CE35" s="32" t="n">
        <v>0</v>
      </c>
      <c r="CF35" s="139" t="n"/>
      <c r="CG35" s="41" t="n">
        <v>300</v>
      </c>
      <c r="CH35" s="47" t="n">
        <v>0</v>
      </c>
      <c r="CI35" s="140" t="n">
        <v>118</v>
      </c>
      <c r="CJ35" s="139" t="n"/>
      <c r="CK35" s="45" t="n">
        <v>300</v>
      </c>
      <c r="CL35" s="47" t="n">
        <v>50</v>
      </c>
      <c r="CM35" s="143" t="n">
        <v>100</v>
      </c>
      <c r="CN35" s="144" t="n"/>
      <c r="CO35" s="45" t="n">
        <v>300</v>
      </c>
      <c r="CP35" s="35" t="n">
        <v>50</v>
      </c>
      <c r="CQ35" s="143" t="n">
        <v>100</v>
      </c>
      <c r="CR35" s="144" t="n"/>
      <c r="CS35" s="45" t="n">
        <v>300</v>
      </c>
      <c r="CT35" s="35" t="n">
        <v>100</v>
      </c>
      <c r="CU35" s="44" t="n">
        <v>0</v>
      </c>
      <c r="CV35" s="144" t="n"/>
      <c r="CW35" s="45" t="n">
        <v>300</v>
      </c>
      <c r="CX35" s="35" t="n">
        <v>100</v>
      </c>
      <c r="CY35" s="143" t="n">
        <v>250</v>
      </c>
      <c r="CZ35" s="144" t="n"/>
      <c r="DA35" s="45" t="n">
        <v>300</v>
      </c>
      <c r="DB35" s="35" t="n">
        <v>100</v>
      </c>
      <c r="DC35" s="44" t="n">
        <v>0</v>
      </c>
      <c r="DD35" s="144" t="n"/>
      <c r="DE35" s="63" t="n">
        <v>300</v>
      </c>
      <c r="DF35" s="282" t="n">
        <v>50</v>
      </c>
      <c r="DG35" s="42" t="n">
        <v>0</v>
      </c>
      <c r="DH35" s="144" t="n"/>
      <c r="DI35" s="379">
        <f>BM35+BQ35+BU35+BY35+CC35+CG35+CK35+CO35+CS35+CW35+DA35+DE35</f>
        <v/>
      </c>
      <c r="DJ35" s="379">
        <f>DI35*$I35</f>
        <v/>
      </c>
      <c r="DK35" s="82" t="n">
        <v>100</v>
      </c>
      <c r="DL35" s="35" t="n">
        <v>30</v>
      </c>
      <c r="DM35" s="44" t="n">
        <v>0</v>
      </c>
      <c r="DN35" s="35" t="n"/>
      <c r="DO35" s="82" t="n">
        <v>100</v>
      </c>
      <c r="DP35" s="35" t="n">
        <v>100</v>
      </c>
      <c r="DQ35" s="44" t="n">
        <v>130</v>
      </c>
      <c r="DR35" s="35" t="n"/>
      <c r="DS35" s="82" t="n">
        <v>100</v>
      </c>
      <c r="DT35" s="281" t="n">
        <v>550</v>
      </c>
      <c r="DU35" s="44" t="n">
        <v>450</v>
      </c>
      <c r="DV35" s="35" t="n"/>
      <c r="DW35" s="82" t="n">
        <v>100</v>
      </c>
      <c r="DX35" s="35" t="n">
        <v>100</v>
      </c>
      <c r="DY35" s="44" t="n">
        <v>100</v>
      </c>
      <c r="DZ35" s="36" t="n"/>
      <c r="EA35" s="82" t="n">
        <v>100</v>
      </c>
      <c r="EB35" s="35" t="n">
        <v>200</v>
      </c>
      <c r="EC35" s="44" t="n">
        <v>0</v>
      </c>
      <c r="ED35" s="36" t="n"/>
      <c r="EE35" s="82" t="n">
        <v>100</v>
      </c>
      <c r="EF35" s="281" t="n">
        <v>70</v>
      </c>
      <c r="EG35" s="44" t="n">
        <v>0</v>
      </c>
      <c r="EH35" s="35" t="n"/>
      <c r="EI35" s="82" t="n">
        <v>100</v>
      </c>
      <c r="EJ35" s="281" t="n">
        <v>70</v>
      </c>
      <c r="EK35" s="44" t="n">
        <v>0</v>
      </c>
      <c r="EL35" s="35" t="n"/>
      <c r="EM35" s="82" t="n">
        <v>100</v>
      </c>
      <c r="EN35" s="281" t="n">
        <v>70</v>
      </c>
      <c r="EO35" s="44" t="n">
        <v>0</v>
      </c>
      <c r="EP35" s="35" t="n"/>
      <c r="EQ35" s="82" t="n">
        <v>100</v>
      </c>
      <c r="ER35" s="281" t="n">
        <v>70</v>
      </c>
      <c r="ES35" s="44" t="n">
        <v>0</v>
      </c>
      <c r="ET35" s="35" t="n"/>
      <c r="EU35" s="82" t="n">
        <v>100</v>
      </c>
      <c r="EV35" s="281" t="n">
        <v>70</v>
      </c>
      <c r="EW35" s="44" t="n">
        <v>0</v>
      </c>
      <c r="EX35" s="35" t="n"/>
      <c r="EY35" s="82" t="n">
        <v>100</v>
      </c>
      <c r="EZ35" s="281" t="n">
        <v>70</v>
      </c>
      <c r="FA35" s="288" t="n">
        <v>0</v>
      </c>
      <c r="FB35" s="35" t="n"/>
      <c r="FC35" s="82" t="n">
        <v>100</v>
      </c>
      <c r="FD35" s="281" t="n">
        <v>70</v>
      </c>
      <c r="FE35" s="380" t="n">
        <v>0</v>
      </c>
      <c r="FF35" s="35" t="n"/>
      <c r="FG35" s="379">
        <f>DK35+DO35+DS35+DW35+EA35+EE35+EI35+EM35+EQ35+EU35+EY35+FC35</f>
        <v/>
      </c>
      <c r="FH35" s="379">
        <f>FG35*$I35</f>
        <v/>
      </c>
      <c r="FI35" s="35" t="n">
        <v>100</v>
      </c>
      <c r="FJ35" s="35" t="n"/>
      <c r="FK35" s="44" t="n">
        <v>0</v>
      </c>
      <c r="FL35" s="35" t="n"/>
      <c r="FM35" s="51" t="n">
        <v>200</v>
      </c>
      <c r="FN35" s="82" t="n"/>
      <c r="FO35" s="44" t="n">
        <v>0</v>
      </c>
      <c r="FP35" s="35" t="n"/>
      <c r="FQ35" s="51" t="n">
        <v>200</v>
      </c>
      <c r="FR35" s="82" t="n"/>
      <c r="FS35" s="44" t="n">
        <v>0</v>
      </c>
      <c r="FT35" s="35" t="n"/>
      <c r="FU35" s="51" t="n">
        <v>200</v>
      </c>
      <c r="FV35" s="35" t="n"/>
      <c r="FW35" s="44" t="n">
        <v>0</v>
      </c>
      <c r="FX35" s="35" t="n"/>
      <c r="FY35" s="51" t="n">
        <v>200</v>
      </c>
      <c r="FZ35" s="35" t="n"/>
      <c r="GA35" s="44" t="n">
        <v>0</v>
      </c>
      <c r="GB35" s="144" t="n"/>
      <c r="GC35" s="51" t="n">
        <v>250</v>
      </c>
      <c r="GD35" s="47" t="n"/>
      <c r="GE35" s="143" t="n">
        <v>0</v>
      </c>
      <c r="GF35" s="144" t="n"/>
      <c r="GG35" s="51" t="n">
        <v>250</v>
      </c>
      <c r="GH35" s="47" t="n"/>
      <c r="GI35" s="143" t="n">
        <v>0</v>
      </c>
      <c r="GJ35" s="144" t="n"/>
      <c r="GK35" s="51" t="n">
        <v>250</v>
      </c>
      <c r="GL35" s="35" t="n"/>
      <c r="GM35" s="143" t="n">
        <v>0</v>
      </c>
      <c r="GN35" s="144" t="n"/>
      <c r="GO35" s="51" t="n">
        <v>250</v>
      </c>
      <c r="GP35" s="35" t="n"/>
      <c r="GQ35" s="143" t="n">
        <v>0</v>
      </c>
      <c r="GR35" s="144" t="n"/>
      <c r="GS35" s="51" t="n">
        <v>250</v>
      </c>
      <c r="GT35" s="35" t="n"/>
      <c r="GU35" s="143" t="n">
        <v>0</v>
      </c>
      <c r="GV35" s="144" t="n"/>
      <c r="GW35" s="51" t="n">
        <v>250</v>
      </c>
      <c r="GX35" s="47" t="n"/>
      <c r="GY35" s="44" t="n">
        <v>0</v>
      </c>
      <c r="GZ35" s="144" t="n"/>
      <c r="HA35" s="153" t="n">
        <v>250</v>
      </c>
      <c r="HB35" s="35" t="n"/>
      <c r="HC35" s="380" t="n">
        <v>0</v>
      </c>
      <c r="HD35" s="144" t="n"/>
      <c r="HE35" s="379">
        <f>FI35+FM35+FQ35+FU35+FY35+GC35+GG35+GK35+GO35+GS35+GW35+HA35</f>
        <v/>
      </c>
      <c r="HF35" s="379">
        <f>HE35*$I35</f>
        <v/>
      </c>
      <c r="HG35" s="51" t="n">
        <v>250</v>
      </c>
      <c r="HH35" s="35" t="n"/>
      <c r="HI35" s="44" t="n">
        <v>0</v>
      </c>
      <c r="HJ35" s="35" t="n"/>
      <c r="HK35" s="51" t="n">
        <v>280</v>
      </c>
      <c r="HL35" s="82" t="n"/>
      <c r="HM35" s="44" t="n">
        <v>0</v>
      </c>
      <c r="HN35" s="35" t="n"/>
      <c r="HO35" s="51" t="n">
        <v>280</v>
      </c>
      <c r="HP35" s="82" t="n"/>
      <c r="HQ35" s="44" t="n">
        <v>0</v>
      </c>
      <c r="HR35" s="35" t="n"/>
      <c r="HS35" s="51" t="n">
        <v>280</v>
      </c>
      <c r="HT35" s="35" t="n"/>
      <c r="HU35" s="44" t="n">
        <v>0</v>
      </c>
      <c r="HV35" s="35" t="n"/>
      <c r="HW35" s="51" t="n">
        <v>280</v>
      </c>
      <c r="HX35" s="35" t="n"/>
      <c r="HY35" s="44" t="n">
        <v>0</v>
      </c>
      <c r="HZ35" s="144" t="n"/>
      <c r="IA35" s="51" t="n">
        <v>280</v>
      </c>
      <c r="IB35" s="47" t="n"/>
      <c r="IC35" s="143" t="n">
        <v>0</v>
      </c>
      <c r="ID35" s="144" t="n"/>
      <c r="IE35" s="51" t="n">
        <v>280</v>
      </c>
      <c r="IF35" s="47" t="n"/>
      <c r="IG35" s="143" t="n">
        <v>0</v>
      </c>
      <c r="IH35" s="144" t="n"/>
      <c r="II35" s="51" t="n">
        <v>300</v>
      </c>
      <c r="IJ35" s="35" t="n"/>
      <c r="IK35" s="143" t="n">
        <v>0</v>
      </c>
      <c r="IL35" s="144" t="n"/>
      <c r="IM35" s="51" t="n">
        <v>300</v>
      </c>
      <c r="IN35" s="35" t="n"/>
      <c r="IO35" s="143" t="n">
        <v>0</v>
      </c>
      <c r="IP35" s="144" t="n"/>
      <c r="IQ35" s="51" t="n">
        <v>300</v>
      </c>
      <c r="IR35" s="35" t="n"/>
      <c r="IS35" s="143" t="n">
        <v>0</v>
      </c>
      <c r="IT35" s="144" t="n"/>
      <c r="IU35" s="45" t="n"/>
      <c r="IV35" s="47" t="n"/>
      <c r="IW35" s="44" t="n"/>
      <c r="IX35" s="144" t="n"/>
      <c r="IY35" s="51" t="n">
        <v>300</v>
      </c>
      <c r="IZ35" s="35" t="n"/>
      <c r="JA35" s="380" t="n">
        <v>0</v>
      </c>
      <c r="JB35" s="144" t="n"/>
      <c r="JC35" s="381">
        <f>HG35+HK35+HO35+HS35+HW35+IA35+IE35+II35+IM35+IQ35+IU35+IY35</f>
        <v/>
      </c>
      <c r="JD35" s="381">
        <f>JC35*$I35</f>
        <v/>
      </c>
    </row>
    <row r="36" ht="15" customHeight="1">
      <c r="A36" s="382" t="n"/>
      <c r="B36" s="382" t="n"/>
      <c r="C36" s="382" t="n"/>
      <c r="D36" s="382" t="n"/>
      <c r="E36" s="25" t="n">
        <v>12</v>
      </c>
      <c r="F36" s="25" t="n">
        <v>1</v>
      </c>
      <c r="G36" s="26" t="n">
        <v>4640060020</v>
      </c>
      <c r="H36" s="138" t="inlineStr">
        <is>
          <t>Кран уровня пола без фитингов</t>
        </is>
      </c>
      <c r="I36" s="154" t="n">
        <v>281.85</v>
      </c>
      <c r="J36" s="149" t="n">
        <v>281.85</v>
      </c>
      <c r="K36" s="149" t="n">
        <v>281.85</v>
      </c>
      <c r="L36" s="149" t="n">
        <v>281.85</v>
      </c>
      <c r="M36" s="149" t="n"/>
      <c r="N36" s="149" t="n"/>
      <c r="O36" s="30" t="n">
        <v>400</v>
      </c>
      <c r="P36" s="31" t="n">
        <v>400</v>
      </c>
      <c r="Q36" s="32" t="n">
        <v>0</v>
      </c>
      <c r="R36" s="60" t="inlineStr">
        <is>
          <t>Заменен артикул 4640061020 на 4640060020. Вместо артикула был продан артикул 4640061020 200 шт</t>
        </is>
      </c>
      <c r="S36" s="30" t="n">
        <v>400</v>
      </c>
      <c r="T36" s="31" t="n">
        <v>400</v>
      </c>
      <c r="U36" s="32" t="n">
        <v>400</v>
      </c>
      <c r="V36" s="31" t="n"/>
      <c r="W36" s="30" t="n">
        <v>450</v>
      </c>
      <c r="X36" s="31" t="n">
        <v>450</v>
      </c>
      <c r="Y36" s="55" t="n">
        <v>215</v>
      </c>
      <c r="Z36" s="31" t="n"/>
      <c r="AA36" s="30" t="n">
        <v>450</v>
      </c>
      <c r="AB36" s="134" t="n">
        <v>400</v>
      </c>
      <c r="AC36" s="32" t="n">
        <v>400</v>
      </c>
      <c r="AD36" s="31" t="n"/>
      <c r="AE36" s="30" t="n">
        <v>450</v>
      </c>
      <c r="AF36" s="31" t="n">
        <v>400</v>
      </c>
      <c r="AG36" s="55" t="n">
        <v>410</v>
      </c>
      <c r="AH36" s="31" t="n"/>
      <c r="AI36" s="30" t="n">
        <v>500</v>
      </c>
      <c r="AJ36" s="31" t="n">
        <v>400</v>
      </c>
      <c r="AK36" s="32" t="n">
        <v>410</v>
      </c>
      <c r="AL36" s="31" t="inlineStr">
        <is>
          <t xml:space="preserve">Корректировка прогноза клиентом. </t>
        </is>
      </c>
      <c r="AM36" s="30" t="n"/>
      <c r="AN36" s="31" t="n">
        <v>400</v>
      </c>
      <c r="AO36" s="32" t="n">
        <v>200</v>
      </c>
      <c r="AP36" s="31" t="n"/>
      <c r="AQ36" s="30" t="n"/>
      <c r="AR36" s="37" t="n">
        <v>300</v>
      </c>
      <c r="AS36" s="32" t="n">
        <v>200</v>
      </c>
      <c r="AT36" s="31" t="n"/>
      <c r="AU36" s="30" t="n"/>
      <c r="AV36" s="37" t="n">
        <v>300</v>
      </c>
      <c r="AW36" s="32" t="n">
        <v>0</v>
      </c>
      <c r="AX36" s="31" t="n"/>
      <c r="AY36" s="30" t="n"/>
      <c r="AZ36" s="39" t="n">
        <v>0</v>
      </c>
      <c r="BA36" s="32" t="n">
        <v>0</v>
      </c>
      <c r="BB36" s="34" t="n"/>
      <c r="BC36" s="30" t="n"/>
      <c r="BD36" s="39" t="n">
        <v>0</v>
      </c>
      <c r="BE36" s="155" t="n">
        <v>0</v>
      </c>
      <c r="BF36" s="34" t="n"/>
      <c r="BG36" s="30" t="n"/>
      <c r="BH36" s="39" t="n">
        <v>0</v>
      </c>
      <c r="BI36" s="136" t="n">
        <v>0</v>
      </c>
      <c r="BJ36" s="34" t="n"/>
      <c r="BK36" s="381">
        <f>O36+S36+W36+AA36+AE36+AI36+AM36+AQ36+AU36+AY36+BC36+BG36</f>
        <v/>
      </c>
      <c r="BL36" s="381">
        <f>BK36*$I36</f>
        <v/>
      </c>
      <c r="BM36" s="41" t="n">
        <v>0</v>
      </c>
      <c r="BN36" s="47" t="n">
        <v>0</v>
      </c>
      <c r="BO36" s="32" t="n">
        <v>0</v>
      </c>
      <c r="BP36" s="60" t="n"/>
      <c r="BQ36" s="41" t="n">
        <v>0</v>
      </c>
      <c r="BR36" s="52" t="n">
        <v>0</v>
      </c>
      <c r="BS36" s="32" t="n">
        <v>0</v>
      </c>
      <c r="BT36" s="31" t="n"/>
      <c r="BU36" s="41" t="n">
        <v>0</v>
      </c>
      <c r="BV36" s="52" t="n">
        <v>0</v>
      </c>
      <c r="BW36" s="55" t="n"/>
      <c r="BX36" s="31" t="n"/>
      <c r="BY36" s="41" t="n">
        <v>0</v>
      </c>
      <c r="BZ36" s="35" t="n">
        <v>0</v>
      </c>
      <c r="CA36" s="44" t="n">
        <v>0</v>
      </c>
      <c r="CB36" s="35" t="n"/>
      <c r="CC36" s="45" t="n">
        <v>0</v>
      </c>
      <c r="CD36" s="35" t="n">
        <v>0</v>
      </c>
      <c r="CE36" s="32" t="n">
        <v>0</v>
      </c>
      <c r="CF36" s="31" t="n"/>
      <c r="CG36" s="41" t="n">
        <v>0</v>
      </c>
      <c r="CH36" s="47" t="n">
        <v>0</v>
      </c>
      <c r="CI36" s="32" t="n">
        <v>0</v>
      </c>
      <c r="CJ36" s="31" t="n"/>
      <c r="CK36" s="45" t="n">
        <v>0</v>
      </c>
      <c r="CL36" s="47" t="n">
        <v>0</v>
      </c>
      <c r="CM36" s="44" t="n">
        <v>0</v>
      </c>
      <c r="CN36" s="35" t="n"/>
      <c r="CO36" s="45" t="n">
        <v>0</v>
      </c>
      <c r="CP36" s="35" t="n">
        <v>0</v>
      </c>
      <c r="CQ36" s="44" t="n"/>
      <c r="CR36" s="35" t="n"/>
      <c r="CS36" s="45" t="n">
        <v>0</v>
      </c>
      <c r="CT36" s="35" t="n">
        <v>0</v>
      </c>
      <c r="CU36" s="44" t="n">
        <v>0</v>
      </c>
      <c r="CV36" s="35" t="n"/>
      <c r="CW36" s="45" t="n">
        <v>0</v>
      </c>
      <c r="CX36" s="35" t="n">
        <v>0</v>
      </c>
      <c r="CY36" s="44" t="n"/>
      <c r="CZ36" s="35" t="n"/>
      <c r="DA36" s="45" t="n">
        <v>0</v>
      </c>
      <c r="DB36" s="35" t="n">
        <v>0</v>
      </c>
      <c r="DC36" s="155" t="n">
        <v>0</v>
      </c>
      <c r="DD36" s="35" t="n"/>
      <c r="DE36" s="45" t="n">
        <v>0</v>
      </c>
      <c r="DF36" s="282" t="n">
        <v>0</v>
      </c>
      <c r="DG36" s="42" t="n">
        <v>0</v>
      </c>
      <c r="DH36" s="35" t="n"/>
      <c r="DI36" s="379">
        <f>BM36+BQ36+BU36+BY36+CC36+CG36+CK36+CO36+CS36+CW36+DA36+DE36</f>
        <v/>
      </c>
      <c r="DJ36" s="379">
        <f>DI36*$I36</f>
        <v/>
      </c>
      <c r="DK36" s="82" t="n">
        <v>0</v>
      </c>
      <c r="DL36" s="35" t="n">
        <v>0</v>
      </c>
      <c r="DM36" s="44" t="n">
        <v>0</v>
      </c>
      <c r="DN36" s="35" t="n"/>
      <c r="DO36" s="82" t="n">
        <v>0</v>
      </c>
      <c r="DP36" s="35" t="n">
        <v>0</v>
      </c>
      <c r="DQ36" s="44" t="n"/>
      <c r="DR36" s="35" t="n"/>
      <c r="DS36" s="82" t="n">
        <v>0</v>
      </c>
      <c r="DT36" s="281" t="n">
        <v>300</v>
      </c>
      <c r="DU36" s="44" t="n">
        <v>200</v>
      </c>
      <c r="DV36" s="35" t="n"/>
      <c r="DW36" s="82" t="n">
        <v>0</v>
      </c>
      <c r="DX36" s="35" t="n">
        <v>100</v>
      </c>
      <c r="DY36" s="44" t="n">
        <v>100</v>
      </c>
      <c r="DZ36" s="36" t="n"/>
      <c r="EA36" s="82" t="n">
        <v>0</v>
      </c>
      <c r="EB36" s="35" t="n">
        <v>200</v>
      </c>
      <c r="EC36" s="44" t="n">
        <v>0</v>
      </c>
      <c r="ED36" s="36" t="n"/>
      <c r="EE36" s="82" t="n">
        <v>0</v>
      </c>
      <c r="EF36" s="281" t="n">
        <v>70</v>
      </c>
      <c r="EG36" s="44" t="n">
        <v>0</v>
      </c>
      <c r="EH36" s="35" t="n"/>
      <c r="EI36" s="82" t="n">
        <v>70</v>
      </c>
      <c r="EJ36" s="281" t="n">
        <v>70</v>
      </c>
      <c r="EK36" s="44" t="n">
        <v>0</v>
      </c>
      <c r="EL36" s="35" t="n"/>
      <c r="EM36" s="82" t="n">
        <v>0</v>
      </c>
      <c r="EN36" s="281" t="n">
        <v>0</v>
      </c>
      <c r="EO36" s="44" t="n"/>
      <c r="EP36" s="35" t="n"/>
      <c r="EQ36" s="82" t="n">
        <v>0</v>
      </c>
      <c r="ER36" s="281" t="n">
        <v>0</v>
      </c>
      <c r="ES36" s="44" t="n"/>
      <c r="ET36" s="35" t="n"/>
      <c r="EU36" s="82" t="n">
        <v>0</v>
      </c>
      <c r="EV36" s="281" t="n">
        <v>0</v>
      </c>
      <c r="EW36" s="44" t="n"/>
      <c r="EX36" s="35" t="n"/>
      <c r="EY36" s="82" t="n">
        <v>0</v>
      </c>
      <c r="EZ36" s="281" t="n">
        <v>0</v>
      </c>
      <c r="FA36" s="288" t="n"/>
      <c r="FB36" s="35" t="n"/>
      <c r="FC36" s="82" t="n">
        <v>0</v>
      </c>
      <c r="FD36" s="281" t="n">
        <v>0</v>
      </c>
      <c r="FE36" s="380" t="n"/>
      <c r="FF36" s="35" t="n"/>
      <c r="FG36" s="379">
        <f>DK36+DO36+DS36+DW36+EA36+EE36+EI36+EM36+EQ36+EU36+EY36+FC36</f>
        <v/>
      </c>
      <c r="FH36" s="379">
        <f>FG36*$I36</f>
        <v/>
      </c>
      <c r="FI36" s="35" t="n">
        <v>0</v>
      </c>
      <c r="FJ36" s="47" t="n"/>
      <c r="FK36" s="44" t="n"/>
      <c r="FL36" s="61" t="n"/>
      <c r="FM36" s="51" t="n">
        <v>0</v>
      </c>
      <c r="FN36" s="52" t="n"/>
      <c r="FO36" s="44" t="n"/>
      <c r="FP36" s="35" t="n"/>
      <c r="FQ36" s="51" t="n">
        <v>0</v>
      </c>
      <c r="FR36" s="52" t="n"/>
      <c r="FS36" s="56" t="n"/>
      <c r="FT36" s="35" t="n"/>
      <c r="FU36" s="51" t="n">
        <v>0</v>
      </c>
      <c r="FV36" s="35" t="n"/>
      <c r="FW36" s="44" t="n"/>
      <c r="FX36" s="35" t="n"/>
      <c r="FY36" s="51" t="n">
        <v>0</v>
      </c>
      <c r="FZ36" s="35" t="n"/>
      <c r="GA36" s="56" t="n"/>
      <c r="GB36" s="35" t="n"/>
      <c r="GC36" s="51" t="n">
        <v>0</v>
      </c>
      <c r="GD36" s="47" t="n"/>
      <c r="GE36" s="44" t="n"/>
      <c r="GF36" s="35" t="n"/>
      <c r="GG36" s="51" t="n">
        <v>0</v>
      </c>
      <c r="GH36" s="47" t="n"/>
      <c r="GI36" s="44" t="n"/>
      <c r="GJ36" s="35" t="n"/>
      <c r="GK36" s="51" t="n">
        <v>0</v>
      </c>
      <c r="GL36" s="35" t="n"/>
      <c r="GM36" s="44" t="n"/>
      <c r="GN36" s="35" t="n"/>
      <c r="GO36" s="51" t="n">
        <v>0</v>
      </c>
      <c r="GP36" s="35" t="n"/>
      <c r="GQ36" s="44" t="n"/>
      <c r="GR36" s="35" t="n"/>
      <c r="GS36" s="51" t="n">
        <v>0</v>
      </c>
      <c r="GT36" s="35" t="n"/>
      <c r="GU36" s="44" t="n"/>
      <c r="GV36" s="35" t="n"/>
      <c r="GW36" s="51" t="n">
        <v>0</v>
      </c>
      <c r="GX36" s="47" t="n"/>
      <c r="GY36" s="155" t="n"/>
      <c r="GZ36" s="35" t="n"/>
      <c r="HA36" s="51" t="n">
        <v>0</v>
      </c>
      <c r="HB36" s="35" t="n"/>
      <c r="HC36" s="380" t="n"/>
      <c r="HD36" s="35" t="n"/>
      <c r="HE36" s="379">
        <f>FI36+FM36+FQ36+FU36+FY36+GC36+GG36+GK36+GO36+GS36+GW36+HA36</f>
        <v/>
      </c>
      <c r="HF36" s="379">
        <f>HE36*$I36</f>
        <v/>
      </c>
      <c r="HG36" s="51" t="n">
        <v>0</v>
      </c>
      <c r="HH36" s="47" t="n"/>
      <c r="HI36" s="44" t="n"/>
      <c r="HJ36" s="61" t="n"/>
      <c r="HK36" s="51" t="n">
        <v>0</v>
      </c>
      <c r="HL36" s="52" t="n"/>
      <c r="HM36" s="44" t="n"/>
      <c r="HN36" s="35" t="n"/>
      <c r="HO36" s="51" t="n">
        <v>0</v>
      </c>
      <c r="HP36" s="52" t="n"/>
      <c r="HQ36" s="56" t="n"/>
      <c r="HR36" s="35" t="n"/>
      <c r="HS36" s="51" t="n">
        <v>0</v>
      </c>
      <c r="HT36" s="35" t="n"/>
      <c r="HU36" s="44" t="n"/>
      <c r="HV36" s="35" t="n"/>
      <c r="HW36" s="51" t="n">
        <v>0</v>
      </c>
      <c r="HX36" s="35" t="n"/>
      <c r="HY36" s="56" t="n"/>
      <c r="HZ36" s="35" t="n"/>
      <c r="IA36" s="51" t="n">
        <v>0</v>
      </c>
      <c r="IB36" s="47" t="n"/>
      <c r="IC36" s="44" t="n"/>
      <c r="ID36" s="35" t="n"/>
      <c r="IE36" s="51" t="n">
        <v>0</v>
      </c>
      <c r="IF36" s="47" t="n"/>
      <c r="IG36" s="44" t="n"/>
      <c r="IH36" s="35" t="n"/>
      <c r="II36" s="51" t="n">
        <v>0</v>
      </c>
      <c r="IJ36" s="35" t="n"/>
      <c r="IK36" s="44" t="n"/>
      <c r="IL36" s="35" t="n"/>
      <c r="IM36" s="51" t="n">
        <v>0</v>
      </c>
      <c r="IN36" s="35" t="n"/>
      <c r="IO36" s="44" t="n"/>
      <c r="IP36" s="35" t="n"/>
      <c r="IQ36" s="51" t="n">
        <v>0</v>
      </c>
      <c r="IR36" s="35" t="n"/>
      <c r="IS36" s="44" t="n"/>
      <c r="IT36" s="35" t="n"/>
      <c r="IU36" s="45" t="n"/>
      <c r="IV36" s="47" t="n"/>
      <c r="IW36" s="155" t="n"/>
      <c r="IX36" s="35" t="n"/>
      <c r="IY36" s="51" t="n">
        <v>0</v>
      </c>
      <c r="IZ36" s="35" t="n"/>
      <c r="JA36" s="380" t="n"/>
      <c r="JB36" s="35" t="n"/>
      <c r="JC36" s="381">
        <f>HG36+HK36+HO36+HS36+HW36+IA36+IE36+II36+IM36+IQ36+IU36+IY36</f>
        <v/>
      </c>
      <c r="JD36" s="381">
        <f>JC36*$I36</f>
        <v/>
      </c>
    </row>
    <row r="37" ht="15" customFormat="1" customHeight="1" s="64">
      <c r="A37" s="382" t="n"/>
      <c r="B37" s="382" t="n"/>
      <c r="C37" s="382" t="n"/>
      <c r="D37" s="382" t="n"/>
      <c r="E37" s="156" t="n">
        <v>13</v>
      </c>
      <c r="F37" s="25" t="n">
        <v>1</v>
      </c>
      <c r="G37" s="97" t="n">
        <v>4640061000</v>
      </c>
      <c r="H37" s="157" t="inlineStr">
        <is>
          <t>Кран уровня пола без фитингов</t>
        </is>
      </c>
      <c r="I37" s="154" t="n">
        <v>281.85</v>
      </c>
      <c r="J37" s="149" t="n">
        <v>281.85</v>
      </c>
      <c r="K37" s="301" t="n">
        <v>255.74</v>
      </c>
      <c r="L37" s="301" t="n">
        <v>255.74</v>
      </c>
      <c r="M37" s="149" t="n"/>
      <c r="N37" s="149" t="n"/>
      <c r="O37" s="30" t="n"/>
      <c r="P37" s="31" t="n"/>
      <c r="Q37" s="32" t="n"/>
      <c r="R37" s="158" t="n"/>
      <c r="S37" s="134" t="n"/>
      <c r="T37" s="134" t="n"/>
      <c r="U37" s="134" t="n"/>
      <c r="V37" s="134" t="n"/>
      <c r="W37" s="134" t="n"/>
      <c r="X37" s="134" t="n"/>
      <c r="Y37" s="159" t="n"/>
      <c r="Z37" s="134" t="n"/>
      <c r="AA37" s="134" t="n"/>
      <c r="AB37" s="134" t="n"/>
      <c r="AC37" s="134" t="n"/>
      <c r="AD37" s="134" t="n"/>
      <c r="AE37" s="134" t="n"/>
      <c r="AF37" s="134" t="n"/>
      <c r="AG37" s="159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52" t="n"/>
      <c r="AR37" s="31" t="n"/>
      <c r="AS37" s="32" t="n"/>
      <c r="AT37" s="31" t="n"/>
      <c r="AU37" s="30" t="n"/>
      <c r="AV37" s="37" t="n"/>
      <c r="AW37" s="32" t="n"/>
      <c r="AX37" s="31" t="n"/>
      <c r="AY37" s="30" t="n"/>
      <c r="AZ37" s="39" t="n">
        <v>220</v>
      </c>
      <c r="BA37" s="32" t="n">
        <v>220</v>
      </c>
      <c r="BB37" s="34" t="n"/>
      <c r="BC37" s="30" t="n"/>
      <c r="BD37" s="39" t="n">
        <v>220</v>
      </c>
      <c r="BE37" s="155" t="n">
        <v>220</v>
      </c>
      <c r="BF37" s="34" t="n"/>
      <c r="BG37" s="30" t="n"/>
      <c r="BH37" s="39" t="n">
        <v>220</v>
      </c>
      <c r="BI37" s="136" t="n">
        <v>0</v>
      </c>
      <c r="BJ37" s="34" t="n"/>
      <c r="BK37" s="381">
        <f>O37+S37+W37+AA37+AE37+AI37+AM37+AQ37+AU37+AY37+BC37+BG37</f>
        <v/>
      </c>
      <c r="BL37" s="381">
        <f>BK37*$I37</f>
        <v/>
      </c>
      <c r="BM37" s="41" t="n">
        <v>280</v>
      </c>
      <c r="BN37" s="47" t="n">
        <v>280</v>
      </c>
      <c r="BO37" s="32" t="n">
        <v>280</v>
      </c>
      <c r="BP37" s="60" t="n"/>
      <c r="BQ37" s="41" t="n">
        <v>280</v>
      </c>
      <c r="BR37" s="52" t="n">
        <v>280</v>
      </c>
      <c r="BS37" s="32" t="n">
        <v>0</v>
      </c>
      <c r="BT37" s="31" t="n"/>
      <c r="BU37" s="41" t="n">
        <v>280</v>
      </c>
      <c r="BV37" s="52" t="n">
        <v>0</v>
      </c>
      <c r="BW37" s="55" t="n">
        <v>0</v>
      </c>
      <c r="BX37" s="31" t="n"/>
      <c r="BY37" s="41" t="n">
        <v>300</v>
      </c>
      <c r="BZ37" s="35" t="n">
        <v>0</v>
      </c>
      <c r="CA37" s="44" t="n">
        <v>0</v>
      </c>
      <c r="CB37" s="35" t="n"/>
      <c r="CC37" s="45" t="n">
        <v>300</v>
      </c>
      <c r="CD37" s="35" t="n">
        <v>0</v>
      </c>
      <c r="CE37" s="32" t="n">
        <v>0</v>
      </c>
      <c r="CF37" s="31" t="n"/>
      <c r="CG37" s="41" t="n">
        <v>300</v>
      </c>
      <c r="CH37" s="47" t="n">
        <v>0</v>
      </c>
      <c r="CI37" s="32" t="n">
        <v>118</v>
      </c>
      <c r="CJ37" s="31" t="n"/>
      <c r="CK37" s="45" t="n">
        <v>300</v>
      </c>
      <c r="CL37" s="47" t="n">
        <v>50</v>
      </c>
      <c r="CM37" s="44" t="n">
        <v>100</v>
      </c>
      <c r="CN37" s="35" t="n"/>
      <c r="CO37" s="45" t="n">
        <v>300</v>
      </c>
      <c r="CP37" s="35" t="n">
        <v>50</v>
      </c>
      <c r="CQ37" s="44" t="n">
        <v>100</v>
      </c>
      <c r="CR37" s="35" t="n"/>
      <c r="CS37" s="45" t="n">
        <v>300</v>
      </c>
      <c r="CT37" s="35" t="n">
        <v>100</v>
      </c>
      <c r="CU37" s="44" t="n">
        <v>0</v>
      </c>
      <c r="CV37" s="35" t="n"/>
      <c r="CW37" s="45" t="n">
        <v>300</v>
      </c>
      <c r="CX37" s="35" t="n">
        <v>100</v>
      </c>
      <c r="CY37" s="44" t="n">
        <v>250</v>
      </c>
      <c r="CZ37" s="35" t="n"/>
      <c r="DA37" s="45" t="n">
        <v>300</v>
      </c>
      <c r="DB37" s="35" t="n">
        <v>100</v>
      </c>
      <c r="DC37" s="155" t="n">
        <v>0</v>
      </c>
      <c r="DD37" s="35" t="n"/>
      <c r="DE37" s="45" t="n">
        <v>300</v>
      </c>
      <c r="DF37" s="282" t="n">
        <v>50</v>
      </c>
      <c r="DG37" s="42" t="n">
        <v>0</v>
      </c>
      <c r="DH37" s="35" t="n"/>
      <c r="DI37" s="379">
        <f>BM37+BQ37+BU37+BY37+CC37+CG37+CK37+CO37+CS37+CW37+DA37+DE37</f>
        <v/>
      </c>
      <c r="DJ37" s="379">
        <f>DI37*$I37</f>
        <v/>
      </c>
      <c r="DK37" s="82" t="n">
        <v>100</v>
      </c>
      <c r="DL37" s="35" t="n">
        <v>30</v>
      </c>
      <c r="DM37" s="44" t="n">
        <v>0</v>
      </c>
      <c r="DN37" s="35" t="n"/>
      <c r="DO37" s="82" t="n">
        <v>100</v>
      </c>
      <c r="DP37" s="35" t="n">
        <v>100</v>
      </c>
      <c r="DQ37" s="44" t="n">
        <v>130</v>
      </c>
      <c r="DR37" s="35" t="n"/>
      <c r="DS37" s="82" t="n">
        <v>100</v>
      </c>
      <c r="DT37" s="281" t="n">
        <v>250</v>
      </c>
      <c r="DU37" s="44" t="n">
        <v>250</v>
      </c>
      <c r="DV37" s="35" t="n"/>
      <c r="DW37" s="82" t="n">
        <v>100</v>
      </c>
      <c r="DX37" s="35" t="n">
        <v>0</v>
      </c>
      <c r="DY37" s="44" t="n">
        <v>0</v>
      </c>
      <c r="DZ37" s="36" t="n"/>
      <c r="EA37" s="82" t="n">
        <v>100</v>
      </c>
      <c r="EB37" s="35" t="n">
        <v>0</v>
      </c>
      <c r="EC37" s="44" t="n">
        <v>0</v>
      </c>
      <c r="ED37" s="36" t="n"/>
      <c r="EE37" s="82" t="n">
        <v>100</v>
      </c>
      <c r="EF37" s="281" t="n">
        <v>0</v>
      </c>
      <c r="EG37" s="44" t="n">
        <v>0</v>
      </c>
      <c r="EH37" s="35" t="n"/>
      <c r="EI37" s="82" t="n">
        <v>0</v>
      </c>
      <c r="EJ37" s="281" t="n">
        <v>0</v>
      </c>
      <c r="EK37" s="44" t="n"/>
      <c r="EL37" s="35" t="n"/>
      <c r="EM37" s="82" t="n">
        <v>100</v>
      </c>
      <c r="EN37" s="281" t="n">
        <v>70</v>
      </c>
      <c r="EO37" s="44" t="n">
        <v>0</v>
      </c>
      <c r="EP37" s="35" t="n"/>
      <c r="EQ37" s="82" t="n">
        <v>100</v>
      </c>
      <c r="ER37" s="281" t="n">
        <v>70</v>
      </c>
      <c r="ES37" s="44" t="n">
        <v>0</v>
      </c>
      <c r="ET37" s="35" t="n"/>
      <c r="EU37" s="82" t="n">
        <v>100</v>
      </c>
      <c r="EV37" s="281" t="n">
        <v>70</v>
      </c>
      <c r="EW37" s="44" t="n">
        <v>0</v>
      </c>
      <c r="EX37" s="35" t="n"/>
      <c r="EY37" s="82" t="n">
        <v>100</v>
      </c>
      <c r="EZ37" s="281" t="n">
        <v>70</v>
      </c>
      <c r="FA37" s="288" t="n">
        <v>0</v>
      </c>
      <c r="FB37" s="35" t="n"/>
      <c r="FC37" s="82" t="n">
        <v>100</v>
      </c>
      <c r="FD37" s="281" t="n">
        <v>70</v>
      </c>
      <c r="FE37" s="380" t="n">
        <v>0</v>
      </c>
      <c r="FF37" s="35" t="n"/>
      <c r="FG37" s="379">
        <f>DK37+DO37+DS37+DW37+EA37+EE37+EI37+EM37+EQ37+EU37+EY37+FC37</f>
        <v/>
      </c>
      <c r="FH37" s="379">
        <f>FG37*$I37</f>
        <v/>
      </c>
      <c r="FI37" s="35" t="n">
        <v>100</v>
      </c>
      <c r="FJ37" s="47" t="n"/>
      <c r="FK37" s="44" t="n">
        <v>0</v>
      </c>
      <c r="FL37" s="61" t="n"/>
      <c r="FM37" s="51" t="n">
        <v>200</v>
      </c>
      <c r="FN37" s="52" t="n"/>
      <c r="FO37" s="44" t="n">
        <v>0</v>
      </c>
      <c r="FP37" s="35" t="n"/>
      <c r="FQ37" s="51" t="n">
        <v>200</v>
      </c>
      <c r="FR37" s="52" t="n"/>
      <c r="FS37" s="56" t="n">
        <v>0</v>
      </c>
      <c r="FT37" s="35" t="n"/>
      <c r="FU37" s="51" t="n">
        <v>200</v>
      </c>
      <c r="FV37" s="35" t="n"/>
      <c r="FW37" s="44" t="n">
        <v>0</v>
      </c>
      <c r="FX37" s="35" t="n"/>
      <c r="FY37" s="51" t="n">
        <v>200</v>
      </c>
      <c r="FZ37" s="35" t="n"/>
      <c r="GA37" s="56" t="n">
        <v>0</v>
      </c>
      <c r="GB37" s="35" t="n"/>
      <c r="GC37" s="51" t="n">
        <v>250</v>
      </c>
      <c r="GD37" s="47" t="n"/>
      <c r="GE37" s="44" t="n">
        <v>0</v>
      </c>
      <c r="GF37" s="35" t="n"/>
      <c r="GG37" s="51" t="n">
        <v>250</v>
      </c>
      <c r="GH37" s="47" t="n"/>
      <c r="GI37" s="44" t="n">
        <v>0</v>
      </c>
      <c r="GJ37" s="35" t="n"/>
      <c r="GK37" s="51" t="n">
        <v>250</v>
      </c>
      <c r="GL37" s="35" t="n"/>
      <c r="GM37" s="44" t="n">
        <v>0</v>
      </c>
      <c r="GN37" s="35" t="n"/>
      <c r="GO37" s="51" t="n">
        <v>250</v>
      </c>
      <c r="GP37" s="35" t="n"/>
      <c r="GQ37" s="44" t="n">
        <v>0</v>
      </c>
      <c r="GR37" s="35" t="n"/>
      <c r="GS37" s="51" t="n">
        <v>250</v>
      </c>
      <c r="GT37" s="35" t="n"/>
      <c r="GU37" s="44" t="n">
        <v>0</v>
      </c>
      <c r="GV37" s="35" t="n"/>
      <c r="GW37" s="51" t="n">
        <v>250</v>
      </c>
      <c r="GX37" s="47" t="n"/>
      <c r="GY37" s="155" t="n">
        <v>0</v>
      </c>
      <c r="GZ37" s="35" t="n"/>
      <c r="HA37" s="51" t="n">
        <v>250</v>
      </c>
      <c r="HB37" s="35" t="n"/>
      <c r="HC37" s="380" t="n">
        <v>0</v>
      </c>
      <c r="HD37" s="35" t="n"/>
      <c r="HE37" s="379">
        <f>FI37+FM37+FQ37+FU37+FY37+GC37+GG37+GK37+GO37+GS37+GW37+HA37</f>
        <v/>
      </c>
      <c r="HF37" s="379">
        <f>HE37*$I37</f>
        <v/>
      </c>
      <c r="HG37" s="51" t="n">
        <v>250</v>
      </c>
      <c r="HH37" s="47" t="n"/>
      <c r="HI37" s="44" t="n">
        <v>0</v>
      </c>
      <c r="HJ37" s="61" t="n"/>
      <c r="HK37" s="51" t="n">
        <v>280</v>
      </c>
      <c r="HL37" s="52" t="n"/>
      <c r="HM37" s="44" t="n">
        <v>0</v>
      </c>
      <c r="HN37" s="35" t="n"/>
      <c r="HO37" s="51" t="n">
        <v>280</v>
      </c>
      <c r="HP37" s="52" t="n"/>
      <c r="HQ37" s="56" t="n">
        <v>0</v>
      </c>
      <c r="HR37" s="35" t="n"/>
      <c r="HS37" s="51" t="n">
        <v>280</v>
      </c>
      <c r="HT37" s="35" t="n"/>
      <c r="HU37" s="44" t="n">
        <v>0</v>
      </c>
      <c r="HV37" s="35" t="n"/>
      <c r="HW37" s="51" t="n">
        <v>280</v>
      </c>
      <c r="HX37" s="35" t="n"/>
      <c r="HY37" s="56" t="n">
        <v>0</v>
      </c>
      <c r="HZ37" s="35" t="n"/>
      <c r="IA37" s="51" t="n">
        <v>280</v>
      </c>
      <c r="IB37" s="47" t="n"/>
      <c r="IC37" s="44" t="n">
        <v>0</v>
      </c>
      <c r="ID37" s="35" t="n"/>
      <c r="IE37" s="51" t="n">
        <v>280</v>
      </c>
      <c r="IF37" s="47" t="n"/>
      <c r="IG37" s="44" t="n">
        <v>0</v>
      </c>
      <c r="IH37" s="35" t="n"/>
      <c r="II37" s="51" t="n">
        <v>300</v>
      </c>
      <c r="IJ37" s="35" t="n"/>
      <c r="IK37" s="44" t="n">
        <v>0</v>
      </c>
      <c r="IL37" s="35" t="n"/>
      <c r="IM37" s="51" t="n">
        <v>300</v>
      </c>
      <c r="IN37" s="35" t="n"/>
      <c r="IO37" s="44" t="n">
        <v>0</v>
      </c>
      <c r="IP37" s="35" t="n"/>
      <c r="IQ37" s="51" t="n">
        <v>300</v>
      </c>
      <c r="IR37" s="35" t="n"/>
      <c r="IS37" s="44" t="n">
        <v>0</v>
      </c>
      <c r="IT37" s="35" t="n"/>
      <c r="IU37" s="45" t="n"/>
      <c r="IV37" s="47" t="n"/>
      <c r="IW37" s="155" t="n"/>
      <c r="IX37" s="35" t="n"/>
      <c r="IY37" s="51" t="n">
        <v>300</v>
      </c>
      <c r="IZ37" s="35" t="n"/>
      <c r="JA37" s="380" t="n">
        <v>0</v>
      </c>
      <c r="JB37" s="35" t="n"/>
      <c r="JC37" s="381">
        <f>HG37+HK37+HO37+HS37+HW37+IA37+IE37+II37+IM37+IQ37+IU37+IY37</f>
        <v/>
      </c>
      <c r="JD37" s="381">
        <f>JC37*$I37</f>
        <v/>
      </c>
    </row>
    <row r="38" ht="15" customHeight="1">
      <c r="A38" s="382" t="n"/>
      <c r="B38" s="382" t="n"/>
      <c r="C38" s="382" t="n"/>
      <c r="D38" s="382" t="n"/>
      <c r="E38" s="25" t="n">
        <v>14</v>
      </c>
      <c r="F38" s="25" t="n">
        <v>1</v>
      </c>
      <c r="G38" s="26" t="n">
        <v>4630840310</v>
      </c>
      <c r="H38" s="138" t="inlineStr">
        <is>
          <t>Клапан подъема оси</t>
        </is>
      </c>
      <c r="I38" s="28" t="n">
        <v>417.5</v>
      </c>
      <c r="J38" s="29" t="n">
        <v>417.5</v>
      </c>
      <c r="K38" s="295" t="n">
        <v>397.84</v>
      </c>
      <c r="L38" s="295" t="n">
        <v>397.84</v>
      </c>
      <c r="M38" s="29" t="n"/>
      <c r="N38" s="29" t="n"/>
      <c r="O38" s="30" t="n">
        <v>200</v>
      </c>
      <c r="P38" s="31" t="n">
        <v>200</v>
      </c>
      <c r="Q38" s="32" t="n">
        <v>100</v>
      </c>
      <c r="R38" s="31" t="n"/>
      <c r="S38" s="30" t="n">
        <v>200</v>
      </c>
      <c r="T38" s="31" t="n">
        <v>150</v>
      </c>
      <c r="U38" s="32" t="n">
        <v>150</v>
      </c>
      <c r="V38" s="60" t="inlineStr">
        <is>
          <t xml:space="preserve">Корректировка прогноза клиентом. </t>
        </is>
      </c>
      <c r="W38" s="30" t="n">
        <v>225</v>
      </c>
      <c r="X38" s="31" t="n">
        <v>200</v>
      </c>
      <c r="Y38" s="32" t="n">
        <v>0</v>
      </c>
      <c r="Z38" s="31" t="inlineStr">
        <is>
          <t xml:space="preserve">Корректировка прогноза клиентом. </t>
        </is>
      </c>
      <c r="AA38" s="30" t="n">
        <v>225</v>
      </c>
      <c r="AB38" s="134" t="n">
        <v>0</v>
      </c>
      <c r="AC38" s="32" t="n">
        <v>0</v>
      </c>
      <c r="AD38" s="31" t="n"/>
      <c r="AE38" s="30" t="n">
        <v>225</v>
      </c>
      <c r="AF38" s="31" t="n">
        <v>0</v>
      </c>
      <c r="AG38" s="32" t="n">
        <v>0</v>
      </c>
      <c r="AH38" s="31" t="n"/>
      <c r="AI38" s="30" t="n">
        <v>250</v>
      </c>
      <c r="AJ38" s="31" t="n">
        <v>50</v>
      </c>
      <c r="AK38" s="32" t="n">
        <v>200</v>
      </c>
      <c r="AL38" s="31" t="inlineStr">
        <is>
          <t xml:space="preserve">Корректировка прогноза клиентом. </t>
        </is>
      </c>
      <c r="AM38" s="30" t="n"/>
      <c r="AN38" s="31" t="n">
        <v>50</v>
      </c>
      <c r="AO38" s="32" t="n">
        <v>300</v>
      </c>
      <c r="AP38" s="31" t="n"/>
      <c r="AQ38" s="30" t="n"/>
      <c r="AR38" s="37" t="n">
        <v>100</v>
      </c>
      <c r="AS38" s="32" t="n">
        <v>270</v>
      </c>
      <c r="AT38" s="31" t="n"/>
      <c r="AU38" s="30" t="n"/>
      <c r="AV38" s="37" t="n">
        <v>100</v>
      </c>
      <c r="AW38" s="32" t="n">
        <v>0</v>
      </c>
      <c r="AX38" s="31" t="n"/>
      <c r="AY38" s="30" t="n"/>
      <c r="AZ38" s="135" t="n">
        <v>0</v>
      </c>
      <c r="BA38" s="32" t="n">
        <v>0</v>
      </c>
      <c r="BB38" s="34" t="n"/>
      <c r="BC38" s="30" t="n"/>
      <c r="BD38" s="135" t="n">
        <v>0</v>
      </c>
      <c r="BE38" s="155" t="n">
        <v>0</v>
      </c>
      <c r="BF38" s="34" t="n"/>
      <c r="BG38" s="30" t="n"/>
      <c r="BH38" s="135" t="n">
        <v>40</v>
      </c>
      <c r="BI38" s="136" t="n">
        <v>0</v>
      </c>
      <c r="BJ38" s="34" t="n"/>
      <c r="BK38" s="381">
        <f>O38+S38+W38+AA38+AE38+AI38+AM38+AQ38+AU38+AY38+BC38+BG38</f>
        <v/>
      </c>
      <c r="BL38" s="381">
        <f>BK38*$I38</f>
        <v/>
      </c>
      <c r="BM38" s="41" t="n">
        <v>80</v>
      </c>
      <c r="BN38" s="35" t="n">
        <v>280</v>
      </c>
      <c r="BO38" s="32" t="n">
        <v>280</v>
      </c>
      <c r="BP38" s="31" t="n"/>
      <c r="BQ38" s="41" t="n">
        <v>80</v>
      </c>
      <c r="BR38" s="82" t="n">
        <v>280</v>
      </c>
      <c r="BS38" s="32" t="n">
        <v>0</v>
      </c>
      <c r="BT38" s="61" t="n"/>
      <c r="BU38" s="45" t="n">
        <v>80</v>
      </c>
      <c r="BV38" s="82" t="n">
        <v>0</v>
      </c>
      <c r="BW38" s="32" t="n">
        <v>0</v>
      </c>
      <c r="BX38" s="31" t="n"/>
      <c r="BY38" s="41" t="n">
        <v>80</v>
      </c>
      <c r="BZ38" s="35" t="n">
        <v>0</v>
      </c>
      <c r="CA38" s="44" t="n">
        <v>0</v>
      </c>
      <c r="CB38" s="35" t="n"/>
      <c r="CC38" s="45" t="n">
        <v>80</v>
      </c>
      <c r="CD38" s="35" t="n">
        <v>0</v>
      </c>
      <c r="CE38" s="32" t="n">
        <v>0</v>
      </c>
      <c r="CF38" s="31" t="n"/>
      <c r="CG38" s="41" t="n">
        <v>80</v>
      </c>
      <c r="CH38" s="47" t="n">
        <v>0</v>
      </c>
      <c r="CI38" s="32" t="n">
        <v>170</v>
      </c>
      <c r="CJ38" s="31" t="n"/>
      <c r="CK38" s="45" t="n">
        <v>80</v>
      </c>
      <c r="CL38" s="47" t="n">
        <v>14</v>
      </c>
      <c r="CM38" s="44" t="n">
        <v>0</v>
      </c>
      <c r="CN38" s="35" t="n"/>
      <c r="CO38" s="45" t="n">
        <v>80</v>
      </c>
      <c r="CP38" s="35" t="n">
        <v>14</v>
      </c>
      <c r="CQ38" s="44" t="n">
        <v>0</v>
      </c>
      <c r="CR38" s="35" t="n"/>
      <c r="CS38" s="45" t="n">
        <v>80</v>
      </c>
      <c r="CT38" s="35" t="n">
        <v>28</v>
      </c>
      <c r="CU38" s="44" t="n">
        <v>0</v>
      </c>
      <c r="CV38" s="35" t="n"/>
      <c r="CW38" s="45" t="n">
        <v>80</v>
      </c>
      <c r="CX38" s="35" t="n">
        <v>28</v>
      </c>
      <c r="CY38" s="44" t="n">
        <v>100</v>
      </c>
      <c r="CZ38" s="35" t="n"/>
      <c r="DA38" s="45" t="n">
        <v>80</v>
      </c>
      <c r="DB38" s="35" t="n">
        <v>28</v>
      </c>
      <c r="DC38" s="155" t="n">
        <v>0</v>
      </c>
      <c r="DD38" s="35" t="n"/>
      <c r="DE38" s="45" t="n">
        <v>80</v>
      </c>
      <c r="DF38" s="282" t="n">
        <v>0</v>
      </c>
      <c r="DG38" s="42" t="n">
        <v>0</v>
      </c>
      <c r="DH38" s="35" t="n"/>
      <c r="DI38" s="379">
        <f>BM38+BQ38+BU38+BY38+CC38+CG38+CK38+CO38+CS38+CW38+DA38+DE38</f>
        <v/>
      </c>
      <c r="DJ38" s="379">
        <f>DI38*$I38</f>
        <v/>
      </c>
      <c r="DK38" s="82" t="n">
        <v>28</v>
      </c>
      <c r="DL38" s="35" t="n">
        <v>30</v>
      </c>
      <c r="DM38" s="44" t="n">
        <v>0</v>
      </c>
      <c r="DN38" s="35" t="n"/>
      <c r="DO38" s="82" t="n">
        <v>28</v>
      </c>
      <c r="DP38" s="282" t="n">
        <v>120</v>
      </c>
      <c r="DQ38" s="44" t="n">
        <v>150</v>
      </c>
      <c r="DR38" s="35" t="n"/>
      <c r="DS38" s="82" t="n">
        <v>28</v>
      </c>
      <c r="DT38" s="281" t="n">
        <v>300</v>
      </c>
      <c r="DU38" s="44" t="n">
        <v>200</v>
      </c>
      <c r="DV38" s="35" t="n"/>
      <c r="DW38" s="82" t="n">
        <v>28</v>
      </c>
      <c r="DX38" s="35" t="n">
        <v>0</v>
      </c>
      <c r="DY38" s="44" t="n">
        <v>100</v>
      </c>
      <c r="DZ38" s="36" t="n"/>
      <c r="EA38" s="82" t="n">
        <v>28</v>
      </c>
      <c r="EB38" s="35" t="n">
        <v>28</v>
      </c>
      <c r="EC38" s="44" t="n">
        <v>0</v>
      </c>
      <c r="ED38" s="36" t="n"/>
      <c r="EE38" s="82" t="n">
        <v>28</v>
      </c>
      <c r="EF38" s="281" t="n">
        <v>25</v>
      </c>
      <c r="EG38" s="44" t="n">
        <v>0</v>
      </c>
      <c r="EH38" s="35" t="n"/>
      <c r="EI38" s="82" t="n">
        <v>28</v>
      </c>
      <c r="EJ38" s="281" t="n">
        <v>25</v>
      </c>
      <c r="EK38" s="44" t="n">
        <v>0</v>
      </c>
      <c r="EL38" s="35" t="n"/>
      <c r="EM38" s="82" t="n">
        <v>28</v>
      </c>
      <c r="EN38" s="281" t="n">
        <v>25</v>
      </c>
      <c r="EO38" s="44" t="n">
        <v>0</v>
      </c>
      <c r="EP38" s="35" t="n"/>
      <c r="EQ38" s="82" t="n">
        <v>28</v>
      </c>
      <c r="ER38" s="281" t="n">
        <v>25</v>
      </c>
      <c r="ES38" s="44" t="n">
        <v>0</v>
      </c>
      <c r="ET38" s="35" t="n"/>
      <c r="EU38" s="82" t="n">
        <v>28</v>
      </c>
      <c r="EV38" s="281" t="n">
        <v>25</v>
      </c>
      <c r="EW38" s="44" t="n">
        <v>0</v>
      </c>
      <c r="EX38" s="35" t="n"/>
      <c r="EY38" s="82" t="n">
        <v>28</v>
      </c>
      <c r="EZ38" s="281" t="n">
        <v>25</v>
      </c>
      <c r="FA38" s="288" t="n">
        <v>0</v>
      </c>
      <c r="FB38" s="35" t="n"/>
      <c r="FC38" s="82" t="n">
        <v>28</v>
      </c>
      <c r="FD38" s="281" t="n">
        <v>25</v>
      </c>
      <c r="FE38" s="380" t="n">
        <v>0</v>
      </c>
      <c r="FF38" s="35" t="n"/>
      <c r="FG38" s="379">
        <f>DK38+DO38+DS38+DW38+EA38+EE38+EI38+EM38+EQ38+EU38+EY38+FC38</f>
        <v/>
      </c>
      <c r="FH38" s="379">
        <f>FG38*$I38</f>
        <v/>
      </c>
      <c r="FI38" s="35" t="n">
        <v>28</v>
      </c>
      <c r="FJ38" s="35" t="n"/>
      <c r="FK38" s="44" t="n">
        <v>0</v>
      </c>
      <c r="FL38" s="35" t="n"/>
      <c r="FM38" s="51" t="n">
        <v>54</v>
      </c>
      <c r="FN38" s="82" t="n"/>
      <c r="FO38" s="44" t="n">
        <v>0</v>
      </c>
      <c r="FP38" s="61" t="n"/>
      <c r="FQ38" s="51" t="n">
        <v>54</v>
      </c>
      <c r="FR38" s="82" t="n"/>
      <c r="FS38" s="44" t="n">
        <v>0</v>
      </c>
      <c r="FT38" s="35" t="n"/>
      <c r="FU38" s="51" t="n">
        <v>54</v>
      </c>
      <c r="FV38" s="35" t="n"/>
      <c r="FW38" s="44" t="n">
        <v>0</v>
      </c>
      <c r="FX38" s="35" t="n"/>
      <c r="FY38" s="51" t="n">
        <v>54</v>
      </c>
      <c r="FZ38" s="35" t="n"/>
      <c r="GA38" s="44" t="n">
        <v>0</v>
      </c>
      <c r="GB38" s="35" t="n"/>
      <c r="GC38" s="51" t="n">
        <v>70</v>
      </c>
      <c r="GD38" s="47" t="n"/>
      <c r="GE38" s="44" t="n">
        <v>0</v>
      </c>
      <c r="GF38" s="35" t="n"/>
      <c r="GG38" s="51" t="n">
        <v>70</v>
      </c>
      <c r="GH38" s="47" t="n"/>
      <c r="GI38" s="44" t="n">
        <v>0</v>
      </c>
      <c r="GJ38" s="35" t="n"/>
      <c r="GK38" s="51" t="n">
        <v>70</v>
      </c>
      <c r="GL38" s="35" t="n"/>
      <c r="GM38" s="44" t="n">
        <v>0</v>
      </c>
      <c r="GN38" s="35" t="n"/>
      <c r="GO38" s="51" t="n">
        <v>70</v>
      </c>
      <c r="GP38" s="35" t="n"/>
      <c r="GQ38" s="44" t="n">
        <v>0</v>
      </c>
      <c r="GR38" s="35" t="n"/>
      <c r="GS38" s="51" t="n">
        <v>70</v>
      </c>
      <c r="GT38" s="35" t="n"/>
      <c r="GU38" s="44" t="n">
        <v>0</v>
      </c>
      <c r="GV38" s="35" t="n"/>
      <c r="GW38" s="51" t="n">
        <v>70</v>
      </c>
      <c r="GX38" s="47" t="n"/>
      <c r="GY38" s="155" t="n">
        <v>0</v>
      </c>
      <c r="GZ38" s="35" t="n"/>
      <c r="HA38" s="51" t="n">
        <v>70</v>
      </c>
      <c r="HB38" s="35" t="n"/>
      <c r="HC38" s="380" t="n">
        <v>0</v>
      </c>
      <c r="HD38" s="35" t="n"/>
      <c r="HE38" s="379">
        <f>FI38+FM38+FQ38+FU38+FY38+GC38+GG38+GK38+GO38+GS38+GW38+HA38</f>
        <v/>
      </c>
      <c r="HF38" s="379">
        <f>HE38*$I38</f>
        <v/>
      </c>
      <c r="HG38" s="51" t="n">
        <v>70</v>
      </c>
      <c r="HH38" s="35" t="n"/>
      <c r="HI38" s="44" t="n">
        <v>0</v>
      </c>
      <c r="HJ38" s="35" t="n"/>
      <c r="HK38" s="51" t="n">
        <v>80</v>
      </c>
      <c r="HL38" s="82" t="n"/>
      <c r="HM38" s="44" t="n">
        <v>0</v>
      </c>
      <c r="HN38" s="61" t="n"/>
      <c r="HO38" s="51" t="n">
        <v>80</v>
      </c>
      <c r="HP38" s="82" t="n"/>
      <c r="HQ38" s="44" t="n">
        <v>0</v>
      </c>
      <c r="HR38" s="35" t="n"/>
      <c r="HS38" s="51" t="n">
        <v>80</v>
      </c>
      <c r="HT38" s="35" t="n"/>
      <c r="HU38" s="44" t="n">
        <v>0</v>
      </c>
      <c r="HV38" s="35" t="n"/>
      <c r="HW38" s="51" t="n">
        <v>80</v>
      </c>
      <c r="HX38" s="35" t="n"/>
      <c r="HY38" s="44" t="n">
        <v>0</v>
      </c>
      <c r="HZ38" s="35" t="n"/>
      <c r="IA38" s="51" t="n">
        <v>80</v>
      </c>
      <c r="IB38" s="47" t="n"/>
      <c r="IC38" s="44" t="n">
        <v>0</v>
      </c>
      <c r="ID38" s="35" t="n"/>
      <c r="IE38" s="51" t="n">
        <v>80</v>
      </c>
      <c r="IF38" s="47" t="n"/>
      <c r="IG38" s="44" t="n">
        <v>0</v>
      </c>
      <c r="IH38" s="35" t="n"/>
      <c r="II38" s="51" t="n">
        <v>80</v>
      </c>
      <c r="IJ38" s="35" t="n"/>
      <c r="IK38" s="44" t="n">
        <v>0</v>
      </c>
      <c r="IL38" s="35" t="n"/>
      <c r="IM38" s="51" t="n">
        <v>80</v>
      </c>
      <c r="IN38" s="35" t="n"/>
      <c r="IO38" s="44" t="n">
        <v>0</v>
      </c>
      <c r="IP38" s="35" t="n"/>
      <c r="IQ38" s="51" t="n">
        <v>80</v>
      </c>
      <c r="IR38" s="35" t="n"/>
      <c r="IS38" s="44" t="n">
        <v>0</v>
      </c>
      <c r="IT38" s="35" t="n"/>
      <c r="IU38" s="45" t="n"/>
      <c r="IV38" s="47" t="n"/>
      <c r="IW38" s="155" t="n"/>
      <c r="IX38" s="35" t="n"/>
      <c r="IY38" s="51" t="n">
        <v>80</v>
      </c>
      <c r="IZ38" s="35" t="n"/>
      <c r="JA38" s="380" t="n">
        <v>0</v>
      </c>
      <c r="JB38" s="35" t="n"/>
      <c r="JC38" s="381">
        <f>HG38+HK38+HO38+HS38+HW38+IA38+IE38+II38+IM38+IQ38+IU38+IY38</f>
        <v/>
      </c>
      <c r="JD38" s="381">
        <f>JC38*$I38</f>
        <v/>
      </c>
    </row>
    <row r="39" ht="15" customHeight="1">
      <c r="A39" s="232" t="n"/>
      <c r="B39" s="232" t="n"/>
      <c r="C39" s="232" t="n"/>
      <c r="D39" s="232" t="n"/>
      <c r="E39" s="25" t="n">
        <v>15</v>
      </c>
      <c r="F39" s="25" t="n">
        <v>1</v>
      </c>
      <c r="G39" s="26" t="n">
        <v>4494430600</v>
      </c>
      <c r="H39" s="138" t="inlineStr">
        <is>
          <t>Кабель клапана подъема оси</t>
        </is>
      </c>
      <c r="I39" s="28" t="n">
        <v>124.17</v>
      </c>
      <c r="J39" s="29" t="n">
        <v>124.17</v>
      </c>
      <c r="K39" s="295" t="n">
        <v>151.34</v>
      </c>
      <c r="L39" s="295" t="n">
        <v>151.34</v>
      </c>
      <c r="M39" s="29" t="n"/>
      <c r="N39" s="29" t="n"/>
      <c r="O39" s="30" t="n">
        <v>200</v>
      </c>
      <c r="P39" s="31" t="n">
        <v>200</v>
      </c>
      <c r="Q39" s="32" t="n">
        <v>100</v>
      </c>
      <c r="R39" s="31" t="n"/>
      <c r="S39" s="30" t="n">
        <v>200</v>
      </c>
      <c r="T39" s="31" t="n">
        <v>150</v>
      </c>
      <c r="U39" s="32" t="n">
        <v>150</v>
      </c>
      <c r="V39" s="60" t="inlineStr">
        <is>
          <t xml:space="preserve">Корректировка прогноза клиентом. </t>
        </is>
      </c>
      <c r="W39" s="30" t="n">
        <v>225</v>
      </c>
      <c r="X39" s="31" t="n">
        <v>200</v>
      </c>
      <c r="Y39" s="32" t="n">
        <v>0</v>
      </c>
      <c r="Z39" s="31" t="inlineStr">
        <is>
          <t xml:space="preserve">Корректировка прогноза клиентом. </t>
        </is>
      </c>
      <c r="AA39" s="30" t="n">
        <v>225</v>
      </c>
      <c r="AB39" s="134" t="n">
        <v>0</v>
      </c>
      <c r="AC39" s="32" t="n">
        <v>0</v>
      </c>
      <c r="AD39" s="31" t="n"/>
      <c r="AE39" s="30" t="n">
        <v>225</v>
      </c>
      <c r="AF39" s="31" t="n">
        <v>0</v>
      </c>
      <c r="AG39" s="32" t="n">
        <v>0</v>
      </c>
      <c r="AH39" s="31" t="n"/>
      <c r="AI39" s="30" t="n">
        <v>250</v>
      </c>
      <c r="AJ39" s="31" t="n">
        <v>50</v>
      </c>
      <c r="AK39" s="32" t="n">
        <v>331</v>
      </c>
      <c r="AL39" s="31" t="inlineStr">
        <is>
          <t xml:space="preserve">Корректировка прогноза клиентом. </t>
        </is>
      </c>
      <c r="AM39" s="30" t="n"/>
      <c r="AN39" s="31" t="n">
        <v>50</v>
      </c>
      <c r="AO39" s="32" t="n">
        <v>300</v>
      </c>
      <c r="AP39" s="31" t="n"/>
      <c r="AQ39" s="30" t="n"/>
      <c r="AR39" s="37" t="n">
        <v>100</v>
      </c>
      <c r="AS39" s="32" t="n">
        <v>270</v>
      </c>
      <c r="AT39" s="31" t="n"/>
      <c r="AU39" s="30" t="n"/>
      <c r="AV39" s="37" t="n">
        <v>100</v>
      </c>
      <c r="AW39" s="32" t="n">
        <v>0</v>
      </c>
      <c r="AX39" s="31" t="n"/>
      <c r="AY39" s="30" t="n"/>
      <c r="AZ39" s="135" t="n">
        <v>0</v>
      </c>
      <c r="BA39" s="32" t="n">
        <v>0</v>
      </c>
      <c r="BB39" s="34" t="n"/>
      <c r="BC39" s="30" t="n"/>
      <c r="BD39" s="135" t="n">
        <v>0</v>
      </c>
      <c r="BE39" s="155" t="n">
        <v>0</v>
      </c>
      <c r="BF39" s="34" t="n"/>
      <c r="BG39" s="30" t="n"/>
      <c r="BH39" s="135" t="n">
        <v>40</v>
      </c>
      <c r="BI39" s="136" t="n">
        <v>0</v>
      </c>
      <c r="BJ39" s="34" t="n"/>
      <c r="BK39" s="381">
        <f>O39+S39+W39+AA39+AE39+AI39+AM39+AQ39+AU39+AY39+BC39+BG39</f>
        <v/>
      </c>
      <c r="BL39" s="381">
        <f>BK39*$I39</f>
        <v/>
      </c>
      <c r="BM39" s="41" t="n">
        <v>80</v>
      </c>
      <c r="BN39" s="35" t="n">
        <v>280</v>
      </c>
      <c r="BO39" s="32" t="n">
        <v>280</v>
      </c>
      <c r="BP39" s="31" t="n"/>
      <c r="BQ39" s="41" t="n">
        <v>80</v>
      </c>
      <c r="BR39" s="82" t="n">
        <v>280</v>
      </c>
      <c r="BS39" s="32" t="n">
        <v>0</v>
      </c>
      <c r="BT39" s="61" t="n"/>
      <c r="BU39" s="45" t="n">
        <v>80</v>
      </c>
      <c r="BV39" s="82" t="n">
        <v>0</v>
      </c>
      <c r="BW39" s="32" t="n">
        <v>0</v>
      </c>
      <c r="BX39" s="31" t="n"/>
      <c r="BY39" s="41" t="n">
        <v>80</v>
      </c>
      <c r="BZ39" s="35" t="n">
        <v>0</v>
      </c>
      <c r="CA39" s="44" t="n">
        <v>0</v>
      </c>
      <c r="CB39" s="35" t="n"/>
      <c r="CC39" s="45" t="n">
        <v>80</v>
      </c>
      <c r="CD39" s="35" t="n">
        <v>0</v>
      </c>
      <c r="CE39" s="32" t="n">
        <v>0</v>
      </c>
      <c r="CF39" s="31" t="n"/>
      <c r="CG39" s="41" t="n">
        <v>80</v>
      </c>
      <c r="CH39" s="47" t="n">
        <v>0</v>
      </c>
      <c r="CI39" s="32" t="n">
        <v>0</v>
      </c>
      <c r="CJ39" s="31" t="n"/>
      <c r="CK39" s="45" t="n">
        <v>80</v>
      </c>
      <c r="CL39" s="47" t="n">
        <v>14</v>
      </c>
      <c r="CM39" s="44" t="n">
        <v>0</v>
      </c>
      <c r="CN39" s="35" t="n"/>
      <c r="CO39" s="45" t="n">
        <v>80</v>
      </c>
      <c r="CP39" s="35" t="n">
        <v>14</v>
      </c>
      <c r="CQ39" s="44" t="n">
        <v>0</v>
      </c>
      <c r="CR39" s="35" t="n"/>
      <c r="CS39" s="45" t="n">
        <v>80</v>
      </c>
      <c r="CT39" s="35" t="n">
        <v>28</v>
      </c>
      <c r="CU39" s="44" t="n">
        <v>0</v>
      </c>
      <c r="CV39" s="35" t="n"/>
      <c r="CW39" s="45" t="n">
        <v>80</v>
      </c>
      <c r="CX39" s="35" t="n">
        <v>28</v>
      </c>
      <c r="CY39" s="44" t="n">
        <v>100</v>
      </c>
      <c r="CZ39" s="35" t="n"/>
      <c r="DA39" s="45" t="n">
        <v>80</v>
      </c>
      <c r="DB39" s="35" t="n">
        <v>28</v>
      </c>
      <c r="DC39" s="155" t="n">
        <v>0</v>
      </c>
      <c r="DD39" s="35" t="n"/>
      <c r="DE39" s="45" t="n">
        <v>80</v>
      </c>
      <c r="DF39" s="282" t="n">
        <v>0</v>
      </c>
      <c r="DG39" s="42" t="n">
        <v>0</v>
      </c>
      <c r="DH39" s="35" t="n"/>
      <c r="DI39" s="379">
        <f>BM39+BQ39+BU39+BY39+CC39+CG39+CK39+CO39+CS39+CW39+DA39+DE39</f>
        <v/>
      </c>
      <c r="DJ39" s="379">
        <f>DI39*$I39</f>
        <v/>
      </c>
      <c r="DK39" s="82" t="n">
        <v>28</v>
      </c>
      <c r="DL39" s="35" t="n">
        <v>30</v>
      </c>
      <c r="DM39" s="44" t="n">
        <v>0</v>
      </c>
      <c r="DN39" s="35" t="n"/>
      <c r="DO39" s="82" t="n">
        <v>28</v>
      </c>
      <c r="DP39" s="282" t="n">
        <v>120</v>
      </c>
      <c r="DQ39" s="44" t="n">
        <v>150</v>
      </c>
      <c r="DR39" s="35" t="n"/>
      <c r="DS39" s="82" t="n">
        <v>28</v>
      </c>
      <c r="DT39" s="281" t="n">
        <v>300</v>
      </c>
      <c r="DU39" s="44" t="n">
        <v>200</v>
      </c>
      <c r="DV39" s="35" t="n"/>
      <c r="DW39" s="82" t="n">
        <v>28</v>
      </c>
      <c r="DX39" s="35" t="n">
        <v>0</v>
      </c>
      <c r="DY39" s="44" t="n">
        <v>100</v>
      </c>
      <c r="DZ39" s="36" t="n"/>
      <c r="EA39" s="82" t="n">
        <v>28</v>
      </c>
      <c r="EB39" s="35" t="n">
        <v>28</v>
      </c>
      <c r="EC39" s="44" t="n">
        <v>0</v>
      </c>
      <c r="ED39" s="36" t="n"/>
      <c r="EE39" s="82" t="n">
        <v>28</v>
      </c>
      <c r="EF39" s="281" t="n">
        <v>25</v>
      </c>
      <c r="EG39" s="44" t="n">
        <v>0</v>
      </c>
      <c r="EH39" s="35" t="n"/>
      <c r="EI39" s="82" t="n">
        <v>28</v>
      </c>
      <c r="EJ39" s="281" t="n">
        <v>25</v>
      </c>
      <c r="EK39" s="44" t="n">
        <v>0</v>
      </c>
      <c r="EL39" s="35" t="n"/>
      <c r="EM39" s="82" t="n">
        <v>28</v>
      </c>
      <c r="EN39" s="281" t="n">
        <v>25</v>
      </c>
      <c r="EO39" s="44" t="n">
        <v>0</v>
      </c>
      <c r="EP39" s="35" t="n"/>
      <c r="EQ39" s="82" t="n">
        <v>28</v>
      </c>
      <c r="ER39" s="281" t="n">
        <v>25</v>
      </c>
      <c r="ES39" s="44" t="n">
        <v>0</v>
      </c>
      <c r="ET39" s="35" t="n"/>
      <c r="EU39" s="82" t="n">
        <v>28</v>
      </c>
      <c r="EV39" s="281" t="n">
        <v>25</v>
      </c>
      <c r="EW39" s="44" t="n">
        <v>0</v>
      </c>
      <c r="EX39" s="35" t="n"/>
      <c r="EY39" s="82" t="n">
        <v>28</v>
      </c>
      <c r="EZ39" s="281" t="n">
        <v>25</v>
      </c>
      <c r="FA39" s="288" t="n">
        <v>0</v>
      </c>
      <c r="FB39" s="35" t="n"/>
      <c r="FC39" s="82" t="n">
        <v>28</v>
      </c>
      <c r="FD39" s="281" t="n">
        <v>25</v>
      </c>
      <c r="FE39" s="380" t="n">
        <v>0</v>
      </c>
      <c r="FF39" s="35" t="n"/>
      <c r="FG39" s="379">
        <f>DK39+DO39+DS39+DW39+EA39+EE39+EI39+EM39+EQ39+EU39+EY39+FC39</f>
        <v/>
      </c>
      <c r="FH39" s="379">
        <f>FG39*$I39</f>
        <v/>
      </c>
      <c r="FI39" s="35" t="n">
        <v>28</v>
      </c>
      <c r="FJ39" s="35" t="n"/>
      <c r="FK39" s="44" t="n">
        <v>0</v>
      </c>
      <c r="FL39" s="35" t="n"/>
      <c r="FM39" s="51" t="n">
        <v>54</v>
      </c>
      <c r="FN39" s="82" t="n"/>
      <c r="FO39" s="44" t="n">
        <v>0</v>
      </c>
      <c r="FP39" s="61" t="n"/>
      <c r="FQ39" s="51" t="n">
        <v>54</v>
      </c>
      <c r="FR39" s="82" t="n"/>
      <c r="FS39" s="44" t="n">
        <v>0</v>
      </c>
      <c r="FT39" s="35" t="n"/>
      <c r="FU39" s="51" t="n">
        <v>54</v>
      </c>
      <c r="FV39" s="35" t="n"/>
      <c r="FW39" s="44" t="n">
        <v>0</v>
      </c>
      <c r="FX39" s="35" t="n"/>
      <c r="FY39" s="51" t="n">
        <v>54</v>
      </c>
      <c r="FZ39" s="35" t="n"/>
      <c r="GA39" s="44" t="n">
        <v>0</v>
      </c>
      <c r="GB39" s="35" t="n"/>
      <c r="GC39" s="51" t="n">
        <v>70</v>
      </c>
      <c r="GD39" s="47" t="n"/>
      <c r="GE39" s="44" t="n">
        <v>0</v>
      </c>
      <c r="GF39" s="35" t="n"/>
      <c r="GG39" s="51" t="n">
        <v>70</v>
      </c>
      <c r="GH39" s="47" t="n"/>
      <c r="GI39" s="44" t="n">
        <v>0</v>
      </c>
      <c r="GJ39" s="35" t="n"/>
      <c r="GK39" s="51" t="n">
        <v>70</v>
      </c>
      <c r="GL39" s="35" t="n"/>
      <c r="GM39" s="44" t="n">
        <v>0</v>
      </c>
      <c r="GN39" s="35" t="n"/>
      <c r="GO39" s="51" t="n">
        <v>70</v>
      </c>
      <c r="GP39" s="35" t="n"/>
      <c r="GQ39" s="44" t="n">
        <v>0</v>
      </c>
      <c r="GR39" s="35" t="n"/>
      <c r="GS39" s="51" t="n">
        <v>70</v>
      </c>
      <c r="GT39" s="35" t="n"/>
      <c r="GU39" s="44" t="n">
        <v>0</v>
      </c>
      <c r="GV39" s="35" t="n"/>
      <c r="GW39" s="51" t="n">
        <v>70</v>
      </c>
      <c r="GX39" s="47" t="n"/>
      <c r="GY39" s="155" t="n">
        <v>0</v>
      </c>
      <c r="GZ39" s="35" t="n"/>
      <c r="HA39" s="51" t="n">
        <v>70</v>
      </c>
      <c r="HB39" s="35" t="n"/>
      <c r="HC39" s="380" t="n">
        <v>0</v>
      </c>
      <c r="HD39" s="35" t="n"/>
      <c r="HE39" s="379">
        <f>FI39+FM39+FQ39+FU39+FY39+GC39+GG39+GK39+GO39+GS39+GW39+HA39</f>
        <v/>
      </c>
      <c r="HF39" s="379">
        <f>HE39*$I39</f>
        <v/>
      </c>
      <c r="HG39" s="51" t="n">
        <v>70</v>
      </c>
      <c r="HH39" s="35" t="n"/>
      <c r="HI39" s="44" t="n">
        <v>0</v>
      </c>
      <c r="HJ39" s="35" t="n"/>
      <c r="HK39" s="51" t="n">
        <v>80</v>
      </c>
      <c r="HL39" s="82" t="n"/>
      <c r="HM39" s="44" t="n">
        <v>0</v>
      </c>
      <c r="HN39" s="61" t="n"/>
      <c r="HO39" s="51" t="n">
        <v>80</v>
      </c>
      <c r="HP39" s="82" t="n"/>
      <c r="HQ39" s="44" t="n">
        <v>0</v>
      </c>
      <c r="HR39" s="35" t="n"/>
      <c r="HS39" s="51" t="n">
        <v>80</v>
      </c>
      <c r="HT39" s="35" t="n"/>
      <c r="HU39" s="44" t="n">
        <v>0</v>
      </c>
      <c r="HV39" s="35" t="n"/>
      <c r="HW39" s="51" t="n">
        <v>80</v>
      </c>
      <c r="HX39" s="35" t="n"/>
      <c r="HY39" s="44" t="n">
        <v>0</v>
      </c>
      <c r="HZ39" s="35" t="n"/>
      <c r="IA39" s="51" t="n">
        <v>80</v>
      </c>
      <c r="IB39" s="47" t="n"/>
      <c r="IC39" s="44" t="n">
        <v>0</v>
      </c>
      <c r="ID39" s="35" t="n"/>
      <c r="IE39" s="51" t="n">
        <v>80</v>
      </c>
      <c r="IF39" s="47" t="n"/>
      <c r="IG39" s="44" t="n">
        <v>0</v>
      </c>
      <c r="IH39" s="35" t="n"/>
      <c r="II39" s="51" t="n">
        <v>80</v>
      </c>
      <c r="IJ39" s="35" t="n"/>
      <c r="IK39" s="44" t="n">
        <v>0</v>
      </c>
      <c r="IL39" s="35" t="n"/>
      <c r="IM39" s="51" t="n">
        <v>80</v>
      </c>
      <c r="IN39" s="35" t="n"/>
      <c r="IO39" s="44" t="n">
        <v>0</v>
      </c>
      <c r="IP39" s="35" t="n"/>
      <c r="IQ39" s="51" t="n">
        <v>80</v>
      </c>
      <c r="IR39" s="35" t="n"/>
      <c r="IS39" s="44" t="n">
        <v>0</v>
      </c>
      <c r="IT39" s="35" t="n"/>
      <c r="IU39" s="45" t="n"/>
      <c r="IV39" s="47" t="n"/>
      <c r="IW39" s="155" t="n"/>
      <c r="IX39" s="35" t="n"/>
      <c r="IY39" s="51" t="n">
        <v>80</v>
      </c>
      <c r="IZ39" s="35" t="n"/>
      <c r="JA39" s="380" t="n">
        <v>0</v>
      </c>
      <c r="JB39" s="35" t="n"/>
      <c r="JC39" s="381">
        <f>HG39+HK39+HO39+HS39+HW39+IA39+IE39+II39+IM39+IQ39+IU39+IY39</f>
        <v/>
      </c>
      <c r="JD39" s="381">
        <f>JC39*$I39</f>
        <v/>
      </c>
    </row>
    <row r="40" ht="14.7" customFormat="1" customHeight="1" s="93">
      <c r="A40" s="94" t="n"/>
      <c r="B40" s="94" t="n"/>
      <c r="C40" s="94" t="n"/>
      <c r="D40" s="95" t="n"/>
      <c r="E40" s="96" t="n"/>
      <c r="F40" s="96" t="n"/>
      <c r="G40" s="160" t="n"/>
      <c r="H40" s="98" t="inlineStr">
        <is>
          <t>Итого</t>
        </is>
      </c>
      <c r="I40" s="99" t="n"/>
      <c r="J40" s="99" t="n"/>
      <c r="K40" s="99" t="n"/>
      <c r="L40" s="99" t="n"/>
      <c r="M40" s="99" t="n"/>
      <c r="N40" s="99" t="n"/>
      <c r="O40" s="70" t="n"/>
      <c r="P40" s="71" t="n"/>
      <c r="Q40" s="72" t="n"/>
      <c r="R40" s="71" t="n"/>
      <c r="S40" s="70" t="n"/>
      <c r="T40" s="71" t="n"/>
      <c r="U40" s="72" t="n"/>
      <c r="V40" s="71" t="n"/>
      <c r="W40" s="70" t="n"/>
      <c r="X40" s="71" t="n"/>
      <c r="Y40" s="72" t="n"/>
      <c r="Z40" s="71" t="n"/>
      <c r="AA40" s="70" t="n"/>
      <c r="AB40" s="71" t="n"/>
      <c r="AC40" s="72" t="n"/>
      <c r="AD40" s="71" t="n"/>
      <c r="AE40" s="70" t="n"/>
      <c r="AF40" s="71" t="n"/>
      <c r="AG40" s="72" t="n"/>
      <c r="AH40" s="71" t="n"/>
      <c r="AI40" s="70" t="n"/>
      <c r="AJ40" s="47" t="n"/>
      <c r="AK40" s="72" t="n"/>
      <c r="AL40" s="71" t="n"/>
      <c r="AM40" s="70" t="n"/>
      <c r="AN40" s="71" t="n"/>
      <c r="AO40" s="72" t="n"/>
      <c r="AP40" s="71" t="n"/>
      <c r="AQ40" s="70" t="n"/>
      <c r="AR40" s="47" t="n"/>
      <c r="AS40" s="72" t="n"/>
      <c r="AT40" s="71" t="n"/>
      <c r="AU40" s="70" t="n"/>
      <c r="AV40" s="71" t="n"/>
      <c r="AW40" s="72" t="n"/>
      <c r="AX40" s="71" t="n"/>
      <c r="AY40" s="70" t="n"/>
      <c r="AZ40" s="71" t="n"/>
      <c r="BA40" s="72" t="n"/>
      <c r="BB40" s="100" t="n"/>
      <c r="BC40" s="70" t="n"/>
      <c r="BD40" s="71" t="n"/>
      <c r="BE40" s="72" t="n"/>
      <c r="BF40" s="100" t="n"/>
      <c r="BG40" s="70" t="n"/>
      <c r="BH40" s="38" t="n"/>
      <c r="BI40" s="72" t="n"/>
      <c r="BJ40" s="100" t="n"/>
      <c r="BK40" s="384">
        <f>SUM(BK25:BK39)</f>
        <v/>
      </c>
      <c r="BL40" s="384">
        <f>SUM(BL25:BL39)</f>
        <v/>
      </c>
      <c r="BM40" s="106" t="n"/>
      <c r="BN40" s="71" t="n"/>
      <c r="BO40" s="72" t="n"/>
      <c r="BP40" s="71" t="n"/>
      <c r="BQ40" s="106" t="n"/>
      <c r="BR40" s="71" t="n"/>
      <c r="BS40" s="72" t="n"/>
      <c r="BT40" s="71" t="n"/>
      <c r="BU40" s="106" t="n"/>
      <c r="BV40" s="71" t="n"/>
      <c r="BW40" s="72" t="n"/>
      <c r="BX40" s="71" t="n"/>
      <c r="BY40" s="106" t="n"/>
      <c r="BZ40" s="71" t="n"/>
      <c r="CA40" s="72" t="n"/>
      <c r="CB40" s="71" t="n"/>
      <c r="CC40" s="106" t="n"/>
      <c r="CD40" s="71" t="n"/>
      <c r="CE40" s="72" t="n"/>
      <c r="CF40" s="71" t="n"/>
      <c r="CG40" s="113" t="n"/>
      <c r="CH40" s="47" t="n"/>
      <c r="CI40" s="72" t="n"/>
      <c r="CJ40" s="71" t="n"/>
      <c r="CK40" s="113" t="n"/>
      <c r="CL40" s="71" t="n"/>
      <c r="CM40" s="72" t="n"/>
      <c r="CN40" s="71" t="n"/>
      <c r="CO40" s="113" t="n"/>
      <c r="CP40" s="47" t="n"/>
      <c r="CQ40" s="72" t="n"/>
      <c r="CR40" s="71" t="n"/>
      <c r="CS40" s="113" t="n"/>
      <c r="CT40" s="71" t="n"/>
      <c r="CU40" s="72" t="n"/>
      <c r="CV40" s="71" t="n"/>
      <c r="CW40" s="106" t="n"/>
      <c r="CX40" s="47" t="n"/>
      <c r="CY40" s="72" t="n"/>
      <c r="CZ40" s="71" t="n"/>
      <c r="DA40" s="106" t="n"/>
      <c r="DB40" s="47" t="n"/>
      <c r="DC40" s="287" t="n"/>
      <c r="DD40" s="71" t="n"/>
      <c r="DE40" s="106" t="n"/>
      <c r="DF40" s="71" t="n"/>
      <c r="DG40" s="72" t="n"/>
      <c r="DH40" s="71" t="n"/>
      <c r="DI40" s="384">
        <f>SUM(DI25:DI39)</f>
        <v/>
      </c>
      <c r="DJ40" s="384">
        <f>SUM(DJ25:DJ39)</f>
        <v/>
      </c>
      <c r="DK40" s="106" t="n"/>
      <c r="DL40" s="71" t="n"/>
      <c r="DM40" s="72" t="n"/>
      <c r="DN40" s="71" t="n"/>
      <c r="DO40" s="106" t="n"/>
      <c r="DP40" s="71" t="n"/>
      <c r="DQ40" s="72" t="n"/>
      <c r="DR40" s="71" t="n"/>
      <c r="DS40" s="106" t="n"/>
      <c r="DT40" s="71" t="n"/>
      <c r="DU40" s="72" t="n"/>
      <c r="DV40" s="71" t="n"/>
      <c r="DW40" s="106" t="n"/>
      <c r="DX40" s="71" t="n"/>
      <c r="DY40" s="72" t="n"/>
      <c r="DZ40" s="71" t="n"/>
      <c r="EA40" s="106" t="n"/>
      <c r="EB40" s="71" t="n"/>
      <c r="EC40" s="72" t="n"/>
      <c r="ED40" s="71" t="n"/>
      <c r="EE40" s="113" t="n"/>
      <c r="EF40" s="47" t="n"/>
      <c r="EG40" s="72" t="n"/>
      <c r="EH40" s="71" t="n"/>
      <c r="EI40" s="113" t="n"/>
      <c r="EJ40" s="71" t="n"/>
      <c r="EK40" s="72" t="n"/>
      <c r="EL40" s="71" t="n"/>
      <c r="EM40" s="113" t="n"/>
      <c r="EN40" s="47" t="n"/>
      <c r="EO40" s="72" t="n"/>
      <c r="EP40" s="71" t="n"/>
      <c r="EQ40" s="113" t="n"/>
      <c r="ER40" s="71" t="n"/>
      <c r="ES40" s="72" t="n"/>
      <c r="ET40" s="71" t="n"/>
      <c r="EU40" s="106" t="n"/>
      <c r="EV40" s="47" t="n"/>
      <c r="EW40" s="72" t="n"/>
      <c r="EX40" s="71" t="n"/>
      <c r="EY40" s="106" t="n"/>
      <c r="EZ40" s="47" t="n"/>
      <c r="FA40" s="72" t="n"/>
      <c r="FB40" s="71" t="n"/>
      <c r="FC40" s="106" t="n"/>
      <c r="FD40" s="71" t="n"/>
      <c r="FE40" s="72" t="n"/>
      <c r="FF40" s="71" t="n"/>
      <c r="FG40" s="384">
        <f>SUM(FG25:FG39)</f>
        <v/>
      </c>
      <c r="FH40" s="384">
        <f>SUM(FH25:FH39)</f>
        <v/>
      </c>
      <c r="FI40" s="106" t="n"/>
      <c r="FJ40" s="71" t="n"/>
      <c r="FK40" s="72" t="n"/>
      <c r="FL40" s="71" t="n"/>
      <c r="FM40" s="106" t="n"/>
      <c r="FN40" s="71" t="n"/>
      <c r="FO40" s="72" t="n"/>
      <c r="FP40" s="71" t="n"/>
      <c r="FQ40" s="106" t="n"/>
      <c r="FR40" s="71" t="n"/>
      <c r="FS40" s="72" t="n"/>
      <c r="FT40" s="71" t="n"/>
      <c r="FU40" s="106" t="n"/>
      <c r="FV40" s="71" t="n"/>
      <c r="FW40" s="72" t="n"/>
      <c r="FX40" s="71" t="n"/>
      <c r="FY40" s="106" t="n"/>
      <c r="FZ40" s="71" t="n"/>
      <c r="GA40" s="72" t="n"/>
      <c r="GB40" s="71" t="n"/>
      <c r="GC40" s="113" t="n"/>
      <c r="GD40" s="47" t="n"/>
      <c r="GE40" s="72" t="n"/>
      <c r="GF40" s="71" t="n"/>
      <c r="GG40" s="113" t="n"/>
      <c r="GH40" s="71" t="n"/>
      <c r="GI40" s="72" t="n"/>
      <c r="GJ40" s="71" t="n"/>
      <c r="GK40" s="113" t="n"/>
      <c r="GL40" s="47" t="n"/>
      <c r="GM40" s="72" t="n"/>
      <c r="GN40" s="71" t="n"/>
      <c r="GO40" s="113" t="n"/>
      <c r="GP40" s="71" t="n"/>
      <c r="GQ40" s="72" t="n"/>
      <c r="GR40" s="71" t="n"/>
      <c r="GS40" s="106" t="n"/>
      <c r="GT40" s="47" t="n"/>
      <c r="GU40" s="72" t="n"/>
      <c r="GV40" s="71" t="n"/>
      <c r="GW40" s="106" t="n"/>
      <c r="GX40" s="47" t="n"/>
      <c r="GY40" s="72" t="n"/>
      <c r="GZ40" s="71" t="n"/>
      <c r="HA40" s="106" t="n"/>
      <c r="HB40" s="71" t="n"/>
      <c r="HC40" s="72" t="n"/>
      <c r="HD40" s="71" t="n"/>
      <c r="HE40" s="384">
        <f>SUM(HE25:HE39)</f>
        <v/>
      </c>
      <c r="HF40" s="384">
        <f>SUM(HF25:HF39)</f>
        <v/>
      </c>
      <c r="HG40" s="106" t="n"/>
      <c r="HH40" s="71" t="n"/>
      <c r="HI40" s="72" t="n"/>
      <c r="HJ40" s="71" t="n"/>
      <c r="HK40" s="106" t="n"/>
      <c r="HL40" s="71" t="n"/>
      <c r="HM40" s="72" t="n"/>
      <c r="HN40" s="71" t="n"/>
      <c r="HO40" s="106" t="n"/>
      <c r="HP40" s="71" t="n"/>
      <c r="HQ40" s="72" t="n"/>
      <c r="HR40" s="71" t="n"/>
      <c r="HS40" s="106" t="n"/>
      <c r="HT40" s="71" t="n"/>
      <c r="HU40" s="72" t="n"/>
      <c r="HV40" s="71" t="n"/>
      <c r="HW40" s="106" t="n"/>
      <c r="HX40" s="71" t="n"/>
      <c r="HY40" s="72" t="n"/>
      <c r="HZ40" s="71" t="n"/>
      <c r="IA40" s="113" t="n"/>
      <c r="IB40" s="47" t="n"/>
      <c r="IC40" s="72" t="n"/>
      <c r="ID40" s="71" t="n"/>
      <c r="IE40" s="113" t="n"/>
      <c r="IF40" s="71" t="n"/>
      <c r="IG40" s="72" t="n"/>
      <c r="IH40" s="71" t="n"/>
      <c r="II40" s="113" t="n"/>
      <c r="IJ40" s="47" t="n"/>
      <c r="IK40" s="72" t="n"/>
      <c r="IL40" s="71" t="n"/>
      <c r="IM40" s="113" t="n"/>
      <c r="IN40" s="71" t="n"/>
      <c r="IO40" s="72" t="n"/>
      <c r="IP40" s="71" t="n"/>
      <c r="IQ40" s="106" t="n"/>
      <c r="IR40" s="47" t="n"/>
      <c r="IS40" s="72" t="n"/>
      <c r="IT40" s="71" t="n"/>
      <c r="IU40" s="106" t="n"/>
      <c r="IV40" s="47" t="n"/>
      <c r="IW40" s="72" t="n"/>
      <c r="IX40" s="71" t="n"/>
      <c r="IY40" s="106" t="n"/>
      <c r="IZ40" s="71" t="n"/>
      <c r="JA40" s="72" t="n"/>
      <c r="JB40" s="71" t="n"/>
      <c r="JC40" s="384">
        <f>SUM(JC25:JC39)</f>
        <v/>
      </c>
      <c r="JD40" s="384">
        <f>SUM(JD25:JD39)</f>
        <v/>
      </c>
    </row>
    <row r="41" ht="12" customHeight="1">
      <c r="A41" s="115" t="n"/>
      <c r="B41" s="115" t="n"/>
      <c r="C41" s="115" t="n"/>
      <c r="D41" s="115" t="n"/>
      <c r="E41" s="116" t="n"/>
      <c r="F41" s="116" t="n"/>
      <c r="G41" s="117" t="n"/>
      <c r="H41" s="117" t="n"/>
      <c r="I41" s="119" t="n"/>
      <c r="J41" s="119" t="n"/>
      <c r="K41" s="119" t="n"/>
      <c r="L41" s="119" t="n"/>
      <c r="M41" s="119" t="n"/>
      <c r="N41" s="119" t="n"/>
      <c r="O41" s="120" t="n"/>
      <c r="P41" s="120" t="n"/>
      <c r="Q41" s="120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  <c r="AA41" s="121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  <c r="AJ41" s="122" t="n"/>
      <c r="AK41" s="123" t="n"/>
      <c r="AL41" s="123" t="n"/>
      <c r="AM41" s="123" t="n"/>
      <c r="AN41" s="123" t="n"/>
      <c r="AO41" s="123" t="n"/>
      <c r="AP41" s="123" t="n"/>
      <c r="AQ41" s="123" t="n"/>
      <c r="AR41" s="124" t="n"/>
      <c r="AS41" s="123" t="n"/>
      <c r="AT41" s="123" t="n"/>
      <c r="AU41" s="123" t="n"/>
      <c r="AV41" s="123" t="n"/>
      <c r="AW41" s="123" t="n"/>
      <c r="AX41" s="123" t="n"/>
      <c r="AY41" s="123" t="n"/>
      <c r="AZ41" s="123" t="n"/>
      <c r="BA41" s="125" t="n"/>
      <c r="BB41" s="126" t="n"/>
      <c r="BC41" s="125" t="n"/>
      <c r="BD41" s="125" t="n"/>
      <c r="BE41" s="127" t="n"/>
      <c r="BF41" s="126" t="n"/>
      <c r="BG41" s="127" t="n"/>
      <c r="BH41" s="127" t="n"/>
      <c r="BI41" s="161" t="n"/>
      <c r="BJ41" s="126" t="n"/>
      <c r="BK41" s="161" t="n"/>
      <c r="BL41" s="121" t="n"/>
      <c r="BM41" s="129" t="n"/>
      <c r="BN41" s="121" t="n"/>
      <c r="BO41" s="121" t="n"/>
      <c r="BP41" s="121" t="n"/>
      <c r="BQ41" s="130" t="n"/>
      <c r="BR41" s="121" t="n"/>
      <c r="BS41" s="121" t="n"/>
      <c r="BT41" s="121" t="n"/>
      <c r="BU41" s="130" t="n"/>
      <c r="BV41" s="121" t="n"/>
      <c r="BW41" s="121" t="n"/>
      <c r="BX41" s="121" t="n"/>
      <c r="BY41" s="130" t="n"/>
      <c r="BZ41" s="121" t="n"/>
      <c r="CA41" s="121" t="n"/>
      <c r="CB41" s="121" t="n"/>
      <c r="CC41" s="130" t="n"/>
      <c r="CD41" s="121" t="n"/>
      <c r="CE41" s="121" t="n"/>
      <c r="CF41" s="121" t="n"/>
      <c r="CG41" s="130" t="n"/>
      <c r="CH41" s="122" t="n"/>
      <c r="CI41" s="123" t="n"/>
      <c r="CJ41" s="123" t="n"/>
      <c r="CK41" s="131" t="n"/>
      <c r="CL41" s="123" t="n"/>
      <c r="CM41" s="123" t="n"/>
      <c r="CN41" s="123" t="n"/>
      <c r="CO41" s="131" t="n"/>
      <c r="CP41" s="124" t="n"/>
      <c r="CQ41" s="123" t="n"/>
      <c r="CR41" s="123" t="n"/>
      <c r="CS41" s="131" t="n"/>
      <c r="CT41" s="123" t="n"/>
      <c r="CU41" s="123" t="n"/>
      <c r="CV41" s="123" t="n"/>
      <c r="CW41" s="131" t="n"/>
      <c r="CX41" s="123" t="n"/>
      <c r="CY41" s="125" t="n"/>
      <c r="CZ41" s="123" t="n"/>
      <c r="DA41" s="132" t="n"/>
      <c r="DB41" s="125" t="n"/>
      <c r="DC41" s="127" t="n"/>
      <c r="DD41" s="123" t="n"/>
      <c r="DE41" s="133" t="n"/>
      <c r="DF41" s="127" t="n"/>
      <c r="DG41" s="161" t="n"/>
      <c r="DH41" s="123" t="n"/>
      <c r="DI41" s="161" t="n"/>
      <c r="DJ41" s="161" t="n"/>
      <c r="DK41" s="129" t="n"/>
      <c r="DL41" s="121" t="n"/>
      <c r="DM41" s="121" t="n"/>
      <c r="DN41" s="121" t="n"/>
      <c r="DO41" s="130" t="n"/>
      <c r="DP41" s="121" t="n"/>
      <c r="DQ41" s="121" t="n"/>
      <c r="DR41" s="121" t="n"/>
      <c r="DS41" s="130" t="n"/>
      <c r="DT41" s="122" t="n"/>
      <c r="DU41" s="121" t="n"/>
      <c r="DV41" s="121" t="n"/>
      <c r="DW41" s="130" t="n"/>
      <c r="DX41" s="121" t="n"/>
      <c r="DY41" s="121" t="n"/>
      <c r="DZ41" s="121" t="n"/>
      <c r="EA41" s="130" t="n"/>
      <c r="EB41" s="121" t="n"/>
      <c r="EC41" s="121" t="n"/>
      <c r="ED41" s="121" t="n"/>
      <c r="EE41" s="130" t="n"/>
      <c r="EF41" s="122" t="n"/>
      <c r="EG41" s="123" t="n"/>
      <c r="EH41" s="123" t="n"/>
      <c r="EI41" s="131" t="n"/>
      <c r="EJ41" s="123" t="n"/>
      <c r="EK41" s="123" t="n"/>
      <c r="EL41" s="123" t="n"/>
      <c r="EM41" s="131" t="n"/>
      <c r="EN41" s="124" t="n"/>
      <c r="EO41" s="123" t="n"/>
      <c r="EP41" s="123" t="n"/>
      <c r="EQ41" s="131" t="n"/>
      <c r="ER41" s="123" t="n"/>
      <c r="ES41" s="123" t="n"/>
      <c r="ET41" s="123" t="n"/>
      <c r="EU41" s="131" t="n"/>
      <c r="EV41" s="123" t="n"/>
      <c r="EW41" s="125" t="n"/>
      <c r="EX41" s="123" t="n"/>
      <c r="EY41" s="132" t="n"/>
      <c r="EZ41" s="125" t="n"/>
      <c r="FA41" s="127" t="n"/>
      <c r="FB41" s="123" t="n"/>
      <c r="FC41" s="133" t="n"/>
      <c r="FD41" s="127" t="n"/>
      <c r="FE41" s="161" t="n"/>
      <c r="FF41" s="123" t="n"/>
      <c r="FG41" s="161" t="n"/>
      <c r="FH41" s="161" t="n"/>
      <c r="FI41" s="129" t="n"/>
      <c r="FJ41" s="121" t="n"/>
      <c r="FK41" s="121" t="n"/>
      <c r="FL41" s="121" t="n"/>
      <c r="FM41" s="130" t="n"/>
      <c r="FN41" s="121" t="n"/>
      <c r="FO41" s="121" t="n"/>
      <c r="FP41" s="121" t="n"/>
      <c r="FQ41" s="130" t="n"/>
      <c r="FR41" s="121" t="n"/>
      <c r="FS41" s="121" t="n"/>
      <c r="FT41" s="121" t="n"/>
      <c r="FU41" s="130" t="n"/>
      <c r="FV41" s="121" t="n"/>
      <c r="FW41" s="121" t="n"/>
      <c r="FX41" s="121" t="n"/>
      <c r="FY41" s="130" t="n"/>
      <c r="FZ41" s="121" t="n"/>
      <c r="GA41" s="121" t="n"/>
      <c r="GB41" s="121" t="n"/>
      <c r="GC41" s="130" t="n"/>
      <c r="GD41" s="122" t="n"/>
      <c r="GE41" s="123" t="n"/>
      <c r="GF41" s="123" t="n"/>
      <c r="GG41" s="131" t="n"/>
      <c r="GH41" s="123" t="n"/>
      <c r="GI41" s="123" t="n"/>
      <c r="GJ41" s="123" t="n"/>
      <c r="GK41" s="131" t="n"/>
      <c r="GL41" s="124" t="n"/>
      <c r="GM41" s="123" t="n"/>
      <c r="GN41" s="123" t="n"/>
      <c r="GO41" s="131" t="n"/>
      <c r="GP41" s="123" t="n"/>
      <c r="GQ41" s="123" t="n"/>
      <c r="GR41" s="123" t="n"/>
      <c r="GS41" s="131" t="n"/>
      <c r="GT41" s="123" t="n"/>
      <c r="GU41" s="125" t="n"/>
      <c r="GV41" s="123" t="n"/>
      <c r="GW41" s="132" t="n"/>
      <c r="GX41" s="125" t="n"/>
      <c r="GY41" s="127" t="n"/>
      <c r="GZ41" s="123" t="n"/>
      <c r="HA41" s="133" t="n"/>
      <c r="HB41" s="127" t="n"/>
      <c r="HC41" s="161" t="n"/>
      <c r="HD41" s="123" t="n"/>
      <c r="HE41" s="161" t="n"/>
      <c r="HF41" s="161" t="n"/>
      <c r="HG41" s="129" t="n"/>
      <c r="HH41" s="121" t="n"/>
      <c r="HI41" s="121" t="n"/>
      <c r="HJ41" s="121" t="n"/>
      <c r="HK41" s="130" t="n"/>
      <c r="HL41" s="121" t="n"/>
      <c r="HM41" s="121" t="n"/>
      <c r="HN41" s="121" t="n"/>
      <c r="HO41" s="130" t="n"/>
      <c r="HP41" s="121" t="n"/>
      <c r="HQ41" s="121" t="n"/>
      <c r="HR41" s="121" t="n"/>
      <c r="HS41" s="130" t="n"/>
      <c r="HT41" s="121" t="n"/>
      <c r="HU41" s="121" t="n"/>
      <c r="HV41" s="121" t="n"/>
      <c r="HW41" s="130" t="n"/>
      <c r="HX41" s="121" t="n"/>
      <c r="HY41" s="121" t="n"/>
      <c r="HZ41" s="121" t="n"/>
      <c r="IA41" s="130" t="n"/>
      <c r="IB41" s="122" t="n"/>
      <c r="IC41" s="123" t="n"/>
      <c r="ID41" s="123" t="n"/>
      <c r="IE41" s="131" t="n"/>
      <c r="IF41" s="123" t="n"/>
      <c r="IG41" s="123" t="n"/>
      <c r="IH41" s="123" t="n"/>
      <c r="II41" s="131" t="n"/>
      <c r="IJ41" s="124" t="n"/>
      <c r="IK41" s="123" t="n"/>
      <c r="IL41" s="123" t="n"/>
      <c r="IM41" s="131" t="n"/>
      <c r="IN41" s="123" t="n"/>
      <c r="IO41" s="123" t="n"/>
      <c r="IP41" s="123" t="n"/>
      <c r="IQ41" s="131" t="n"/>
      <c r="IR41" s="123" t="n"/>
      <c r="IS41" s="125" t="n"/>
      <c r="IT41" s="123" t="n"/>
      <c r="IU41" s="132" t="n"/>
      <c r="IV41" s="125" t="n"/>
      <c r="IW41" s="127" t="n"/>
      <c r="IX41" s="123" t="n"/>
      <c r="IY41" s="133" t="n"/>
      <c r="IZ41" s="127" t="n"/>
      <c r="JA41" s="161" t="n"/>
      <c r="JB41" s="123" t="n"/>
      <c r="JC41" s="161" t="n"/>
      <c r="JD41" s="161" t="n"/>
    </row>
    <row r="42" ht="13.5" customHeight="1">
      <c r="A42" s="312" t="inlineStr">
        <is>
          <t>ТОНАР ООО МЗ</t>
        </is>
      </c>
      <c r="B42" s="314" t="inlineStr">
        <is>
          <t>предоплата</t>
        </is>
      </c>
      <c r="C42" s="316" t="inlineStr">
        <is>
          <t>ВБК Восток</t>
        </is>
      </c>
      <c r="D42" s="316" t="inlineStr">
        <is>
          <t>Александр Хорошевский</t>
        </is>
      </c>
      <c r="E42" s="166" t="n">
        <v>1</v>
      </c>
      <c r="F42" s="166" t="n">
        <v>1</v>
      </c>
      <c r="G42" s="137" t="n">
        <v>6402250560</v>
      </c>
      <c r="H42" s="276" t="inlineStr">
        <is>
          <t xml:space="preserve">6402250560 AA Тормоз дисковый ( левый ) </t>
        </is>
      </c>
      <c r="I42" s="167" t="n">
        <v>1278</v>
      </c>
      <c r="J42" s="164" t="n">
        <v>1278</v>
      </c>
      <c r="K42" s="164">
        <f>1749.69</f>
        <v/>
      </c>
      <c r="L42" s="164">
        <f>1749.69</f>
        <v/>
      </c>
      <c r="M42" s="164" t="n"/>
      <c r="N42" s="164" t="n"/>
      <c r="O42" s="30" t="n"/>
      <c r="P42" s="31" t="n"/>
      <c r="Q42" s="32" t="n">
        <v>0</v>
      </c>
      <c r="R42" s="31" t="n"/>
      <c r="S42" s="30" t="n"/>
      <c r="T42" s="31" t="n"/>
      <c r="U42" s="32" t="n"/>
      <c r="V42" s="31" t="n"/>
      <c r="W42" s="30" t="n"/>
      <c r="X42" s="31" t="n"/>
      <c r="Y42" s="32" t="n"/>
      <c r="Z42" s="31" t="n"/>
      <c r="AA42" s="30" t="n"/>
      <c r="AB42" s="31" t="n"/>
      <c r="AC42" s="32" t="n">
        <v>0</v>
      </c>
      <c r="AD42" s="31" t="n"/>
      <c r="AE42" s="30" t="n"/>
      <c r="AF42" s="31" t="n"/>
      <c r="AG42" s="32" t="n">
        <v>0</v>
      </c>
      <c r="AH42" s="31" t="n"/>
      <c r="AI42" s="30" t="n"/>
      <c r="AJ42" s="35" t="n">
        <v>0</v>
      </c>
      <c r="AK42" s="32" t="n">
        <v>0</v>
      </c>
      <c r="AL42" s="31" t="n"/>
      <c r="AM42" s="30" t="n"/>
      <c r="AN42" s="47" t="n">
        <v>0</v>
      </c>
      <c r="AO42" s="32" t="n"/>
      <c r="AP42" s="31" t="inlineStr">
        <is>
          <t>Не успеем запустить линию</t>
        </is>
      </c>
      <c r="AQ42" s="30" t="n"/>
      <c r="AR42" s="37" t="n">
        <v>30</v>
      </c>
      <c r="AS42" s="32" t="n">
        <v>30</v>
      </c>
      <c r="AT42" s="31" t="n"/>
      <c r="AU42" s="30" t="n"/>
      <c r="AV42" s="37" t="n">
        <v>200</v>
      </c>
      <c r="AW42" s="32" t="n">
        <v>0</v>
      </c>
      <c r="AX42" s="31" t="n"/>
      <c r="AY42" s="30" t="n"/>
      <c r="AZ42" s="37" t="n">
        <v>300</v>
      </c>
      <c r="BA42" s="32" t="n">
        <v>0</v>
      </c>
      <c r="BB42" s="34" t="inlineStr">
        <is>
          <t>Данные приближенные, взяты из протокола испытаний не подтвержденном на МЗ ТОНАР</t>
        </is>
      </c>
      <c r="BC42" s="30" t="n"/>
      <c r="BD42" s="168" t="n">
        <v>0</v>
      </c>
      <c r="BE42" s="155" t="n">
        <v>0</v>
      </c>
      <c r="BF42" s="34" t="inlineStr">
        <is>
          <t>Данные приближенные, взяты из протокола испытаний не подтвержденном на МЗ ТОНАР</t>
        </is>
      </c>
      <c r="BG42" s="30" t="n"/>
      <c r="BH42" s="168" t="n">
        <v>0</v>
      </c>
      <c r="BI42" s="136" t="n">
        <v>0</v>
      </c>
      <c r="BJ42" s="34" t="inlineStr">
        <is>
          <t>Данные приближенные, взяты из протокола испытаний не подтвержденном на МЗ ТОНАР</t>
        </is>
      </c>
      <c r="BK42" s="381">
        <f>O42+S42+W42+AA42+AE42+AI42+AM42+AQ42+AU42+AY42+BC42+BG42</f>
        <v/>
      </c>
      <c r="BL42" s="386">
        <f>BK42*$I42</f>
        <v/>
      </c>
      <c r="BM42" s="45" t="n">
        <v>48</v>
      </c>
      <c r="BN42" s="169" t="n">
        <v>0</v>
      </c>
      <c r="BO42" s="44" t="n">
        <v>0</v>
      </c>
      <c r="BP42" s="35" t="n"/>
      <c r="BQ42" s="45" t="n">
        <v>144</v>
      </c>
      <c r="BR42" s="169" t="n">
        <v>0</v>
      </c>
      <c r="BS42" s="32" t="n">
        <v>0</v>
      </c>
      <c r="BT42" s="31" t="n"/>
      <c r="BU42" s="45" t="n">
        <v>144</v>
      </c>
      <c r="BV42" s="169" t="n">
        <v>0</v>
      </c>
      <c r="BW42" s="44" t="n">
        <v>0</v>
      </c>
      <c r="BX42" s="35" t="n"/>
      <c r="BY42" s="45" t="n">
        <v>480</v>
      </c>
      <c r="BZ42" s="35" t="n">
        <v>0</v>
      </c>
      <c r="CA42" s="44" t="n">
        <v>0</v>
      </c>
      <c r="CB42" s="35" t="n"/>
      <c r="CC42" s="45" t="n">
        <v>500</v>
      </c>
      <c r="CD42" s="35" t="n">
        <v>0</v>
      </c>
      <c r="CE42" s="32" t="n">
        <v>0</v>
      </c>
      <c r="CF42" s="31" t="n"/>
      <c r="CG42" s="41" t="n">
        <v>500</v>
      </c>
      <c r="CH42" s="51" t="n">
        <v>0</v>
      </c>
      <c r="CI42" s="44" t="n">
        <v>0</v>
      </c>
      <c r="CJ42" s="35" t="n"/>
      <c r="CK42" s="45" t="n">
        <v>500</v>
      </c>
      <c r="CL42" s="51" t="n">
        <v>0</v>
      </c>
      <c r="CM42" s="44" t="n">
        <v>0</v>
      </c>
      <c r="CN42" s="35" t="n"/>
      <c r="CO42" s="45" t="n">
        <v>500</v>
      </c>
      <c r="CP42" s="51" t="n">
        <v>0</v>
      </c>
      <c r="CQ42" s="44" t="n">
        <v>0</v>
      </c>
      <c r="CR42" s="35" t="n"/>
      <c r="CS42" s="45" t="n">
        <v>500</v>
      </c>
      <c r="CT42" s="51" t="n">
        <v>0</v>
      </c>
      <c r="CU42" s="44" t="n">
        <v>0</v>
      </c>
      <c r="CV42" s="35" t="n"/>
      <c r="CW42" s="45" t="n">
        <v>500</v>
      </c>
      <c r="CX42" s="47" t="n">
        <v>0</v>
      </c>
      <c r="CY42" s="44" t="n">
        <v>0</v>
      </c>
      <c r="CZ42" s="35" t="n"/>
      <c r="DA42" s="45" t="n">
        <v>500</v>
      </c>
      <c r="DB42" s="47" t="n">
        <v>0</v>
      </c>
      <c r="DC42" s="155" t="n">
        <v>0</v>
      </c>
      <c r="DD42" s="35" t="n"/>
      <c r="DE42" s="45" t="n">
        <v>500</v>
      </c>
      <c r="DF42" s="47" t="n">
        <v>0</v>
      </c>
      <c r="DG42" s="380" t="n">
        <v>328</v>
      </c>
      <c r="DH42" s="35" t="n"/>
      <c r="DI42" s="379">
        <f>BM42+BQ42+BU42+BY42+CC42+CG42+CK42+CO42+CS42+CW42+DA42+DE42</f>
        <v/>
      </c>
      <c r="DJ42" s="387">
        <f>DI42*$I42</f>
        <v/>
      </c>
      <c r="DK42" s="82" t="n">
        <v>0</v>
      </c>
      <c r="DL42" s="35" t="n">
        <v>336</v>
      </c>
      <c r="DM42" s="44" t="n">
        <v>224</v>
      </c>
      <c r="DN42" s="35" t="n"/>
      <c r="DO42" s="82" t="n">
        <v>0</v>
      </c>
      <c r="DP42" s="282" t="n">
        <v>224</v>
      </c>
      <c r="DQ42" s="44" t="n">
        <v>0</v>
      </c>
      <c r="DR42" s="35" t="n"/>
      <c r="DS42" s="82" t="n">
        <v>0</v>
      </c>
      <c r="DT42" s="282" t="n">
        <v>224</v>
      </c>
      <c r="DU42" s="44" t="n">
        <v>224</v>
      </c>
      <c r="DV42" s="35" t="n"/>
      <c r="DW42" s="82" t="n">
        <v>0</v>
      </c>
      <c r="DX42" s="35" t="n">
        <v>224</v>
      </c>
      <c r="DY42" s="44" t="n">
        <v>88</v>
      </c>
      <c r="DZ42" s="36" t="n"/>
      <c r="EA42" s="82" t="n">
        <v>0</v>
      </c>
      <c r="EB42" s="281" t="n">
        <v>224</v>
      </c>
      <c r="EC42" s="44" t="n">
        <v>136</v>
      </c>
      <c r="ED42" s="36" t="n"/>
      <c r="EE42" s="82" t="n">
        <v>500</v>
      </c>
      <c r="EF42" s="35" t="n">
        <v>224</v>
      </c>
      <c r="EG42" s="44" t="n">
        <v>0</v>
      </c>
      <c r="EH42" s="35" t="n"/>
      <c r="EI42" s="82" t="n">
        <v>500</v>
      </c>
      <c r="EJ42" s="135" t="n">
        <v>224</v>
      </c>
      <c r="EK42" s="44" t="n">
        <v>0</v>
      </c>
      <c r="EL42" s="35" t="n"/>
      <c r="EM42" s="82" t="n">
        <v>500</v>
      </c>
      <c r="EN42" s="281" t="n">
        <v>224</v>
      </c>
      <c r="EO42" s="44" t="n">
        <v>0</v>
      </c>
      <c r="EP42" s="35" t="n"/>
      <c r="EQ42" s="82" t="n">
        <v>500</v>
      </c>
      <c r="ER42" s="290" t="n">
        <v>224</v>
      </c>
      <c r="ES42" s="44" t="n">
        <v>0</v>
      </c>
      <c r="ET42" s="35" t="n"/>
      <c r="EU42" s="82" t="n">
        <v>500</v>
      </c>
      <c r="EV42" s="290" t="n">
        <v>224</v>
      </c>
      <c r="EW42" s="44" t="n">
        <v>0</v>
      </c>
      <c r="EX42" s="35" t="n"/>
      <c r="EY42" s="82" t="n">
        <v>500</v>
      </c>
      <c r="EZ42" s="291" t="n">
        <v>224</v>
      </c>
      <c r="FA42" s="288" t="n">
        <v>0</v>
      </c>
      <c r="FB42" s="35" t="n"/>
      <c r="FC42" s="82" t="n">
        <v>500</v>
      </c>
      <c r="FD42" s="292" t="n">
        <v>224</v>
      </c>
      <c r="FE42" s="380" t="n">
        <v>0</v>
      </c>
      <c r="FF42" s="35" t="n"/>
      <c r="FG42" s="379">
        <f>DK42+DO42+DS42+DW42+EA42+EE42+EI42+EM42+EQ42+EU42+EY42+FC42</f>
        <v/>
      </c>
      <c r="FH42" s="387">
        <f>FG42*$I42</f>
        <v/>
      </c>
      <c r="FI42" s="160" t="n">
        <v>500</v>
      </c>
      <c r="FJ42" s="169" t="n"/>
      <c r="FK42" s="44" t="n">
        <v>0</v>
      </c>
      <c r="FL42" s="35" t="n"/>
      <c r="FM42" s="51" t="n">
        <v>500</v>
      </c>
      <c r="FN42" s="169" t="n"/>
      <c r="FO42" s="44" t="n">
        <v>0</v>
      </c>
      <c r="FP42" s="35" t="n"/>
      <c r="FQ42" s="51" t="n">
        <v>500</v>
      </c>
      <c r="FR42" s="169" t="n"/>
      <c r="FS42" s="44" t="n">
        <v>0</v>
      </c>
      <c r="FT42" s="35" t="n"/>
      <c r="FU42" s="51" t="n">
        <v>500</v>
      </c>
      <c r="FV42" s="35" t="n"/>
      <c r="FW42" s="44" t="n">
        <v>0</v>
      </c>
      <c r="FX42" s="35" t="n"/>
      <c r="FY42" s="51" t="n">
        <v>500</v>
      </c>
      <c r="FZ42" s="35" t="n"/>
      <c r="GA42" s="44" t="n">
        <v>0</v>
      </c>
      <c r="GB42" s="35" t="n"/>
      <c r="GC42" s="51" t="n">
        <v>1000</v>
      </c>
      <c r="GD42" s="51" t="n"/>
      <c r="GE42" s="44" t="n">
        <v>0</v>
      </c>
      <c r="GF42" s="35" t="n"/>
      <c r="GG42" s="51" t="n">
        <v>1000</v>
      </c>
      <c r="GH42" s="51" t="n"/>
      <c r="GI42" s="44" t="n">
        <v>0</v>
      </c>
      <c r="GJ42" s="35" t="n"/>
      <c r="GK42" s="51" t="n">
        <v>1200</v>
      </c>
      <c r="GL42" s="47" t="n"/>
      <c r="GM42" s="44" t="n">
        <v>0</v>
      </c>
      <c r="GN42" s="35" t="n"/>
      <c r="GO42" s="51" t="n">
        <v>1200</v>
      </c>
      <c r="GP42" s="47" t="n"/>
      <c r="GQ42" s="44" t="n">
        <v>0</v>
      </c>
      <c r="GR42" s="35" t="n"/>
      <c r="GS42" s="51" t="n">
        <v>1200</v>
      </c>
      <c r="GT42" s="47" t="n"/>
      <c r="GU42" s="44" t="n">
        <v>0</v>
      </c>
      <c r="GV42" s="35" t="n"/>
      <c r="GW42" s="51" t="n">
        <v>1200</v>
      </c>
      <c r="GX42" s="97" t="n"/>
      <c r="GY42" s="155" t="n">
        <v>0</v>
      </c>
      <c r="GZ42" s="35" t="n"/>
      <c r="HA42" s="51" t="n">
        <v>1200</v>
      </c>
      <c r="HB42" s="97" t="n"/>
      <c r="HC42" s="380" t="n">
        <v>0</v>
      </c>
      <c r="HD42" s="35" t="n"/>
      <c r="HE42" s="379">
        <f>FI42+FM42+FQ42+FU42+FY42+GC42+GG42+GK42+GO42+GS42+GW42+HA42</f>
        <v/>
      </c>
      <c r="HF42" s="387">
        <f>HE42*$I42</f>
        <v/>
      </c>
      <c r="HG42" s="51" t="n">
        <v>1200</v>
      </c>
      <c r="HH42" s="169" t="n"/>
      <c r="HI42" s="44" t="n">
        <v>0</v>
      </c>
      <c r="HJ42" s="35" t="n"/>
      <c r="HK42" s="51" t="n">
        <v>1800</v>
      </c>
      <c r="HL42" s="169" t="n"/>
      <c r="HM42" s="44" t="n">
        <v>0</v>
      </c>
      <c r="HN42" s="35" t="n"/>
      <c r="HO42" s="51" t="n">
        <v>2400</v>
      </c>
      <c r="HP42" s="169" t="n"/>
      <c r="HQ42" s="44" t="n">
        <v>0</v>
      </c>
      <c r="HR42" s="35" t="n"/>
      <c r="HS42" s="51" t="n">
        <v>2400</v>
      </c>
      <c r="HT42" s="35" t="n"/>
      <c r="HU42" s="44" t="n">
        <v>0</v>
      </c>
      <c r="HV42" s="35" t="n"/>
      <c r="HW42" s="51" t="n">
        <v>2400</v>
      </c>
      <c r="HX42" s="35" t="n"/>
      <c r="HY42" s="44" t="n">
        <v>0</v>
      </c>
      <c r="HZ42" s="35" t="n"/>
      <c r="IA42" s="51" t="n">
        <v>2400</v>
      </c>
      <c r="IB42" s="51" t="n"/>
      <c r="IC42" s="44" t="n">
        <v>0</v>
      </c>
      <c r="ID42" s="35" t="n"/>
      <c r="IE42" s="51" t="n">
        <v>2400</v>
      </c>
      <c r="IF42" s="51" t="n"/>
      <c r="IG42" s="44" t="n">
        <v>0</v>
      </c>
      <c r="IH42" s="35" t="n"/>
      <c r="II42" s="51" t="n">
        <v>2400</v>
      </c>
      <c r="IJ42" s="47" t="n"/>
      <c r="IK42" s="44" t="n">
        <v>0</v>
      </c>
      <c r="IL42" s="35" t="n"/>
      <c r="IM42" s="51" t="n">
        <v>2400</v>
      </c>
      <c r="IN42" s="47" t="n"/>
      <c r="IO42" s="44" t="n">
        <v>0</v>
      </c>
      <c r="IP42" s="35" t="n"/>
      <c r="IQ42" s="51" t="n">
        <v>2400</v>
      </c>
      <c r="IR42" s="47" t="n"/>
      <c r="IS42" s="44" t="n">
        <v>0</v>
      </c>
      <c r="IT42" s="35" t="n"/>
      <c r="IU42" s="51" t="n">
        <v>2400</v>
      </c>
      <c r="IV42" s="97" t="n"/>
      <c r="IW42" s="155" t="n">
        <v>0</v>
      </c>
      <c r="IX42" s="35" t="n"/>
      <c r="IY42" s="51" t="n">
        <v>2400</v>
      </c>
      <c r="IZ42" s="97" t="n"/>
      <c r="JA42" s="380" t="n">
        <v>0</v>
      </c>
      <c r="JB42" s="35" t="n"/>
      <c r="JC42" s="381">
        <f>HG42+HK42+HO42+HS42+HW42+IA42+IE42+II42+IM42+IQ42+IU42+IY42</f>
        <v/>
      </c>
      <c r="JD42" s="386">
        <f>JC42*$I42</f>
        <v/>
      </c>
    </row>
    <row r="43" ht="13.5" customHeight="1">
      <c r="A43" s="382" t="n"/>
      <c r="B43" s="382" t="n"/>
      <c r="C43" s="382" t="n"/>
      <c r="D43" s="382" t="n"/>
      <c r="E43" s="166" t="n">
        <v>2</v>
      </c>
      <c r="F43" s="166" t="n">
        <v>1</v>
      </c>
      <c r="G43" s="137" t="n">
        <v>6402250570</v>
      </c>
      <c r="H43" s="276" t="inlineStr">
        <is>
          <t xml:space="preserve">6402250560 AA Тормоз дисковый ( левый ) </t>
        </is>
      </c>
      <c r="I43" s="167" t="n">
        <v>1278</v>
      </c>
      <c r="J43" s="164" t="n">
        <v>1278</v>
      </c>
      <c r="K43" s="164">
        <f>1749.69</f>
        <v/>
      </c>
      <c r="L43" s="164">
        <f>1749.69</f>
        <v/>
      </c>
      <c r="M43" s="164" t="n"/>
      <c r="N43" s="164" t="n"/>
      <c r="O43" s="30" t="n"/>
      <c r="P43" s="31" t="n"/>
      <c r="Q43" s="32" t="n"/>
      <c r="R43" s="31" t="n"/>
      <c r="S43" s="30" t="n"/>
      <c r="T43" s="31" t="n"/>
      <c r="U43" s="32" t="n"/>
      <c r="V43" s="31" t="n"/>
      <c r="W43" s="30" t="n"/>
      <c r="X43" s="31" t="n"/>
      <c r="Y43" s="32" t="n"/>
      <c r="Z43" s="31" t="n"/>
      <c r="AA43" s="30" t="n"/>
      <c r="AB43" s="31" t="n"/>
      <c r="AC43" s="32" t="n">
        <v>0</v>
      </c>
      <c r="AD43" s="31" t="n"/>
      <c r="AE43" s="30" t="n"/>
      <c r="AF43" s="31" t="n"/>
      <c r="AG43" s="32" t="n">
        <v>0</v>
      </c>
      <c r="AH43" s="31" t="n"/>
      <c r="AI43" s="30" t="n"/>
      <c r="AJ43" s="35" t="n">
        <v>0</v>
      </c>
      <c r="AK43" s="32" t="n">
        <v>0</v>
      </c>
      <c r="AL43" s="31" t="n"/>
      <c r="AM43" s="30" t="n"/>
      <c r="AN43" s="47" t="n">
        <v>0</v>
      </c>
      <c r="AO43" s="32" t="n"/>
      <c r="AP43" s="31" t="inlineStr">
        <is>
          <t>Не успеем запустить линию</t>
        </is>
      </c>
      <c r="AQ43" s="30" t="n"/>
      <c r="AR43" s="37" t="n">
        <v>30</v>
      </c>
      <c r="AS43" s="32" t="n">
        <v>30</v>
      </c>
      <c r="AT43" s="31" t="n"/>
      <c r="AU43" s="30" t="n"/>
      <c r="AV43" s="37" t="n">
        <v>200</v>
      </c>
      <c r="AW43" s="32" t="n">
        <v>0</v>
      </c>
      <c r="AX43" s="31" t="n"/>
      <c r="AY43" s="30" t="n"/>
      <c r="AZ43" s="37" t="n">
        <v>300</v>
      </c>
      <c r="BA43" s="32" t="n">
        <v>0</v>
      </c>
      <c r="BB43" s="34" t="inlineStr">
        <is>
          <t>Данные приближенные, взяты из протокола испытаний не подтвержденном на МЗ ТОНАР</t>
        </is>
      </c>
      <c r="BC43" s="30" t="n"/>
      <c r="BD43" s="168" t="n">
        <v>0</v>
      </c>
      <c r="BE43" s="155" t="n">
        <v>0</v>
      </c>
      <c r="BF43" s="34" t="inlineStr">
        <is>
          <t>Данные приближенные, взяты из протокола испытаний не подтвержденном на МЗ ТОНАР</t>
        </is>
      </c>
      <c r="BG43" s="30" t="n"/>
      <c r="BH43" s="168" t="n">
        <v>0</v>
      </c>
      <c r="BI43" s="136" t="n">
        <v>0</v>
      </c>
      <c r="BJ43" s="34" t="inlineStr">
        <is>
          <t>Данные приближенные, взяты из протокола испытаний не подтвержденном на МЗ ТОНАР</t>
        </is>
      </c>
      <c r="BK43" s="381">
        <f>O43+S43+W43+AA43+AE43+AI43+AM43+AQ43+AU43+AY43+BC43+BG43</f>
        <v/>
      </c>
      <c r="BL43" s="386">
        <f>BK43*$I43</f>
        <v/>
      </c>
      <c r="BM43" s="45" t="n">
        <v>48</v>
      </c>
      <c r="BN43" s="169" t="n">
        <v>0</v>
      </c>
      <c r="BO43" s="44" t="n">
        <v>0</v>
      </c>
      <c r="BP43" s="35" t="n"/>
      <c r="BQ43" s="45" t="n">
        <v>144</v>
      </c>
      <c r="BR43" s="169" t="n">
        <v>0</v>
      </c>
      <c r="BS43" s="32" t="n">
        <v>0</v>
      </c>
      <c r="BT43" s="31" t="n"/>
      <c r="BU43" s="45" t="n">
        <v>144</v>
      </c>
      <c r="BV43" s="169" t="n">
        <v>0</v>
      </c>
      <c r="BW43" s="44" t="n">
        <v>0</v>
      </c>
      <c r="BX43" s="35" t="n"/>
      <c r="BY43" s="45" t="n">
        <v>480</v>
      </c>
      <c r="BZ43" s="35" t="n">
        <v>0</v>
      </c>
      <c r="CA43" s="44" t="n">
        <v>0</v>
      </c>
      <c r="CB43" s="35" t="n"/>
      <c r="CC43" s="45" t="n">
        <v>500</v>
      </c>
      <c r="CD43" s="35" t="n">
        <v>0</v>
      </c>
      <c r="CE43" s="32" t="n">
        <v>0</v>
      </c>
      <c r="CF43" s="31" t="n"/>
      <c r="CG43" s="41" t="n">
        <v>500</v>
      </c>
      <c r="CH43" s="51" t="n">
        <v>0</v>
      </c>
      <c r="CI43" s="44" t="n">
        <v>0</v>
      </c>
      <c r="CJ43" s="35" t="n"/>
      <c r="CK43" s="45" t="n">
        <v>500</v>
      </c>
      <c r="CL43" s="51" t="n">
        <v>0</v>
      </c>
      <c r="CM43" s="44" t="n">
        <v>0</v>
      </c>
      <c r="CN43" s="35" t="n"/>
      <c r="CO43" s="45" t="n">
        <v>500</v>
      </c>
      <c r="CP43" s="51" t="n">
        <v>0</v>
      </c>
      <c r="CQ43" s="44" t="n">
        <v>0</v>
      </c>
      <c r="CR43" s="35" t="n"/>
      <c r="CS43" s="45" t="n">
        <v>500</v>
      </c>
      <c r="CT43" s="51" t="n">
        <v>0</v>
      </c>
      <c r="CU43" s="44" t="n">
        <v>0</v>
      </c>
      <c r="CV43" s="35" t="n"/>
      <c r="CW43" s="45" t="n">
        <v>500</v>
      </c>
      <c r="CX43" s="47" t="n">
        <v>0</v>
      </c>
      <c r="CY43" s="44" t="n">
        <v>0</v>
      </c>
      <c r="CZ43" s="35" t="n"/>
      <c r="DA43" s="45" t="n">
        <v>500</v>
      </c>
      <c r="DB43" s="47" t="n">
        <v>0</v>
      </c>
      <c r="DC43" s="155" t="n">
        <v>0</v>
      </c>
      <c r="DD43" s="35" t="n"/>
      <c r="DE43" s="45" t="n">
        <v>500</v>
      </c>
      <c r="DF43" s="47" t="n">
        <v>0</v>
      </c>
      <c r="DG43" s="380" t="n">
        <v>328</v>
      </c>
      <c r="DH43" s="35" t="n"/>
      <c r="DI43" s="379">
        <f>BM43+BQ43+BU43+BY43+CC43+CG43+CK43+CO43+CS43+CW43+DA43+DE43</f>
        <v/>
      </c>
      <c r="DJ43" s="387">
        <f>DI43*$I43</f>
        <v/>
      </c>
      <c r="DK43" s="82" t="n">
        <v>0</v>
      </c>
      <c r="DL43" s="35" t="n">
        <v>336</v>
      </c>
      <c r="DM43" s="44" t="n">
        <v>224</v>
      </c>
      <c r="DN43" s="35" t="n"/>
      <c r="DO43" s="82" t="n">
        <v>0</v>
      </c>
      <c r="DP43" s="282" t="n">
        <v>224</v>
      </c>
      <c r="DQ43" s="44" t="n">
        <v>0</v>
      </c>
      <c r="DR43" s="35" t="n"/>
      <c r="DS43" s="82" t="n">
        <v>0</v>
      </c>
      <c r="DT43" s="282" t="n">
        <v>224</v>
      </c>
      <c r="DU43" s="44" t="n">
        <v>224</v>
      </c>
      <c r="DV43" s="35" t="n"/>
      <c r="DW43" s="82" t="n">
        <v>0</v>
      </c>
      <c r="DX43" s="35" t="n">
        <v>224</v>
      </c>
      <c r="DY43" s="44" t="n">
        <v>88</v>
      </c>
      <c r="DZ43" s="36" t="n"/>
      <c r="EA43" s="82" t="n">
        <v>0</v>
      </c>
      <c r="EB43" s="281" t="n">
        <v>224</v>
      </c>
      <c r="EC43" s="44" t="n">
        <v>136</v>
      </c>
      <c r="ED43" s="36" t="n"/>
      <c r="EE43" s="82" t="n">
        <v>500</v>
      </c>
      <c r="EF43" s="35" t="n">
        <v>224</v>
      </c>
      <c r="EG43" s="44" t="n">
        <v>0</v>
      </c>
      <c r="EH43" s="35" t="n"/>
      <c r="EI43" s="82" t="n">
        <v>500</v>
      </c>
      <c r="EJ43" s="135" t="n">
        <v>224</v>
      </c>
      <c r="EK43" s="44" t="n">
        <v>0</v>
      </c>
      <c r="EL43" s="35" t="n"/>
      <c r="EM43" s="82" t="n">
        <v>500</v>
      </c>
      <c r="EN43" s="281" t="n">
        <v>224</v>
      </c>
      <c r="EO43" s="44" t="n">
        <v>0</v>
      </c>
      <c r="EP43" s="35" t="n"/>
      <c r="EQ43" s="82" t="n">
        <v>500</v>
      </c>
      <c r="ER43" s="290" t="n">
        <v>224</v>
      </c>
      <c r="ES43" s="44" t="n">
        <v>0</v>
      </c>
      <c r="ET43" s="35" t="n"/>
      <c r="EU43" s="82" t="n">
        <v>500</v>
      </c>
      <c r="EV43" s="290" t="n">
        <v>224</v>
      </c>
      <c r="EW43" s="44" t="n">
        <v>0</v>
      </c>
      <c r="EX43" s="35" t="n"/>
      <c r="EY43" s="82" t="n">
        <v>500</v>
      </c>
      <c r="EZ43" s="291" t="n">
        <v>224</v>
      </c>
      <c r="FA43" s="288" t="n">
        <v>0</v>
      </c>
      <c r="FB43" s="35" t="n"/>
      <c r="FC43" s="82" t="n">
        <v>500</v>
      </c>
      <c r="FD43" s="292" t="n">
        <v>224</v>
      </c>
      <c r="FE43" s="380" t="n">
        <v>0</v>
      </c>
      <c r="FF43" s="35" t="n"/>
      <c r="FG43" s="379">
        <f>DK43+DO43+DS43+DW43+EA43+EE43+EI43+EM43+EQ43+EU43+EY43+FC43</f>
        <v/>
      </c>
      <c r="FH43" s="387">
        <f>FG43*$I43</f>
        <v/>
      </c>
      <c r="FI43" s="160" t="n">
        <v>500</v>
      </c>
      <c r="FJ43" s="169" t="n"/>
      <c r="FK43" s="44" t="n">
        <v>0</v>
      </c>
      <c r="FL43" s="35" t="n"/>
      <c r="FM43" s="51" t="n">
        <v>500</v>
      </c>
      <c r="FN43" s="169" t="n"/>
      <c r="FO43" s="44" t="n">
        <v>0</v>
      </c>
      <c r="FP43" s="35" t="n"/>
      <c r="FQ43" s="51" t="n">
        <v>500</v>
      </c>
      <c r="FR43" s="169" t="n"/>
      <c r="FS43" s="44" t="n">
        <v>0</v>
      </c>
      <c r="FT43" s="35" t="n"/>
      <c r="FU43" s="51" t="n">
        <v>500</v>
      </c>
      <c r="FV43" s="35" t="n"/>
      <c r="FW43" s="44" t="n">
        <v>0</v>
      </c>
      <c r="FX43" s="35" t="n"/>
      <c r="FY43" s="51" t="n">
        <v>500</v>
      </c>
      <c r="FZ43" s="35" t="n"/>
      <c r="GA43" s="44" t="n">
        <v>0</v>
      </c>
      <c r="GB43" s="35" t="n"/>
      <c r="GC43" s="51" t="n">
        <v>1000</v>
      </c>
      <c r="GD43" s="51" t="n"/>
      <c r="GE43" s="44" t="n">
        <v>0</v>
      </c>
      <c r="GF43" s="35" t="n"/>
      <c r="GG43" s="51" t="n">
        <v>1000</v>
      </c>
      <c r="GH43" s="51" t="n"/>
      <c r="GI43" s="44" t="n">
        <v>0</v>
      </c>
      <c r="GJ43" s="35" t="n"/>
      <c r="GK43" s="51" t="n">
        <v>1200</v>
      </c>
      <c r="GL43" s="47" t="n"/>
      <c r="GM43" s="44" t="n">
        <v>0</v>
      </c>
      <c r="GN43" s="35" t="n"/>
      <c r="GO43" s="51" t="n">
        <v>1200</v>
      </c>
      <c r="GP43" s="47" t="n"/>
      <c r="GQ43" s="44" t="n">
        <v>0</v>
      </c>
      <c r="GR43" s="35" t="n"/>
      <c r="GS43" s="51" t="n">
        <v>1200</v>
      </c>
      <c r="GT43" s="47" t="n"/>
      <c r="GU43" s="44" t="n">
        <v>0</v>
      </c>
      <c r="GV43" s="35" t="n"/>
      <c r="GW43" s="51" t="n">
        <v>1200</v>
      </c>
      <c r="GX43" s="97" t="n"/>
      <c r="GY43" s="155" t="n">
        <v>0</v>
      </c>
      <c r="GZ43" s="35" t="n"/>
      <c r="HA43" s="51" t="n">
        <v>1200</v>
      </c>
      <c r="HB43" s="97" t="n"/>
      <c r="HC43" s="380" t="n">
        <v>0</v>
      </c>
      <c r="HD43" s="35" t="n"/>
      <c r="HE43" s="379">
        <f>FI43+FM43+FQ43+FU43+FY43+GC43+GG43+GK43+GO43+GS43+GW43+HA43</f>
        <v/>
      </c>
      <c r="HF43" s="387">
        <f>HE43*$I43</f>
        <v/>
      </c>
      <c r="HG43" s="51" t="n">
        <v>1200</v>
      </c>
      <c r="HH43" s="169" t="n"/>
      <c r="HI43" s="44" t="n">
        <v>0</v>
      </c>
      <c r="HJ43" s="35" t="n"/>
      <c r="HK43" s="51" t="n">
        <v>1800</v>
      </c>
      <c r="HL43" s="169" t="n"/>
      <c r="HM43" s="44" t="n">
        <v>0</v>
      </c>
      <c r="HN43" s="35" t="n"/>
      <c r="HO43" s="51" t="n">
        <v>2400</v>
      </c>
      <c r="HP43" s="169" t="n"/>
      <c r="HQ43" s="44" t="n">
        <v>0</v>
      </c>
      <c r="HR43" s="35" t="n"/>
      <c r="HS43" s="51" t="n">
        <v>2400</v>
      </c>
      <c r="HT43" s="35" t="n"/>
      <c r="HU43" s="44" t="n">
        <v>0</v>
      </c>
      <c r="HV43" s="35" t="n"/>
      <c r="HW43" s="51" t="n">
        <v>2400</v>
      </c>
      <c r="HX43" s="35" t="n"/>
      <c r="HY43" s="44" t="n">
        <v>0</v>
      </c>
      <c r="HZ43" s="35" t="n"/>
      <c r="IA43" s="51" t="n">
        <v>2400</v>
      </c>
      <c r="IB43" s="51" t="n"/>
      <c r="IC43" s="44" t="n">
        <v>0</v>
      </c>
      <c r="ID43" s="35" t="n"/>
      <c r="IE43" s="51" t="n">
        <v>2400</v>
      </c>
      <c r="IF43" s="51" t="n"/>
      <c r="IG43" s="44" t="n">
        <v>0</v>
      </c>
      <c r="IH43" s="35" t="n"/>
      <c r="II43" s="51" t="n">
        <v>2400</v>
      </c>
      <c r="IJ43" s="47" t="n"/>
      <c r="IK43" s="44" t="n">
        <v>0</v>
      </c>
      <c r="IL43" s="35" t="n"/>
      <c r="IM43" s="51" t="n">
        <v>2400</v>
      </c>
      <c r="IN43" s="47" t="n"/>
      <c r="IO43" s="44" t="n">
        <v>0</v>
      </c>
      <c r="IP43" s="35" t="n"/>
      <c r="IQ43" s="51" t="n">
        <v>2400</v>
      </c>
      <c r="IR43" s="47" t="n"/>
      <c r="IS43" s="44" t="n">
        <v>0</v>
      </c>
      <c r="IT43" s="35" t="n"/>
      <c r="IU43" s="51" t="n">
        <v>2400</v>
      </c>
      <c r="IV43" s="97" t="n"/>
      <c r="IW43" s="155" t="n">
        <v>0</v>
      </c>
      <c r="IX43" s="35" t="n"/>
      <c r="IY43" s="51" t="n">
        <v>2400</v>
      </c>
      <c r="IZ43" s="97" t="n"/>
      <c r="JA43" s="380" t="n">
        <v>0</v>
      </c>
      <c r="JB43" s="35" t="n"/>
      <c r="JC43" s="381">
        <f>HG43+HK43+HO43+HS43+HW43+IA43+IE43+II43+IM43+IQ43+IU43+IY43</f>
        <v/>
      </c>
      <c r="JD43" s="386">
        <f>JC43*$I43</f>
        <v/>
      </c>
    </row>
    <row r="44" ht="13.5" customHeight="1">
      <c r="A44" s="382" t="n"/>
      <c r="B44" s="382" t="n"/>
      <c r="C44" s="382" t="n"/>
      <c r="D44" s="382" t="n"/>
      <c r="E44" s="166" t="n">
        <v>3</v>
      </c>
      <c r="F44" s="166" t="n">
        <v>1</v>
      </c>
      <c r="G44" s="137" t="n">
        <v>9522010010</v>
      </c>
      <c r="H44" s="138" t="inlineStr">
        <is>
          <t xml:space="preserve">Соединительная головка + маг. Фильтр </t>
        </is>
      </c>
      <c r="I44" s="167" t="n">
        <v>36.15</v>
      </c>
      <c r="J44" s="164" t="n">
        <v>36.15</v>
      </c>
      <c r="K44" s="299" t="n">
        <v>41.57</v>
      </c>
      <c r="L44" s="299" t="n">
        <v>41.57</v>
      </c>
      <c r="M44" s="164" t="n"/>
      <c r="N44" s="164" t="n"/>
      <c r="O44" s="30" t="n"/>
      <c r="P44" s="31" t="n"/>
      <c r="Q44" s="32" t="n"/>
      <c r="R44" s="31" t="n"/>
      <c r="S44" s="30" t="n"/>
      <c r="T44" s="31" t="n"/>
      <c r="U44" s="32" t="n"/>
      <c r="V44" s="31" t="n"/>
      <c r="W44" s="30" t="n"/>
      <c r="X44" s="31" t="n"/>
      <c r="Y44" s="32" t="n"/>
      <c r="Z44" s="31" t="n"/>
      <c r="AA44" s="30" t="n"/>
      <c r="AB44" s="31" t="n"/>
      <c r="AC44" s="32" t="n">
        <v>0</v>
      </c>
      <c r="AD44" s="31" t="n"/>
      <c r="AE44" s="30" t="n"/>
      <c r="AF44" s="31" t="n"/>
      <c r="AG44" s="32" t="n">
        <v>0</v>
      </c>
      <c r="AH44" s="31" t="n"/>
      <c r="AI44" s="30" t="n"/>
      <c r="AJ44" s="171" t="n">
        <v>1000</v>
      </c>
      <c r="AK44" s="32" t="n">
        <v>0</v>
      </c>
      <c r="AL44" s="31" t="n"/>
      <c r="AM44" s="30" t="n"/>
      <c r="AN44" s="171" t="n">
        <v>0</v>
      </c>
      <c r="AO44" s="32" t="n"/>
      <c r="AP44" s="31" t="inlineStr">
        <is>
          <t>Перенос на август заказа ввиду, наложения личной закупки продукции ТОНАРом</t>
        </is>
      </c>
      <c r="AQ44" s="30" t="n"/>
      <c r="AR44" s="172" t="n">
        <v>800</v>
      </c>
      <c r="AS44" s="32" t="n">
        <v>1000</v>
      </c>
      <c r="AT44" s="31" t="n"/>
      <c r="AU44" s="30" t="n"/>
      <c r="AV44" s="173" t="n">
        <v>0</v>
      </c>
      <c r="AW44" s="32" t="n">
        <v>0</v>
      </c>
      <c r="AX44" s="31" t="n"/>
      <c r="AY44" s="30" t="n"/>
      <c r="AZ44" s="173" t="n">
        <v>800</v>
      </c>
      <c r="BA44" s="32" t="n">
        <v>800</v>
      </c>
      <c r="BB44" s="34" t="n"/>
      <c r="BC44" s="30" t="n"/>
      <c r="BD44" s="169" t="n">
        <v>306</v>
      </c>
      <c r="BE44" s="155" t="n">
        <v>0</v>
      </c>
      <c r="BF44" s="34" t="n"/>
      <c r="BG44" s="30" t="n"/>
      <c r="BH44" s="168" t="n">
        <v>800</v>
      </c>
      <c r="BI44" s="136" t="n">
        <v>0</v>
      </c>
      <c r="BJ44" s="34" t="n"/>
      <c r="BK44" s="381">
        <f>O44+S44+W44+AA44+AE44+AI44+AM44+AQ44+AU44+AY44+BC44+BG44</f>
        <v/>
      </c>
      <c r="BL44" s="386">
        <f>BK44*$I44</f>
        <v/>
      </c>
      <c r="BM44" s="41" t="n">
        <v>0</v>
      </c>
      <c r="BN44" s="169" t="n">
        <v>0</v>
      </c>
      <c r="BO44" s="44" t="n">
        <v>800</v>
      </c>
      <c r="BP44" s="35" t="n"/>
      <c r="BQ44" s="45" t="n">
        <v>306</v>
      </c>
      <c r="BR44" s="169" t="n">
        <v>0</v>
      </c>
      <c r="BS44" s="32" t="n">
        <v>0</v>
      </c>
      <c r="BT44" s="37" t="n"/>
      <c r="BU44" s="45" t="n">
        <v>373</v>
      </c>
      <c r="BV44" s="174" t="n">
        <v>0</v>
      </c>
      <c r="BW44" s="44" t="n">
        <v>0</v>
      </c>
      <c r="BX44" s="35" t="n"/>
      <c r="BY44" s="45" t="n">
        <v>1095</v>
      </c>
      <c r="BZ44" s="35" t="n">
        <v>0</v>
      </c>
      <c r="CA44" s="44" t="n">
        <v>0</v>
      </c>
      <c r="CB44" s="35" t="n"/>
      <c r="CC44" s="45" t="n">
        <v>1013</v>
      </c>
      <c r="CD44" s="35" t="n">
        <v>0</v>
      </c>
      <c r="CE44" s="32" t="n">
        <v>0</v>
      </c>
      <c r="CF44" s="37" t="n"/>
      <c r="CG44" s="41" t="n">
        <v>1043</v>
      </c>
      <c r="CH44" s="175" t="n">
        <v>300</v>
      </c>
      <c r="CI44" s="44" t="n">
        <v>0</v>
      </c>
      <c r="CJ44" s="35" t="n"/>
      <c r="CK44" s="45" t="n">
        <v>1270</v>
      </c>
      <c r="CL44" s="176" t="n">
        <v>300</v>
      </c>
      <c r="CM44" s="44" t="n">
        <v>300</v>
      </c>
      <c r="CN44" s="35" t="n"/>
      <c r="CO44" s="45" t="n">
        <v>1273</v>
      </c>
      <c r="CP44" s="176" t="n">
        <v>300</v>
      </c>
      <c r="CQ44" s="44" t="n">
        <v>100</v>
      </c>
      <c r="CR44" s="35" t="n"/>
      <c r="CS44" s="45" t="n">
        <v>1260</v>
      </c>
      <c r="CT44" s="45" t="n">
        <v>200</v>
      </c>
      <c r="CU44" s="44" t="n">
        <v>300</v>
      </c>
      <c r="CV44" s="35" t="n"/>
      <c r="CW44" s="45" t="n">
        <v>1361</v>
      </c>
      <c r="CX44" s="177" t="n">
        <v>300</v>
      </c>
      <c r="CY44" s="44" t="n">
        <v>0</v>
      </c>
      <c r="CZ44" s="35" t="n"/>
      <c r="DA44" s="45" t="n">
        <v>1227</v>
      </c>
      <c r="DB44" s="177" t="n">
        <v>200</v>
      </c>
      <c r="DC44" s="155" t="n">
        <v>400</v>
      </c>
      <c r="DD44" s="35" t="n"/>
      <c r="DE44" s="45" t="n">
        <v>1385</v>
      </c>
      <c r="DF44" s="283" t="n">
        <v>300</v>
      </c>
      <c r="DG44" s="380" t="n">
        <v>242</v>
      </c>
      <c r="DH44" s="35" t="n"/>
      <c r="DI44" s="379">
        <f>BM44+BQ44+BU44+BY44+CC44+CG44+CK44+CO44+CS44+CW44+DA44+DE44</f>
        <v/>
      </c>
      <c r="DJ44" s="387">
        <f>DI44*$I44</f>
        <v/>
      </c>
      <c r="DK44" s="82" t="n">
        <v>300</v>
      </c>
      <c r="DL44" s="35" t="n">
        <v>200</v>
      </c>
      <c r="DM44" s="44" t="n">
        <v>200</v>
      </c>
      <c r="DN44" s="35" t="n"/>
      <c r="DO44" s="82" t="n">
        <v>300</v>
      </c>
      <c r="DP44" s="282" t="n">
        <v>150</v>
      </c>
      <c r="DQ44" s="44" t="n">
        <v>120</v>
      </c>
      <c r="DR44" s="35" t="n"/>
      <c r="DS44" s="82" t="n">
        <v>300</v>
      </c>
      <c r="DT44" s="306" t="n">
        <v>100</v>
      </c>
      <c r="DU44" s="44" t="n">
        <v>200</v>
      </c>
      <c r="DV44" s="35" t="n"/>
      <c r="DW44" s="82" t="n">
        <v>300</v>
      </c>
      <c r="DX44" s="35" t="n">
        <v>100</v>
      </c>
      <c r="DY44" s="44" t="n">
        <v>300</v>
      </c>
      <c r="DZ44" s="36" t="n"/>
      <c r="EA44" s="82" t="n">
        <v>300</v>
      </c>
      <c r="EB44" s="35" t="n">
        <v>200</v>
      </c>
      <c r="EC44" s="44" t="n">
        <v>200</v>
      </c>
      <c r="ED44" s="36" t="n"/>
      <c r="EE44" s="82" t="n">
        <v>500</v>
      </c>
      <c r="EF44" s="35" t="n">
        <v>250</v>
      </c>
      <c r="EG44" s="44" t="n">
        <v>0</v>
      </c>
      <c r="EH44" s="35" t="n"/>
      <c r="EI44" s="82" t="n">
        <v>500</v>
      </c>
      <c r="EJ44" s="35" t="n">
        <v>250</v>
      </c>
      <c r="EK44" s="44" t="n">
        <v>0</v>
      </c>
      <c r="EL44" s="35" t="n"/>
      <c r="EM44" s="82" t="n">
        <v>500</v>
      </c>
      <c r="EN44" s="281" t="n">
        <v>300</v>
      </c>
      <c r="EO44" s="44" t="n">
        <v>0</v>
      </c>
      <c r="EP44" s="35" t="n"/>
      <c r="EQ44" s="82" t="n">
        <v>500</v>
      </c>
      <c r="ER44" s="281" t="n">
        <v>300</v>
      </c>
      <c r="ES44" s="44" t="n">
        <v>0</v>
      </c>
      <c r="ET44" s="35" t="n"/>
      <c r="EU44" s="82" t="n">
        <v>500</v>
      </c>
      <c r="EV44" s="281" t="n">
        <v>300</v>
      </c>
      <c r="EW44" s="44" t="n">
        <v>0</v>
      </c>
      <c r="EX44" s="35" t="n"/>
      <c r="EY44" s="82" t="n">
        <v>500</v>
      </c>
      <c r="EZ44" s="281" t="n">
        <v>300</v>
      </c>
      <c r="FA44" s="288" t="n">
        <v>0</v>
      </c>
      <c r="FB44" s="35" t="n"/>
      <c r="FC44" s="82" t="n">
        <v>500</v>
      </c>
      <c r="FD44" s="281" t="n">
        <v>300</v>
      </c>
      <c r="FE44" s="380" t="n">
        <v>0</v>
      </c>
      <c r="FF44" s="35" t="n"/>
      <c r="FG44" s="379">
        <f>DK44+DO44+DS44+DW44+EA44+EE44+EI44+EM44+EQ44+EU44+EY44+FC44</f>
        <v/>
      </c>
      <c r="FH44" s="387">
        <f>FG44*$I44</f>
        <v/>
      </c>
      <c r="FI44" s="171" t="n">
        <v>500</v>
      </c>
      <c r="FJ44" s="169" t="n"/>
      <c r="FK44" s="44" t="n">
        <v>0</v>
      </c>
      <c r="FL44" s="35" t="n"/>
      <c r="FM44" s="51" t="n">
        <v>500</v>
      </c>
      <c r="FN44" s="169" t="n"/>
      <c r="FO44" s="44" t="n">
        <v>0</v>
      </c>
      <c r="FP44" s="35" t="n"/>
      <c r="FQ44" s="51" t="n">
        <v>500</v>
      </c>
      <c r="FR44" s="174" t="n"/>
      <c r="FS44" s="44" t="n">
        <v>0</v>
      </c>
      <c r="FT44" s="35" t="n"/>
      <c r="FU44" s="51" t="n">
        <v>500</v>
      </c>
      <c r="FV44" s="35" t="n"/>
      <c r="FW44" s="44" t="n">
        <v>0</v>
      </c>
      <c r="FX44" s="35" t="n"/>
      <c r="FY44" s="51" t="n">
        <v>500</v>
      </c>
      <c r="FZ44" s="35" t="n"/>
      <c r="GA44" s="44" t="n">
        <v>0</v>
      </c>
      <c r="GB44" s="35" t="n"/>
      <c r="GC44" s="51" t="n">
        <v>500</v>
      </c>
      <c r="GD44" s="45" t="n"/>
      <c r="GE44" s="44" t="n">
        <v>0</v>
      </c>
      <c r="GF44" s="35" t="n"/>
      <c r="GG44" s="51" t="n">
        <v>500</v>
      </c>
      <c r="GH44" s="45" t="n"/>
      <c r="GI44" s="44" t="n">
        <v>0</v>
      </c>
      <c r="GJ44" s="35" t="n"/>
      <c r="GK44" s="51" t="n">
        <v>600</v>
      </c>
      <c r="GL44" s="171" t="n"/>
      <c r="GM44" s="44" t="n">
        <v>0</v>
      </c>
      <c r="GN44" s="35" t="n"/>
      <c r="GO44" s="51" t="n">
        <v>600</v>
      </c>
      <c r="GP44" s="171" t="n"/>
      <c r="GQ44" s="44" t="n">
        <v>0</v>
      </c>
      <c r="GR44" s="35" t="n"/>
      <c r="GS44" s="51" t="n">
        <v>600</v>
      </c>
      <c r="GT44" s="171" t="n"/>
      <c r="GU44" s="44" t="n">
        <v>0</v>
      </c>
      <c r="GV44" s="35" t="n"/>
      <c r="GW44" s="51" t="n">
        <v>600</v>
      </c>
      <c r="GX44" s="171" t="n"/>
      <c r="GY44" s="155" t="n">
        <v>0</v>
      </c>
      <c r="GZ44" s="35" t="n"/>
      <c r="HA44" s="51" t="n">
        <v>600</v>
      </c>
      <c r="HB44" s="174" t="n"/>
      <c r="HC44" s="380" t="n">
        <v>0</v>
      </c>
      <c r="HD44" s="35" t="n"/>
      <c r="HE44" s="379">
        <f>FI44+FM44+FQ44+FU44+FY44+GC44+GG44+GK44+GO44+GS44+GW44+HA44</f>
        <v/>
      </c>
      <c r="HF44" s="387">
        <f>HE44*$I44</f>
        <v/>
      </c>
      <c r="HG44" s="51" t="n">
        <v>600</v>
      </c>
      <c r="HH44" s="169" t="n"/>
      <c r="HI44" s="44" t="n">
        <v>0</v>
      </c>
      <c r="HJ44" s="35" t="n"/>
      <c r="HK44" s="51" t="n">
        <v>600</v>
      </c>
      <c r="HL44" s="169" t="n"/>
      <c r="HM44" s="44" t="n">
        <v>0</v>
      </c>
      <c r="HN44" s="35" t="n"/>
      <c r="HO44" s="51" t="n">
        <v>800</v>
      </c>
      <c r="HP44" s="174" t="n"/>
      <c r="HQ44" s="44" t="n">
        <v>0</v>
      </c>
      <c r="HR44" s="35" t="n"/>
      <c r="HS44" s="51" t="n">
        <v>800</v>
      </c>
      <c r="HT44" s="35" t="n"/>
      <c r="HU44" s="44" t="n">
        <v>0</v>
      </c>
      <c r="HV44" s="35" t="n"/>
      <c r="HW44" s="51" t="n">
        <v>800</v>
      </c>
      <c r="HX44" s="35" t="n"/>
      <c r="HY44" s="44" t="n">
        <v>0</v>
      </c>
      <c r="HZ44" s="35" t="n"/>
      <c r="IA44" s="51" t="n">
        <v>800</v>
      </c>
      <c r="IB44" s="45" t="n"/>
      <c r="IC44" s="44" t="n">
        <v>0</v>
      </c>
      <c r="ID44" s="35" t="n"/>
      <c r="IE44" s="51" t="n">
        <v>800</v>
      </c>
      <c r="IF44" s="45" t="n"/>
      <c r="IG44" s="44" t="n">
        <v>0</v>
      </c>
      <c r="IH44" s="35" t="n"/>
      <c r="II44" s="51" t="n">
        <v>800</v>
      </c>
      <c r="IJ44" s="171" t="n"/>
      <c r="IK44" s="44" t="n">
        <v>0</v>
      </c>
      <c r="IL44" s="35" t="n"/>
      <c r="IM44" s="51" t="n">
        <v>800</v>
      </c>
      <c r="IN44" s="171" t="n"/>
      <c r="IO44" s="44" t="n">
        <v>0</v>
      </c>
      <c r="IP44" s="35" t="n"/>
      <c r="IQ44" s="51" t="n">
        <v>800</v>
      </c>
      <c r="IR44" s="171" t="n"/>
      <c r="IS44" s="44" t="n">
        <v>0</v>
      </c>
      <c r="IT44" s="35" t="n"/>
      <c r="IU44" s="51" t="n">
        <v>800</v>
      </c>
      <c r="IV44" s="171" t="n"/>
      <c r="IW44" s="155" t="n">
        <v>0</v>
      </c>
      <c r="IX44" s="35" t="n"/>
      <c r="IY44" s="51" t="n">
        <v>800</v>
      </c>
      <c r="IZ44" s="174" t="n"/>
      <c r="JA44" s="380" t="n">
        <v>0</v>
      </c>
      <c r="JB44" s="35" t="n"/>
      <c r="JC44" s="381">
        <f>HG44+HK44+HO44+HS44+HW44+IA44+IE44+II44+IM44+IQ44+IU44+IY44</f>
        <v/>
      </c>
      <c r="JD44" s="386">
        <f>JC44*$I44</f>
        <v/>
      </c>
    </row>
    <row r="45" ht="13.5" customHeight="1">
      <c r="A45" s="382" t="n"/>
      <c r="B45" s="382" t="n"/>
      <c r="C45" s="382" t="n"/>
      <c r="D45" s="382" t="n"/>
      <c r="E45" s="166" t="n">
        <v>4</v>
      </c>
      <c r="F45" s="166" t="n">
        <v>1</v>
      </c>
      <c r="G45" s="137" t="n">
        <v>9522010020</v>
      </c>
      <c r="H45" s="138" t="inlineStr">
        <is>
          <t xml:space="preserve">Соединительная головка + маг. Фильтр </t>
        </is>
      </c>
      <c r="I45" s="167" t="n">
        <v>36.15</v>
      </c>
      <c r="J45" s="164" t="n">
        <v>36.15</v>
      </c>
      <c r="K45" s="299" t="n">
        <v>41.57</v>
      </c>
      <c r="L45" s="299" t="n">
        <v>41.57</v>
      </c>
      <c r="M45" s="164" t="n"/>
      <c r="N45" s="164" t="n"/>
      <c r="O45" s="30" t="n"/>
      <c r="P45" s="31" t="n"/>
      <c r="Q45" s="32" t="n"/>
      <c r="R45" s="31" t="n"/>
      <c r="S45" s="30" t="n"/>
      <c r="T45" s="31" t="n"/>
      <c r="U45" s="32" t="n"/>
      <c r="V45" s="31" t="n"/>
      <c r="W45" s="30" t="n"/>
      <c r="X45" s="31" t="n"/>
      <c r="Y45" s="32" t="n"/>
      <c r="Z45" s="31" t="n"/>
      <c r="AA45" s="30" t="n"/>
      <c r="AB45" s="31" t="n"/>
      <c r="AC45" s="32" t="n">
        <v>0</v>
      </c>
      <c r="AD45" s="31" t="n"/>
      <c r="AE45" s="30" t="n"/>
      <c r="AF45" s="31" t="n"/>
      <c r="AG45" s="32" t="n">
        <v>0</v>
      </c>
      <c r="AH45" s="31" t="n"/>
      <c r="AI45" s="30" t="n"/>
      <c r="AJ45" s="171" t="n">
        <v>1000</v>
      </c>
      <c r="AK45" s="32" t="n">
        <v>0</v>
      </c>
      <c r="AL45" s="31" t="n"/>
      <c r="AM45" s="30" t="n"/>
      <c r="AN45" s="171" t="n">
        <v>0</v>
      </c>
      <c r="AO45" s="32" t="n"/>
      <c r="AP45" s="31" t="inlineStr">
        <is>
          <t>Перенос на август заказа ввиду, наложения личной закупки продукции ТОНАРом</t>
        </is>
      </c>
      <c r="AQ45" s="30" t="n"/>
      <c r="AR45" s="172" t="n">
        <v>800</v>
      </c>
      <c r="AS45" s="32" t="n">
        <v>1000</v>
      </c>
      <c r="AT45" s="31" t="n"/>
      <c r="AU45" s="30" t="n"/>
      <c r="AV45" s="173" t="n">
        <v>0</v>
      </c>
      <c r="AW45" s="32" t="n">
        <v>0</v>
      </c>
      <c r="AX45" s="31" t="n"/>
      <c r="AY45" s="30" t="n"/>
      <c r="AZ45" s="173" t="n">
        <v>800</v>
      </c>
      <c r="BA45" s="32" t="n">
        <v>800</v>
      </c>
      <c r="BB45" s="34" t="n"/>
      <c r="BC45" s="30" t="n"/>
      <c r="BD45" s="169" t="n">
        <v>306</v>
      </c>
      <c r="BE45" s="155" t="n">
        <v>0</v>
      </c>
      <c r="BF45" s="34" t="n"/>
      <c r="BG45" s="30" t="n"/>
      <c r="BH45" s="168" t="n">
        <v>890</v>
      </c>
      <c r="BI45" s="136" t="n">
        <v>0</v>
      </c>
      <c r="BJ45" s="34" t="n"/>
      <c r="BK45" s="381">
        <f>O45+S45+W45+AA45+AE45+AI45+AM45+AQ45+AU45+AY45+BC45+BG45</f>
        <v/>
      </c>
      <c r="BL45" s="386">
        <f>BK45*$I45</f>
        <v/>
      </c>
      <c r="BM45" s="41" t="n">
        <v>0</v>
      </c>
      <c r="BN45" s="169" t="n">
        <v>0</v>
      </c>
      <c r="BO45" s="44" t="n">
        <v>890</v>
      </c>
      <c r="BP45" s="35" t="n"/>
      <c r="BQ45" s="45" t="n">
        <v>306</v>
      </c>
      <c r="BR45" s="169" t="n">
        <v>0</v>
      </c>
      <c r="BS45" s="32" t="n">
        <v>0</v>
      </c>
      <c r="BT45" s="37" t="n"/>
      <c r="BU45" s="45" t="n">
        <v>373</v>
      </c>
      <c r="BV45" s="174" t="n">
        <v>0</v>
      </c>
      <c r="BW45" s="44" t="n">
        <v>0</v>
      </c>
      <c r="BX45" s="35" t="n"/>
      <c r="BY45" s="45" t="n">
        <v>1095</v>
      </c>
      <c r="BZ45" s="35" t="n">
        <v>0</v>
      </c>
      <c r="CA45" s="44" t="n">
        <v>0</v>
      </c>
      <c r="CB45" s="35" t="n"/>
      <c r="CC45" s="45" t="n">
        <v>1013</v>
      </c>
      <c r="CD45" s="35" t="n">
        <v>0</v>
      </c>
      <c r="CE45" s="32" t="n">
        <v>0</v>
      </c>
      <c r="CF45" s="37" t="n"/>
      <c r="CG45" s="41" t="n">
        <v>1043</v>
      </c>
      <c r="CH45" s="175" t="n">
        <v>300</v>
      </c>
      <c r="CI45" s="44" t="n">
        <v>0</v>
      </c>
      <c r="CJ45" s="35" t="n"/>
      <c r="CK45" s="45" t="n">
        <v>1270</v>
      </c>
      <c r="CL45" s="176" t="n">
        <v>300</v>
      </c>
      <c r="CM45" s="44" t="n">
        <v>300</v>
      </c>
      <c r="CN45" s="35" t="n"/>
      <c r="CO45" s="45" t="n">
        <v>1273</v>
      </c>
      <c r="CP45" s="176" t="n">
        <v>300</v>
      </c>
      <c r="CQ45" s="44" t="n">
        <v>100</v>
      </c>
      <c r="CR45" s="35" t="n"/>
      <c r="CS45" s="45" t="n">
        <v>1260</v>
      </c>
      <c r="CT45" s="45" t="n">
        <v>200</v>
      </c>
      <c r="CU45" s="44" t="n">
        <v>300</v>
      </c>
      <c r="CV45" s="35" t="n"/>
      <c r="CW45" s="45" t="n">
        <v>1361</v>
      </c>
      <c r="CX45" s="177" t="n">
        <v>300</v>
      </c>
      <c r="CY45" s="44" t="n">
        <v>0</v>
      </c>
      <c r="CZ45" s="35" t="n"/>
      <c r="DA45" s="45" t="n">
        <v>1227</v>
      </c>
      <c r="DB45" s="177" t="n">
        <v>200</v>
      </c>
      <c r="DC45" s="155" t="n">
        <v>400</v>
      </c>
      <c r="DD45" s="35" t="n"/>
      <c r="DE45" s="45" t="n">
        <v>1385</v>
      </c>
      <c r="DF45" s="283" t="n">
        <v>300</v>
      </c>
      <c r="DG45" s="380" t="n">
        <v>242</v>
      </c>
      <c r="DH45" s="35" t="n"/>
      <c r="DI45" s="379">
        <f>BM45+BQ45+BU45+BY45+CC45+CG45+CK45+CO45+CS45+CW45+DA45+DE45</f>
        <v/>
      </c>
      <c r="DJ45" s="387">
        <f>DI45*$I45</f>
        <v/>
      </c>
      <c r="DK45" s="82" t="n">
        <v>300</v>
      </c>
      <c r="DL45" s="35" t="n">
        <v>200</v>
      </c>
      <c r="DM45" s="44" t="n">
        <v>300</v>
      </c>
      <c r="DN45" s="35" t="n"/>
      <c r="DO45" s="82" t="n">
        <v>300</v>
      </c>
      <c r="DP45" s="282" t="n">
        <v>150</v>
      </c>
      <c r="DQ45" s="44" t="n">
        <v>100</v>
      </c>
      <c r="DR45" s="35" t="n"/>
      <c r="DS45" s="82" t="n">
        <v>300</v>
      </c>
      <c r="DT45" s="306" t="n">
        <v>100</v>
      </c>
      <c r="DU45" s="44" t="n">
        <v>200</v>
      </c>
      <c r="DV45" s="35" t="n"/>
      <c r="DW45" s="82" t="n">
        <v>300</v>
      </c>
      <c r="DX45" s="35" t="n">
        <v>100</v>
      </c>
      <c r="DY45" s="44" t="n">
        <v>300</v>
      </c>
      <c r="DZ45" s="36" t="n"/>
      <c r="EA45" s="82" t="n">
        <v>300</v>
      </c>
      <c r="EB45" s="35" t="n">
        <v>200</v>
      </c>
      <c r="EC45" s="44" t="n">
        <v>200</v>
      </c>
      <c r="ED45" s="36" t="n"/>
      <c r="EE45" s="82" t="n">
        <v>500</v>
      </c>
      <c r="EF45" s="35" t="n">
        <v>250</v>
      </c>
      <c r="EG45" s="44" t="n">
        <v>0</v>
      </c>
      <c r="EH45" s="35" t="n"/>
      <c r="EI45" s="82" t="n">
        <v>500</v>
      </c>
      <c r="EJ45" s="35" t="n">
        <v>250</v>
      </c>
      <c r="EK45" s="44" t="n">
        <v>0</v>
      </c>
      <c r="EL45" s="35" t="n"/>
      <c r="EM45" s="82" t="n">
        <v>500</v>
      </c>
      <c r="EN45" s="281" t="n">
        <v>300</v>
      </c>
      <c r="EO45" s="44" t="n">
        <v>0</v>
      </c>
      <c r="EP45" s="35" t="n"/>
      <c r="EQ45" s="82" t="n">
        <v>500</v>
      </c>
      <c r="ER45" s="281" t="n">
        <v>300</v>
      </c>
      <c r="ES45" s="44" t="n">
        <v>0</v>
      </c>
      <c r="ET45" s="35" t="n"/>
      <c r="EU45" s="82" t="n">
        <v>500</v>
      </c>
      <c r="EV45" s="281" t="n">
        <v>300</v>
      </c>
      <c r="EW45" s="44" t="n">
        <v>0</v>
      </c>
      <c r="EX45" s="35" t="n"/>
      <c r="EY45" s="82" t="n">
        <v>500</v>
      </c>
      <c r="EZ45" s="281" t="n">
        <v>300</v>
      </c>
      <c r="FA45" s="288" t="n">
        <v>0</v>
      </c>
      <c r="FB45" s="35" t="n"/>
      <c r="FC45" s="82" t="n">
        <v>500</v>
      </c>
      <c r="FD45" s="281" t="n">
        <v>300</v>
      </c>
      <c r="FE45" s="380" t="n">
        <v>0</v>
      </c>
      <c r="FF45" s="35" t="n"/>
      <c r="FG45" s="379">
        <f>DK45+DO45+DS45+DW45+EA45+EE45+EI45+EM45+EQ45+EU45+EY45+FC45</f>
        <v/>
      </c>
      <c r="FH45" s="387">
        <f>FG45*$I45</f>
        <v/>
      </c>
      <c r="FI45" s="171" t="n">
        <v>500</v>
      </c>
      <c r="FJ45" s="169" t="n"/>
      <c r="FK45" s="44" t="n">
        <v>0</v>
      </c>
      <c r="FL45" s="35" t="n"/>
      <c r="FM45" s="51" t="n">
        <v>500</v>
      </c>
      <c r="FN45" s="169" t="n"/>
      <c r="FO45" s="44" t="n">
        <v>0</v>
      </c>
      <c r="FP45" s="35" t="n"/>
      <c r="FQ45" s="51" t="n">
        <v>500</v>
      </c>
      <c r="FR45" s="174" t="n"/>
      <c r="FS45" s="44" t="n">
        <v>0</v>
      </c>
      <c r="FT45" s="35" t="n"/>
      <c r="FU45" s="51" t="n">
        <v>500</v>
      </c>
      <c r="FV45" s="35" t="n"/>
      <c r="FW45" s="44" t="n">
        <v>0</v>
      </c>
      <c r="FX45" s="35" t="n"/>
      <c r="FY45" s="51" t="n">
        <v>500</v>
      </c>
      <c r="FZ45" s="35" t="n"/>
      <c r="GA45" s="44" t="n">
        <v>0</v>
      </c>
      <c r="GB45" s="35" t="n"/>
      <c r="GC45" s="51" t="n">
        <v>500</v>
      </c>
      <c r="GD45" s="45" t="n"/>
      <c r="GE45" s="44" t="n">
        <v>0</v>
      </c>
      <c r="GF45" s="35" t="n"/>
      <c r="GG45" s="51" t="n">
        <v>500</v>
      </c>
      <c r="GH45" s="45" t="n"/>
      <c r="GI45" s="44" t="n">
        <v>0</v>
      </c>
      <c r="GJ45" s="35" t="n"/>
      <c r="GK45" s="51" t="n">
        <v>600</v>
      </c>
      <c r="GL45" s="171" t="n"/>
      <c r="GM45" s="44" t="n">
        <v>0</v>
      </c>
      <c r="GN45" s="35" t="n"/>
      <c r="GO45" s="51" t="n">
        <v>600</v>
      </c>
      <c r="GP45" s="171" t="n"/>
      <c r="GQ45" s="44" t="n">
        <v>0</v>
      </c>
      <c r="GR45" s="35" t="n"/>
      <c r="GS45" s="51" t="n">
        <v>600</v>
      </c>
      <c r="GT45" s="171" t="n"/>
      <c r="GU45" s="44" t="n">
        <v>0</v>
      </c>
      <c r="GV45" s="35" t="n"/>
      <c r="GW45" s="51" t="n">
        <v>600</v>
      </c>
      <c r="GX45" s="171" t="n"/>
      <c r="GY45" s="155" t="n">
        <v>0</v>
      </c>
      <c r="GZ45" s="35" t="n"/>
      <c r="HA45" s="51" t="n">
        <v>600</v>
      </c>
      <c r="HB45" s="174" t="n"/>
      <c r="HC45" s="380" t="n">
        <v>0</v>
      </c>
      <c r="HD45" s="35" t="n"/>
      <c r="HE45" s="379">
        <f>FI45+FM45+FQ45+FU45+FY45+GC45+GG45+GK45+GO45+GS45+GW45+HA45</f>
        <v/>
      </c>
      <c r="HF45" s="387">
        <f>HE45*$I45</f>
        <v/>
      </c>
      <c r="HG45" s="51" t="n">
        <v>600</v>
      </c>
      <c r="HH45" s="169" t="n"/>
      <c r="HI45" s="44" t="n">
        <v>0</v>
      </c>
      <c r="HJ45" s="35" t="n"/>
      <c r="HK45" s="51" t="n">
        <v>600</v>
      </c>
      <c r="HL45" s="169" t="n"/>
      <c r="HM45" s="44" t="n">
        <v>0</v>
      </c>
      <c r="HN45" s="35" t="n"/>
      <c r="HO45" s="51" t="n">
        <v>800</v>
      </c>
      <c r="HP45" s="174" t="n"/>
      <c r="HQ45" s="44" t="n">
        <v>0</v>
      </c>
      <c r="HR45" s="35" t="n"/>
      <c r="HS45" s="51" t="n">
        <v>800</v>
      </c>
      <c r="HT45" s="35" t="n"/>
      <c r="HU45" s="44" t="n">
        <v>0</v>
      </c>
      <c r="HV45" s="35" t="n"/>
      <c r="HW45" s="51" t="n">
        <v>800</v>
      </c>
      <c r="HX45" s="35" t="n"/>
      <c r="HY45" s="44" t="n">
        <v>0</v>
      </c>
      <c r="HZ45" s="35" t="n"/>
      <c r="IA45" s="51" t="n">
        <v>800</v>
      </c>
      <c r="IB45" s="45" t="n"/>
      <c r="IC45" s="44" t="n">
        <v>0</v>
      </c>
      <c r="ID45" s="35" t="n"/>
      <c r="IE45" s="51" t="n">
        <v>800</v>
      </c>
      <c r="IF45" s="45" t="n"/>
      <c r="IG45" s="44" t="n">
        <v>0</v>
      </c>
      <c r="IH45" s="35" t="n"/>
      <c r="II45" s="51" t="n">
        <v>800</v>
      </c>
      <c r="IJ45" s="171" t="n"/>
      <c r="IK45" s="44" t="n">
        <v>0</v>
      </c>
      <c r="IL45" s="35" t="n"/>
      <c r="IM45" s="51" t="n">
        <v>800</v>
      </c>
      <c r="IN45" s="171" t="n"/>
      <c r="IO45" s="44" t="n">
        <v>0</v>
      </c>
      <c r="IP45" s="35" t="n"/>
      <c r="IQ45" s="51" t="n">
        <v>800</v>
      </c>
      <c r="IR45" s="171" t="n"/>
      <c r="IS45" s="44" t="n">
        <v>0</v>
      </c>
      <c r="IT45" s="35" t="n"/>
      <c r="IU45" s="51" t="n">
        <v>800</v>
      </c>
      <c r="IV45" s="171" t="n"/>
      <c r="IW45" s="155" t="n">
        <v>0</v>
      </c>
      <c r="IX45" s="35" t="n"/>
      <c r="IY45" s="51" t="n">
        <v>800</v>
      </c>
      <c r="IZ45" s="174" t="n"/>
      <c r="JA45" s="380" t="n">
        <v>0</v>
      </c>
      <c r="JB45" s="35" t="n"/>
      <c r="JC45" s="381">
        <f>HG45+HK45+HO45+HS45+HW45+IA45+IE45+II45+IM45+IQ45+IU45+IY45</f>
        <v/>
      </c>
      <c r="JD45" s="386">
        <f>JC45*$I45</f>
        <v/>
      </c>
    </row>
    <row r="46" ht="13.5" customHeight="1">
      <c r="A46" s="382" t="n"/>
      <c r="B46" s="382" t="n"/>
      <c r="C46" s="382" t="n"/>
      <c r="D46" s="382" t="n"/>
      <c r="E46" s="166" t="n">
        <v>5</v>
      </c>
      <c r="F46" s="166" t="n">
        <v>1</v>
      </c>
      <c r="G46" s="137" t="n">
        <v>4801020640</v>
      </c>
      <c r="H46" s="138" t="inlineStr">
        <is>
          <t>Блок TEBS-E Premium + PEM</t>
        </is>
      </c>
      <c r="I46" s="167" t="n">
        <v>2768.54</v>
      </c>
      <c r="J46" s="300" t="n">
        <v>3046.51</v>
      </c>
      <c r="K46" s="301" t="n">
        <v>4187.74</v>
      </c>
      <c r="L46" s="301" t="n">
        <v>4187.74</v>
      </c>
      <c r="M46" s="178" t="n"/>
      <c r="N46" s="178" t="n"/>
      <c r="O46" s="30" t="n"/>
      <c r="P46" s="31" t="n"/>
      <c r="Q46" s="32" t="n"/>
      <c r="R46" s="31" t="n"/>
      <c r="S46" s="30" t="n"/>
      <c r="T46" s="31" t="n"/>
      <c r="U46" s="32" t="n"/>
      <c r="V46" s="31" t="n"/>
      <c r="W46" s="30" t="n"/>
      <c r="X46" s="31" t="n"/>
      <c r="Y46" s="32" t="n"/>
      <c r="Z46" s="31" t="n"/>
      <c r="AA46" s="30" t="n"/>
      <c r="AB46" s="31" t="n"/>
      <c r="AC46" s="32" t="n">
        <v>0</v>
      </c>
      <c r="AD46" s="31" t="n"/>
      <c r="AE46" s="30" t="n"/>
      <c r="AF46" s="31" t="n"/>
      <c r="AG46" s="32" t="n">
        <v>200</v>
      </c>
      <c r="AH46" s="31" t="n"/>
      <c r="AI46" s="30" t="n"/>
      <c r="AJ46" s="171" t="n">
        <v>1000</v>
      </c>
      <c r="AK46" s="32" t="n">
        <v>0</v>
      </c>
      <c r="AL46" s="31" t="n"/>
      <c r="AM46" s="30" t="n"/>
      <c r="AN46" s="171" t="n">
        <v>0</v>
      </c>
      <c r="AO46" s="32" t="n"/>
      <c r="AP46" s="31" t="inlineStr">
        <is>
          <t>Перенос на август заказа ввиду, наложения личной закупки продукции ТОНАРом</t>
        </is>
      </c>
      <c r="AQ46" s="30" t="n"/>
      <c r="AR46" s="172" t="n">
        <v>1000</v>
      </c>
      <c r="AS46" s="32" t="n">
        <v>800</v>
      </c>
      <c r="AT46" s="31" t="n"/>
      <c r="AU46" s="30" t="n"/>
      <c r="AV46" s="173" t="n">
        <v>500</v>
      </c>
      <c r="AW46" s="32" t="n">
        <v>0</v>
      </c>
      <c r="AX46" s="31" t="n"/>
      <c r="AY46" s="30" t="n"/>
      <c r="AZ46" s="179" t="n">
        <v>1000</v>
      </c>
      <c r="BA46" s="32" t="n">
        <v>1000</v>
      </c>
      <c r="BB46" s="34" t="n"/>
      <c r="BC46" s="30" t="n"/>
      <c r="BD46" s="169" t="n">
        <v>306</v>
      </c>
      <c r="BE46" s="155" t="n">
        <v>0</v>
      </c>
      <c r="BF46" s="34" t="n"/>
      <c r="BG46" s="30" t="n"/>
      <c r="BH46" s="169" t="n">
        <v>900</v>
      </c>
      <c r="BI46" s="136" t="n">
        <v>0</v>
      </c>
      <c r="BJ46" s="34" t="n"/>
      <c r="BK46" s="381">
        <f>O46+S46+W46+AA46+AE46+AI46+AM46+AQ46+AU46+AY46+BC46+BG46</f>
        <v/>
      </c>
      <c r="BL46" s="386">
        <f>BK46*$I46</f>
        <v/>
      </c>
      <c r="BM46" s="41" t="n">
        <v>0</v>
      </c>
      <c r="BN46" s="169" t="n">
        <v>0</v>
      </c>
      <c r="BO46" s="44" t="n">
        <v>900</v>
      </c>
      <c r="BP46" s="35" t="n"/>
      <c r="BQ46" s="45" t="n">
        <v>306</v>
      </c>
      <c r="BR46" s="169" t="n">
        <v>0</v>
      </c>
      <c r="BS46" s="32" t="n">
        <v>0</v>
      </c>
      <c r="BT46" s="31" t="n"/>
      <c r="BU46" s="45" t="n">
        <v>373</v>
      </c>
      <c r="BV46" s="171" t="n">
        <v>0</v>
      </c>
      <c r="BW46" s="44" t="n">
        <v>0</v>
      </c>
      <c r="BX46" s="35" t="n"/>
      <c r="BY46" s="45" t="n">
        <v>1095</v>
      </c>
      <c r="BZ46" s="35" t="n">
        <v>0</v>
      </c>
      <c r="CA46" s="44" t="n">
        <v>0</v>
      </c>
      <c r="CB46" s="35" t="n"/>
      <c r="CC46" s="45" t="n">
        <v>1013</v>
      </c>
      <c r="CD46" s="35" t="n">
        <v>0</v>
      </c>
      <c r="CE46" s="32" t="n">
        <v>0</v>
      </c>
      <c r="CF46" s="31" t="n"/>
      <c r="CG46" s="41" t="n">
        <v>1043</v>
      </c>
      <c r="CH46" s="175" t="n">
        <v>200</v>
      </c>
      <c r="CI46" s="44" t="n">
        <v>200</v>
      </c>
      <c r="CJ46" s="35" t="n"/>
      <c r="CK46" s="45" t="n">
        <v>1270</v>
      </c>
      <c r="CL46" s="176" t="n">
        <v>300</v>
      </c>
      <c r="CM46" s="44" t="n">
        <v>149</v>
      </c>
      <c r="CN46" s="35" t="n"/>
      <c r="CO46" s="45" t="n">
        <v>1273</v>
      </c>
      <c r="CP46" s="176" t="n">
        <v>300</v>
      </c>
      <c r="CQ46" s="44" t="n">
        <v>100</v>
      </c>
      <c r="CR46" s="35" t="n"/>
      <c r="CS46" s="45" t="n">
        <v>1260</v>
      </c>
      <c r="CT46" s="176" t="n">
        <v>300</v>
      </c>
      <c r="CU46" s="44" t="n">
        <v>300</v>
      </c>
      <c r="CV46" s="35" t="n"/>
      <c r="CW46" s="45" t="n">
        <v>1361</v>
      </c>
      <c r="CX46" s="177" t="n">
        <v>300</v>
      </c>
      <c r="CY46" s="44" t="n">
        <v>250</v>
      </c>
      <c r="CZ46" s="35" t="n"/>
      <c r="DA46" s="45" t="n">
        <v>1227</v>
      </c>
      <c r="DB46" s="177" t="n">
        <v>300</v>
      </c>
      <c r="DC46" s="155" t="n">
        <v>200</v>
      </c>
      <c r="DD46" s="35" t="n"/>
      <c r="DE46" s="45" t="n">
        <v>1385</v>
      </c>
      <c r="DF46" s="283" t="n">
        <v>300</v>
      </c>
      <c r="DG46" s="380" t="n">
        <v>301</v>
      </c>
      <c r="DH46" s="35" t="n"/>
      <c r="DI46" s="379">
        <f>BM46+BQ46+BU46+BY46+CC46+CG46+CK46+CO46+CS46+CW46+DA46+DE46</f>
        <v/>
      </c>
      <c r="DJ46" s="387">
        <f>DI46*$I46</f>
        <v/>
      </c>
      <c r="DK46" s="82" t="n">
        <v>300</v>
      </c>
      <c r="DL46" s="35" t="n">
        <v>200</v>
      </c>
      <c r="DM46" s="44" t="n">
        <v>350</v>
      </c>
      <c r="DN46" s="35" t="n"/>
      <c r="DO46" s="82" t="n">
        <v>300</v>
      </c>
      <c r="DP46" s="282" t="n">
        <v>150</v>
      </c>
      <c r="DQ46" s="44" t="n">
        <v>100</v>
      </c>
      <c r="DR46" s="35" t="n"/>
      <c r="DS46" s="82" t="n">
        <v>300</v>
      </c>
      <c r="DT46" s="306" t="n">
        <v>100</v>
      </c>
      <c r="DU46" s="44" t="n">
        <v>200</v>
      </c>
      <c r="DV46" s="35" t="n"/>
      <c r="DW46" s="82" t="n">
        <v>300</v>
      </c>
      <c r="DX46" s="35" t="n">
        <v>100</v>
      </c>
      <c r="DY46" s="44" t="n">
        <v>300</v>
      </c>
      <c r="DZ46" s="36" t="n"/>
      <c r="EA46" s="82" t="n">
        <v>300</v>
      </c>
      <c r="EB46" s="35" t="n">
        <v>200</v>
      </c>
      <c r="EC46" s="44" t="n">
        <v>200</v>
      </c>
      <c r="ED46" s="36" t="n"/>
      <c r="EE46" s="82" t="n">
        <v>500</v>
      </c>
      <c r="EF46" s="35" t="n">
        <v>250</v>
      </c>
      <c r="EG46" s="44" t="n">
        <v>0</v>
      </c>
      <c r="EH46" s="35" t="n"/>
      <c r="EI46" s="82" t="n">
        <v>500</v>
      </c>
      <c r="EJ46" s="35" t="n">
        <v>250</v>
      </c>
      <c r="EK46" s="44" t="n">
        <v>0</v>
      </c>
      <c r="EL46" s="35" t="n"/>
      <c r="EM46" s="82" t="n">
        <v>500</v>
      </c>
      <c r="EN46" s="281" t="n">
        <v>300</v>
      </c>
      <c r="EO46" s="44" t="n">
        <v>0</v>
      </c>
      <c r="EP46" s="35" t="n"/>
      <c r="EQ46" s="82" t="n">
        <v>500</v>
      </c>
      <c r="ER46" s="281" t="n">
        <v>300</v>
      </c>
      <c r="ES46" s="44" t="n">
        <v>0</v>
      </c>
      <c r="ET46" s="35" t="n"/>
      <c r="EU46" s="82" t="n">
        <v>500</v>
      </c>
      <c r="EV46" s="281" t="n">
        <v>300</v>
      </c>
      <c r="EW46" s="44" t="n">
        <v>0</v>
      </c>
      <c r="EX46" s="35" t="n"/>
      <c r="EY46" s="82" t="n">
        <v>500</v>
      </c>
      <c r="EZ46" s="281" t="n">
        <v>300</v>
      </c>
      <c r="FA46" s="288" t="n">
        <v>0</v>
      </c>
      <c r="FB46" s="35" t="n"/>
      <c r="FC46" s="82" t="n">
        <v>500</v>
      </c>
      <c r="FD46" s="281" t="n">
        <v>300</v>
      </c>
      <c r="FE46" s="380" t="n">
        <v>0</v>
      </c>
      <c r="FF46" s="35" t="n"/>
      <c r="FG46" s="379">
        <f>DK46+DO46+DS46+DW46+EA46+EE46+EI46+EM46+EQ46+EU46+EY46+FC46</f>
        <v/>
      </c>
      <c r="FH46" s="387">
        <f>FG46*$I46</f>
        <v/>
      </c>
      <c r="FI46" s="171" t="n">
        <v>500</v>
      </c>
      <c r="FJ46" s="169" t="n"/>
      <c r="FK46" s="44" t="n">
        <v>0</v>
      </c>
      <c r="FL46" s="35" t="n"/>
      <c r="FM46" s="51" t="n">
        <v>500</v>
      </c>
      <c r="FN46" s="169" t="n"/>
      <c r="FO46" s="44" t="n">
        <v>0</v>
      </c>
      <c r="FP46" s="35" t="n"/>
      <c r="FQ46" s="51" t="n">
        <v>500</v>
      </c>
      <c r="FR46" s="171" t="n"/>
      <c r="FS46" s="44" t="n">
        <v>0</v>
      </c>
      <c r="FT46" s="35" t="n"/>
      <c r="FU46" s="51" t="n">
        <v>500</v>
      </c>
      <c r="FV46" s="35" t="n"/>
      <c r="FW46" s="44" t="n">
        <v>0</v>
      </c>
      <c r="FX46" s="35" t="n"/>
      <c r="FY46" s="51" t="n">
        <v>500</v>
      </c>
      <c r="FZ46" s="35" t="n"/>
      <c r="GA46" s="44" t="n">
        <v>0</v>
      </c>
      <c r="GB46" s="35" t="n"/>
      <c r="GC46" s="51" t="n">
        <v>500</v>
      </c>
      <c r="GD46" s="45" t="n"/>
      <c r="GE46" s="44" t="n">
        <v>0</v>
      </c>
      <c r="GF46" s="35" t="n"/>
      <c r="GG46" s="51" t="n">
        <v>500</v>
      </c>
      <c r="GH46" s="45" t="n"/>
      <c r="GI46" s="44" t="n">
        <v>0</v>
      </c>
      <c r="GJ46" s="35" t="n"/>
      <c r="GK46" s="51" t="n">
        <v>600</v>
      </c>
      <c r="GL46" s="171" t="n"/>
      <c r="GM46" s="44" t="n">
        <v>0</v>
      </c>
      <c r="GN46" s="35" t="n"/>
      <c r="GO46" s="51" t="n">
        <v>600</v>
      </c>
      <c r="GP46" s="171" t="n"/>
      <c r="GQ46" s="44" t="n">
        <v>0</v>
      </c>
      <c r="GR46" s="35" t="n"/>
      <c r="GS46" s="51" t="n">
        <v>600</v>
      </c>
      <c r="GT46" s="171" t="n"/>
      <c r="GU46" s="44" t="n">
        <v>0</v>
      </c>
      <c r="GV46" s="35" t="n"/>
      <c r="GW46" s="51" t="n">
        <v>600</v>
      </c>
      <c r="GX46" s="171" t="n"/>
      <c r="GY46" s="155" t="n">
        <v>0</v>
      </c>
      <c r="GZ46" s="35" t="n"/>
      <c r="HA46" s="51" t="n">
        <v>600</v>
      </c>
      <c r="HB46" s="174" t="n"/>
      <c r="HC46" s="380" t="n">
        <v>0</v>
      </c>
      <c r="HD46" s="35" t="n"/>
      <c r="HE46" s="379">
        <f>FI46+FM46+FQ46+FU46+FY46+GC46+GG46+GK46+GO46+GS46+GW46+HA46</f>
        <v/>
      </c>
      <c r="HF46" s="387">
        <f>HE46*$I46</f>
        <v/>
      </c>
      <c r="HG46" s="51" t="n">
        <v>600</v>
      </c>
      <c r="HH46" s="169" t="n"/>
      <c r="HI46" s="44" t="n">
        <v>0</v>
      </c>
      <c r="HJ46" s="35" t="n"/>
      <c r="HK46" s="51" t="n">
        <v>600</v>
      </c>
      <c r="HL46" s="169" t="n"/>
      <c r="HM46" s="44" t="n">
        <v>0</v>
      </c>
      <c r="HN46" s="35" t="n"/>
      <c r="HO46" s="51" t="n">
        <v>800</v>
      </c>
      <c r="HP46" s="171" t="n"/>
      <c r="HQ46" s="44" t="n">
        <v>0</v>
      </c>
      <c r="HR46" s="35" t="n"/>
      <c r="HS46" s="51" t="n">
        <v>800</v>
      </c>
      <c r="HT46" s="35" t="n"/>
      <c r="HU46" s="44" t="n">
        <v>0</v>
      </c>
      <c r="HV46" s="35" t="n"/>
      <c r="HW46" s="51" t="n">
        <v>800</v>
      </c>
      <c r="HX46" s="35" t="n"/>
      <c r="HY46" s="44" t="n">
        <v>0</v>
      </c>
      <c r="HZ46" s="35" t="n"/>
      <c r="IA46" s="51" t="n">
        <v>800</v>
      </c>
      <c r="IB46" s="45" t="n"/>
      <c r="IC46" s="44" t="n">
        <v>0</v>
      </c>
      <c r="ID46" s="35" t="n"/>
      <c r="IE46" s="51" t="n">
        <v>800</v>
      </c>
      <c r="IF46" s="45" t="n"/>
      <c r="IG46" s="44" t="n">
        <v>0</v>
      </c>
      <c r="IH46" s="35" t="n"/>
      <c r="II46" s="51" t="n">
        <v>800</v>
      </c>
      <c r="IJ46" s="171" t="n"/>
      <c r="IK46" s="44" t="n">
        <v>0</v>
      </c>
      <c r="IL46" s="35" t="n"/>
      <c r="IM46" s="51" t="n">
        <v>800</v>
      </c>
      <c r="IN46" s="171" t="n"/>
      <c r="IO46" s="44" t="n">
        <v>0</v>
      </c>
      <c r="IP46" s="35" t="n"/>
      <c r="IQ46" s="51" t="n">
        <v>800</v>
      </c>
      <c r="IR46" s="171" t="n"/>
      <c r="IS46" s="44" t="n">
        <v>0</v>
      </c>
      <c r="IT46" s="35" t="n"/>
      <c r="IU46" s="51" t="n">
        <v>800</v>
      </c>
      <c r="IV46" s="171" t="n"/>
      <c r="IW46" s="155" t="n">
        <v>0</v>
      </c>
      <c r="IX46" s="35" t="n"/>
      <c r="IY46" s="51" t="n">
        <v>800</v>
      </c>
      <c r="IZ46" s="174" t="n"/>
      <c r="JA46" s="380" t="n">
        <v>0</v>
      </c>
      <c r="JB46" s="35" t="n"/>
      <c r="JC46" s="381">
        <f>HG46+HK46+HO46+HS46+HW46+IA46+IE46+II46+IM46+IQ46+IU46+IY46</f>
        <v/>
      </c>
      <c r="JD46" s="386">
        <f>JC46*$I46</f>
        <v/>
      </c>
    </row>
    <row r="47" ht="13.5" customHeight="1">
      <c r="A47" s="382" t="n"/>
      <c r="B47" s="382" t="n"/>
      <c r="C47" s="382" t="n"/>
      <c r="D47" s="382" t="n"/>
      <c r="E47" s="166" t="n">
        <v>6</v>
      </c>
      <c r="F47" s="166" t="n">
        <v>1</v>
      </c>
      <c r="G47" s="137" t="n">
        <v>9710029000</v>
      </c>
      <c r="H47" s="138" t="inlineStr">
        <is>
          <t xml:space="preserve">PREV </t>
        </is>
      </c>
      <c r="I47" s="167" t="n">
        <v>282.58</v>
      </c>
      <c r="J47" s="164" t="n">
        <v>282.58</v>
      </c>
      <c r="K47" s="299" t="n">
        <v>324.59</v>
      </c>
      <c r="L47" s="299" t="n">
        <v>324.59</v>
      </c>
      <c r="M47" s="164" t="n"/>
      <c r="N47" s="164" t="n"/>
      <c r="O47" s="30" t="n"/>
      <c r="P47" s="31" t="n"/>
      <c r="Q47" s="32" t="n"/>
      <c r="R47" s="31" t="n"/>
      <c r="S47" s="30" t="n"/>
      <c r="T47" s="31" t="n"/>
      <c r="U47" s="32" t="n"/>
      <c r="V47" s="31" t="n"/>
      <c r="W47" s="30" t="n"/>
      <c r="X47" s="31" t="n"/>
      <c r="Y47" s="32" t="n"/>
      <c r="Z47" s="31" t="n"/>
      <c r="AA47" s="30" t="n"/>
      <c r="AB47" s="31" t="n"/>
      <c r="AC47" s="32" t="n">
        <v>0</v>
      </c>
      <c r="AD47" s="31" t="n"/>
      <c r="AE47" s="30" t="n"/>
      <c r="AF47" s="31" t="n"/>
      <c r="AG47" s="32" t="n">
        <v>0</v>
      </c>
      <c r="AH47" s="31" t="n"/>
      <c r="AI47" s="30" t="n"/>
      <c r="AJ47" s="171" t="n">
        <v>1000</v>
      </c>
      <c r="AK47" s="32" t="n">
        <v>0</v>
      </c>
      <c r="AL47" s="31" t="n"/>
      <c r="AM47" s="30" t="n"/>
      <c r="AN47" s="171" t="n">
        <v>0</v>
      </c>
      <c r="AO47" s="32" t="n"/>
      <c r="AP47" s="31" t="inlineStr">
        <is>
          <t>Перенос на август заказа ввиду, наложения личной закупки продукции ТОНАРом</t>
        </is>
      </c>
      <c r="AQ47" s="30" t="n"/>
      <c r="AR47" s="172" t="n">
        <v>1000</v>
      </c>
      <c r="AS47" s="32" t="n">
        <v>1000</v>
      </c>
      <c r="AT47" s="31" t="n"/>
      <c r="AU47" s="30" t="n"/>
      <c r="AV47" s="173" t="n">
        <v>0</v>
      </c>
      <c r="AW47" s="32" t="n">
        <v>0</v>
      </c>
      <c r="AX47" s="31" t="n"/>
      <c r="AY47" s="30" t="n"/>
      <c r="AZ47" s="173" t="n">
        <v>1200</v>
      </c>
      <c r="BA47" s="32" t="n">
        <v>0</v>
      </c>
      <c r="BB47" s="34" t="n"/>
      <c r="BC47" s="30" t="n"/>
      <c r="BD47" s="169" t="n">
        <v>306</v>
      </c>
      <c r="BE47" s="155" t="n">
        <v>256</v>
      </c>
      <c r="BF47" s="34" t="n"/>
      <c r="BG47" s="30" t="n"/>
      <c r="BH47" s="168" t="n">
        <v>944</v>
      </c>
      <c r="BI47" s="136" t="n">
        <v>0</v>
      </c>
      <c r="BJ47" s="34" t="n"/>
      <c r="BK47" s="381">
        <f>O47+S47+W47+AA47+AE47+AI47+AM47+AQ47+AU47+AY47+BC47+BG47</f>
        <v/>
      </c>
      <c r="BL47" s="386">
        <f>BK47*$I47</f>
        <v/>
      </c>
      <c r="BM47" s="41" t="n">
        <v>0</v>
      </c>
      <c r="BN47" s="169" t="n">
        <v>0</v>
      </c>
      <c r="BO47" s="44" t="n">
        <v>944</v>
      </c>
      <c r="BP47" s="35" t="n"/>
      <c r="BQ47" s="45" t="n">
        <v>306</v>
      </c>
      <c r="BR47" s="169" t="n">
        <v>0</v>
      </c>
      <c r="BS47" s="32" t="n">
        <v>0</v>
      </c>
      <c r="BT47" s="31" t="n"/>
      <c r="BU47" s="45" t="n">
        <v>393</v>
      </c>
      <c r="BV47" s="171" t="n">
        <v>0</v>
      </c>
      <c r="BW47" s="44" t="n">
        <v>0</v>
      </c>
      <c r="BX47" s="35" t="n"/>
      <c r="BY47" s="45" t="n">
        <v>1095</v>
      </c>
      <c r="BZ47" s="35" t="n">
        <v>0</v>
      </c>
      <c r="CA47" s="44" t="n">
        <v>0</v>
      </c>
      <c r="CB47" s="35" t="n"/>
      <c r="CC47" s="45" t="n">
        <v>1013</v>
      </c>
      <c r="CD47" s="35" t="n">
        <v>0</v>
      </c>
      <c r="CE47" s="32" t="n">
        <v>0</v>
      </c>
      <c r="CF47" s="31" t="n"/>
      <c r="CG47" s="41" t="n">
        <v>1043</v>
      </c>
      <c r="CH47" s="175" t="n">
        <v>300</v>
      </c>
      <c r="CI47" s="44" t="n">
        <v>300</v>
      </c>
      <c r="CJ47" s="35" t="n"/>
      <c r="CK47" s="45" t="n">
        <v>1270</v>
      </c>
      <c r="CL47" s="45" t="n">
        <v>200</v>
      </c>
      <c r="CM47" s="44" t="n">
        <v>300</v>
      </c>
      <c r="CN47" s="35" t="n"/>
      <c r="CO47" s="45" t="n">
        <v>1273</v>
      </c>
      <c r="CP47" s="45" t="n">
        <v>200</v>
      </c>
      <c r="CQ47" s="44" t="n">
        <v>100</v>
      </c>
      <c r="CR47" s="35" t="n"/>
      <c r="CS47" s="45" t="n">
        <v>1260</v>
      </c>
      <c r="CT47" s="176" t="n">
        <v>300</v>
      </c>
      <c r="CU47" s="44" t="n">
        <v>200</v>
      </c>
      <c r="CV47" s="35" t="n"/>
      <c r="CW47" s="45" t="n">
        <v>1361</v>
      </c>
      <c r="CX47" s="177" t="n">
        <v>270</v>
      </c>
      <c r="CY47" s="44" t="n">
        <v>200</v>
      </c>
      <c r="CZ47" s="35" t="n"/>
      <c r="DA47" s="45" t="n">
        <v>1227</v>
      </c>
      <c r="DB47" s="177" t="n">
        <v>300</v>
      </c>
      <c r="DC47" s="155" t="n">
        <v>200</v>
      </c>
      <c r="DD47" s="35" t="n"/>
      <c r="DE47" s="45" t="n">
        <v>1385</v>
      </c>
      <c r="DF47" s="283" t="n">
        <v>300</v>
      </c>
      <c r="DG47" s="380" t="n">
        <v>242</v>
      </c>
      <c r="DH47" s="35" t="n"/>
      <c r="DI47" s="379">
        <f>BM47+BQ47+BU47+BY47+CC47+CG47+CK47+CO47+CS47+CW47+DA47+DE47</f>
        <v/>
      </c>
      <c r="DJ47" s="387">
        <f>DI47*$I47</f>
        <v/>
      </c>
      <c r="DK47" s="82" t="n">
        <v>300</v>
      </c>
      <c r="DL47" s="35" t="n">
        <v>200</v>
      </c>
      <c r="DM47" s="44" t="n">
        <v>150</v>
      </c>
      <c r="DN47" s="35" t="n"/>
      <c r="DO47" s="82" t="n">
        <v>300</v>
      </c>
      <c r="DP47" s="282" t="n">
        <v>150</v>
      </c>
      <c r="DQ47" s="44" t="n">
        <v>100</v>
      </c>
      <c r="DR47" s="35" t="n"/>
      <c r="DS47" s="82" t="n">
        <v>300</v>
      </c>
      <c r="DT47" s="306" t="n">
        <v>100</v>
      </c>
      <c r="DU47" s="44" t="n">
        <v>200</v>
      </c>
      <c r="DV47" s="35" t="n"/>
      <c r="DW47" s="82" t="n">
        <v>300</v>
      </c>
      <c r="DX47" s="35" t="n">
        <v>0</v>
      </c>
      <c r="DY47" s="44" t="n">
        <v>0</v>
      </c>
      <c r="DZ47" s="36" t="n"/>
      <c r="EA47" s="82" t="n">
        <v>300</v>
      </c>
      <c r="EB47" s="35" t="n">
        <v>0</v>
      </c>
      <c r="EC47" s="44" t="n">
        <v>0</v>
      </c>
      <c r="ED47" s="36" t="n"/>
      <c r="EE47" s="82" t="n">
        <v>500</v>
      </c>
      <c r="EF47" s="47" t="n">
        <v>0</v>
      </c>
      <c r="EG47" s="44" t="n">
        <v>0</v>
      </c>
      <c r="EH47" s="35" t="n"/>
      <c r="EI47" s="82" t="n">
        <v>500</v>
      </c>
      <c r="EJ47" s="35" t="n">
        <v>250</v>
      </c>
      <c r="EK47" s="44" t="n">
        <v>0</v>
      </c>
      <c r="EL47" s="35" t="n"/>
      <c r="EM47" s="82" t="n">
        <v>500</v>
      </c>
      <c r="EN47" s="281" t="n">
        <v>300</v>
      </c>
      <c r="EO47" s="44" t="n">
        <v>0</v>
      </c>
      <c r="EP47" s="35" t="n"/>
      <c r="EQ47" s="82" t="n">
        <v>500</v>
      </c>
      <c r="ER47" s="281" t="n">
        <v>300</v>
      </c>
      <c r="ES47" s="44" t="n">
        <v>0</v>
      </c>
      <c r="ET47" s="35" t="n"/>
      <c r="EU47" s="82" t="n">
        <v>500</v>
      </c>
      <c r="EV47" s="281" t="n">
        <v>300</v>
      </c>
      <c r="EW47" s="44" t="n">
        <v>0</v>
      </c>
      <c r="EX47" s="35" t="n"/>
      <c r="EY47" s="82" t="n">
        <v>500</v>
      </c>
      <c r="EZ47" s="281" t="n">
        <v>300</v>
      </c>
      <c r="FA47" s="288" t="n">
        <v>0</v>
      </c>
      <c r="FB47" s="35" t="n"/>
      <c r="FC47" s="82" t="n">
        <v>500</v>
      </c>
      <c r="FD47" s="281" t="n">
        <v>300</v>
      </c>
      <c r="FE47" s="380" t="n">
        <v>0</v>
      </c>
      <c r="FF47" s="35" t="n"/>
      <c r="FG47" s="379">
        <f>DK47+DO47+DS47+DW47+EA47+EE47+EI47+EM47+EQ47+EU47+EY47+FC47</f>
        <v/>
      </c>
      <c r="FH47" s="387">
        <f>FG47*$I47</f>
        <v/>
      </c>
      <c r="FI47" s="171" t="n">
        <v>500</v>
      </c>
      <c r="FJ47" s="169" t="n"/>
      <c r="FK47" s="44" t="n">
        <v>0</v>
      </c>
      <c r="FL47" s="35" t="n"/>
      <c r="FM47" s="51" t="n">
        <v>500</v>
      </c>
      <c r="FN47" s="169" t="n"/>
      <c r="FO47" s="44" t="n">
        <v>0</v>
      </c>
      <c r="FP47" s="35" t="n"/>
      <c r="FQ47" s="51" t="n">
        <v>500</v>
      </c>
      <c r="FR47" s="171" t="n"/>
      <c r="FS47" s="44" t="n">
        <v>0</v>
      </c>
      <c r="FT47" s="35" t="n"/>
      <c r="FU47" s="51" t="n">
        <v>500</v>
      </c>
      <c r="FV47" s="35" t="n"/>
      <c r="FW47" s="44" t="n">
        <v>0</v>
      </c>
      <c r="FX47" s="35" t="n"/>
      <c r="FY47" s="51" t="n">
        <v>500</v>
      </c>
      <c r="FZ47" s="35" t="n"/>
      <c r="GA47" s="44" t="n">
        <v>0</v>
      </c>
      <c r="GB47" s="35" t="n"/>
      <c r="GC47" s="51" t="n">
        <v>500</v>
      </c>
      <c r="GD47" s="45" t="n"/>
      <c r="GE47" s="44" t="n">
        <v>0</v>
      </c>
      <c r="GF47" s="35" t="n"/>
      <c r="GG47" s="51" t="n">
        <v>500</v>
      </c>
      <c r="GH47" s="45" t="n"/>
      <c r="GI47" s="44" t="n">
        <v>0</v>
      </c>
      <c r="GJ47" s="35" t="n"/>
      <c r="GK47" s="51" t="n">
        <v>600</v>
      </c>
      <c r="GL47" s="171" t="n"/>
      <c r="GM47" s="44" t="n">
        <v>0</v>
      </c>
      <c r="GN47" s="35" t="n"/>
      <c r="GO47" s="51" t="n">
        <v>600</v>
      </c>
      <c r="GP47" s="171" t="n"/>
      <c r="GQ47" s="44" t="n">
        <v>0</v>
      </c>
      <c r="GR47" s="35" t="n"/>
      <c r="GS47" s="51" t="n">
        <v>600</v>
      </c>
      <c r="GT47" s="171" t="n"/>
      <c r="GU47" s="44" t="n">
        <v>0</v>
      </c>
      <c r="GV47" s="35" t="n"/>
      <c r="GW47" s="51" t="n">
        <v>600</v>
      </c>
      <c r="GX47" s="171" t="n"/>
      <c r="GY47" s="155" t="n">
        <v>0</v>
      </c>
      <c r="GZ47" s="35" t="n"/>
      <c r="HA47" s="51" t="n">
        <v>600</v>
      </c>
      <c r="HB47" s="174" t="n"/>
      <c r="HC47" s="380" t="n">
        <v>0</v>
      </c>
      <c r="HD47" s="35" t="n"/>
      <c r="HE47" s="379">
        <f>FI47+FM47+FQ47+FU47+FY47+GC47+GG47+GK47+GO47+GS47+GW47+HA47</f>
        <v/>
      </c>
      <c r="HF47" s="387">
        <f>HE47*$I47</f>
        <v/>
      </c>
      <c r="HG47" s="51" t="n">
        <v>600</v>
      </c>
      <c r="HH47" s="169" t="n"/>
      <c r="HI47" s="44" t="n">
        <v>0</v>
      </c>
      <c r="HJ47" s="35" t="n"/>
      <c r="HK47" s="51" t="n">
        <v>600</v>
      </c>
      <c r="HL47" s="169" t="n"/>
      <c r="HM47" s="44" t="n">
        <v>0</v>
      </c>
      <c r="HN47" s="35" t="n"/>
      <c r="HO47" s="51" t="n">
        <v>800</v>
      </c>
      <c r="HP47" s="171" t="n"/>
      <c r="HQ47" s="44" t="n">
        <v>0</v>
      </c>
      <c r="HR47" s="35" t="n"/>
      <c r="HS47" s="51" t="n">
        <v>800</v>
      </c>
      <c r="HT47" s="35" t="n"/>
      <c r="HU47" s="44" t="n">
        <v>0</v>
      </c>
      <c r="HV47" s="35" t="n"/>
      <c r="HW47" s="51" t="n">
        <v>800</v>
      </c>
      <c r="HX47" s="35" t="n"/>
      <c r="HY47" s="44" t="n">
        <v>0</v>
      </c>
      <c r="HZ47" s="35" t="n"/>
      <c r="IA47" s="51" t="n">
        <v>800</v>
      </c>
      <c r="IB47" s="45" t="n"/>
      <c r="IC47" s="44" t="n">
        <v>0</v>
      </c>
      <c r="ID47" s="35" t="n"/>
      <c r="IE47" s="51" t="n">
        <v>800</v>
      </c>
      <c r="IF47" s="45" t="n"/>
      <c r="IG47" s="44" t="n">
        <v>0</v>
      </c>
      <c r="IH47" s="35" t="n"/>
      <c r="II47" s="51" t="n">
        <v>800</v>
      </c>
      <c r="IJ47" s="171" t="n"/>
      <c r="IK47" s="44" t="n">
        <v>0</v>
      </c>
      <c r="IL47" s="35" t="n"/>
      <c r="IM47" s="51" t="n">
        <v>800</v>
      </c>
      <c r="IN47" s="171" t="n"/>
      <c r="IO47" s="44" t="n">
        <v>0</v>
      </c>
      <c r="IP47" s="35" t="n"/>
      <c r="IQ47" s="51" t="n">
        <v>800</v>
      </c>
      <c r="IR47" s="171" t="n"/>
      <c r="IS47" s="44" t="n">
        <v>0</v>
      </c>
      <c r="IT47" s="35" t="n"/>
      <c r="IU47" s="51" t="n">
        <v>800</v>
      </c>
      <c r="IV47" s="171" t="n"/>
      <c r="IW47" s="155" t="n">
        <v>0</v>
      </c>
      <c r="IX47" s="35" t="n"/>
      <c r="IY47" s="51" t="n">
        <v>800</v>
      </c>
      <c r="IZ47" s="174" t="n"/>
      <c r="JA47" s="380" t="n">
        <v>0</v>
      </c>
      <c r="JB47" s="35" t="n"/>
      <c r="JC47" s="381">
        <f>HG47+HK47+HO47+HS47+HW47+IA47+IE47+II47+IM47+IQ47+IU47+IY47</f>
        <v/>
      </c>
      <c r="JD47" s="386">
        <f>JC47*$I47</f>
        <v/>
      </c>
    </row>
    <row r="48" ht="13.5" customHeight="1">
      <c r="A48" s="382" t="n"/>
      <c r="B48" s="382" t="n"/>
      <c r="C48" s="382" t="n"/>
      <c r="D48" s="382" t="n"/>
      <c r="E48" s="166" t="n">
        <v>7</v>
      </c>
      <c r="F48" s="166" t="n">
        <v>1</v>
      </c>
      <c r="G48" s="137" t="n">
        <v>4491731200</v>
      </c>
      <c r="H48" s="138" t="inlineStr">
        <is>
          <t>Кабель питания для п/п 12 м</t>
        </is>
      </c>
      <c r="I48" s="167" t="n">
        <v>509.67</v>
      </c>
      <c r="J48" s="164" t="n">
        <v>509.67</v>
      </c>
      <c r="K48" s="298" t="n">
        <v>697.52</v>
      </c>
      <c r="L48" s="298" t="n">
        <v>697.52</v>
      </c>
      <c r="M48" s="164" t="n"/>
      <c r="N48" s="164" t="n"/>
      <c r="O48" s="30" t="n"/>
      <c r="P48" s="31" t="n"/>
      <c r="Q48" s="32" t="n"/>
      <c r="R48" s="31" t="n"/>
      <c r="S48" s="30" t="n"/>
      <c r="T48" s="31" t="n"/>
      <c r="U48" s="32" t="n"/>
      <c r="V48" s="31" t="n"/>
      <c r="W48" s="30" t="n"/>
      <c r="X48" s="31" t="n"/>
      <c r="Y48" s="32" t="n"/>
      <c r="Z48" s="31" t="n"/>
      <c r="AA48" s="30" t="n"/>
      <c r="AB48" s="31" t="n"/>
      <c r="AC48" s="32" t="n">
        <v>0</v>
      </c>
      <c r="AD48" s="31" t="n"/>
      <c r="AE48" s="30" t="n"/>
      <c r="AF48" s="31" t="n"/>
      <c r="AG48" s="32" t="n">
        <v>0</v>
      </c>
      <c r="AH48" s="31" t="n"/>
      <c r="AI48" s="30" t="n"/>
      <c r="AJ48" s="174" t="n">
        <v>0</v>
      </c>
      <c r="AK48" s="32" t="n">
        <v>0</v>
      </c>
      <c r="AL48" s="31" t="n"/>
      <c r="AM48" s="30" t="n"/>
      <c r="AN48" s="171" t="n">
        <v>0</v>
      </c>
      <c r="AO48" s="32" t="n"/>
      <c r="AP48" s="31" t="inlineStr">
        <is>
          <t>Перенос на август заказа ввиду, наложения личной закупки продукции ТОНАРом</t>
        </is>
      </c>
      <c r="AQ48" s="30" t="n"/>
      <c r="AR48" s="172" t="n">
        <v>1000</v>
      </c>
      <c r="AS48" s="32" t="n">
        <v>0</v>
      </c>
      <c r="AT48" s="31" t="n"/>
      <c r="AU48" s="30" t="n"/>
      <c r="AV48" s="173" t="n">
        <v>1000</v>
      </c>
      <c r="AW48" s="32" t="n">
        <v>0</v>
      </c>
      <c r="AX48" s="31" t="n"/>
      <c r="AY48" s="30" t="n"/>
      <c r="AZ48" s="179" t="n">
        <v>1000</v>
      </c>
      <c r="BA48" s="32" t="n">
        <v>1000</v>
      </c>
      <c r="BB48" s="34" t="n"/>
      <c r="BC48" s="30" t="n"/>
      <c r="BD48" s="169" t="n">
        <v>306</v>
      </c>
      <c r="BE48" s="155" t="n">
        <v>0</v>
      </c>
      <c r="BF48" s="34" t="n"/>
      <c r="BG48" s="30" t="n"/>
      <c r="BH48" s="169" t="n">
        <v>800</v>
      </c>
      <c r="BI48" s="136" t="n">
        <v>0</v>
      </c>
      <c r="BJ48" s="34" t="n"/>
      <c r="BK48" s="381">
        <f>O48+S48+W48+AA48+AE48+AI48+AM48+AQ48+AU48+AY48+BC48+BG48</f>
        <v/>
      </c>
      <c r="BL48" s="386">
        <f>BK48*$I48</f>
        <v/>
      </c>
      <c r="BM48" s="41" t="n">
        <v>0</v>
      </c>
      <c r="BN48" s="169" t="n">
        <v>0</v>
      </c>
      <c r="BO48" s="44" t="n">
        <v>800</v>
      </c>
      <c r="BP48" s="35" t="n"/>
      <c r="BQ48" s="45" t="n">
        <v>306</v>
      </c>
      <c r="BR48" s="169" t="n">
        <v>0</v>
      </c>
      <c r="BS48" s="32" t="n">
        <v>0</v>
      </c>
      <c r="BT48" s="31" t="n"/>
      <c r="BU48" s="45" t="n">
        <v>373</v>
      </c>
      <c r="BV48" s="171" t="n">
        <v>0</v>
      </c>
      <c r="BW48" s="44" t="n">
        <v>0</v>
      </c>
      <c r="BX48" s="35" t="n"/>
      <c r="BY48" s="45" t="n">
        <v>1095</v>
      </c>
      <c r="BZ48" s="35" t="n">
        <v>0</v>
      </c>
      <c r="CA48" s="44" t="n">
        <v>0</v>
      </c>
      <c r="CB48" s="35" t="n"/>
      <c r="CC48" s="45" t="n">
        <v>1013</v>
      </c>
      <c r="CD48" s="35" t="n">
        <v>0</v>
      </c>
      <c r="CE48" s="32" t="n">
        <v>0</v>
      </c>
      <c r="CF48" s="31" t="n"/>
      <c r="CG48" s="41" t="n">
        <v>1043</v>
      </c>
      <c r="CH48" s="175" t="n">
        <v>200</v>
      </c>
      <c r="CI48" s="44" t="n">
        <v>0</v>
      </c>
      <c r="CJ48" s="35" t="n"/>
      <c r="CK48" s="45" t="n">
        <v>1270</v>
      </c>
      <c r="CL48" s="176" t="n">
        <v>300</v>
      </c>
      <c r="CM48" s="44" t="n">
        <v>200</v>
      </c>
      <c r="CN48" s="35" t="n"/>
      <c r="CO48" s="45" t="n">
        <v>1273</v>
      </c>
      <c r="CP48" s="176" t="n">
        <v>300</v>
      </c>
      <c r="CQ48" s="44" t="n">
        <v>100</v>
      </c>
      <c r="CR48" s="35" t="n"/>
      <c r="CS48" s="45" t="n">
        <v>1260</v>
      </c>
      <c r="CT48" s="176" t="n">
        <v>300</v>
      </c>
      <c r="CU48" s="44" t="n">
        <v>300</v>
      </c>
      <c r="CV48" s="35" t="n"/>
      <c r="CW48" s="45" t="n">
        <v>1361</v>
      </c>
      <c r="CX48" s="177" t="n">
        <v>300</v>
      </c>
      <c r="CY48" s="44" t="n">
        <v>0</v>
      </c>
      <c r="CZ48" s="35" t="n"/>
      <c r="DA48" s="45" t="n">
        <v>1227</v>
      </c>
      <c r="DB48" s="177" t="n">
        <v>300</v>
      </c>
      <c r="DC48" s="155" t="n">
        <v>0</v>
      </c>
      <c r="DD48" s="35" t="n"/>
      <c r="DE48" s="45" t="n">
        <v>1385</v>
      </c>
      <c r="DF48" s="283" t="n">
        <v>300</v>
      </c>
      <c r="DG48" s="380" t="n">
        <v>242</v>
      </c>
      <c r="DH48" s="35" t="n"/>
      <c r="DI48" s="379">
        <f>BM48+BQ48+BU48+BY48+CC48+CG48+CK48+CO48+CS48+CW48+DA48+DE48</f>
        <v/>
      </c>
      <c r="DJ48" s="387">
        <f>DI48*$I48</f>
        <v/>
      </c>
      <c r="DK48" s="82" t="n">
        <v>300</v>
      </c>
      <c r="DL48" s="35" t="n">
        <v>200</v>
      </c>
      <c r="DM48" s="44" t="n">
        <v>100</v>
      </c>
      <c r="DN48" s="35" t="n"/>
      <c r="DO48" s="82" t="n">
        <v>300</v>
      </c>
      <c r="DP48" s="282" t="n">
        <v>150</v>
      </c>
      <c r="DQ48" s="44" t="n">
        <v>0</v>
      </c>
      <c r="DR48" s="35" t="n"/>
      <c r="DS48" s="82" t="n">
        <v>300</v>
      </c>
      <c r="DT48" s="306" t="n">
        <v>100</v>
      </c>
      <c r="DU48" s="44" t="n">
        <v>166</v>
      </c>
      <c r="DV48" s="35" t="n"/>
      <c r="DW48" s="82" t="n">
        <v>300</v>
      </c>
      <c r="DX48" s="35" t="n">
        <v>100</v>
      </c>
      <c r="DY48" s="44" t="n">
        <v>300</v>
      </c>
      <c r="DZ48" s="36" t="n"/>
      <c r="EA48" s="82" t="n">
        <v>300</v>
      </c>
      <c r="EB48" s="35" t="n">
        <v>200</v>
      </c>
      <c r="EC48" s="44" t="n">
        <v>200</v>
      </c>
      <c r="ED48" s="36" t="n"/>
      <c r="EE48" s="82" t="n">
        <v>500</v>
      </c>
      <c r="EF48" s="35" t="n">
        <v>250</v>
      </c>
      <c r="EG48" s="44" t="n">
        <v>0</v>
      </c>
      <c r="EH48" s="35" t="n"/>
      <c r="EI48" s="82" t="n">
        <v>500</v>
      </c>
      <c r="EJ48" s="35" t="n">
        <v>250</v>
      </c>
      <c r="EK48" s="44" t="n">
        <v>0</v>
      </c>
      <c r="EL48" s="35" t="n"/>
      <c r="EM48" s="82" t="n">
        <v>500</v>
      </c>
      <c r="EN48" s="281" t="n">
        <v>300</v>
      </c>
      <c r="EO48" s="44" t="n">
        <v>0</v>
      </c>
      <c r="EP48" s="35" t="n"/>
      <c r="EQ48" s="82" t="n">
        <v>500</v>
      </c>
      <c r="ER48" s="281" t="n">
        <v>300</v>
      </c>
      <c r="ES48" s="44" t="n">
        <v>0</v>
      </c>
      <c r="ET48" s="35" t="n"/>
      <c r="EU48" s="82" t="n">
        <v>500</v>
      </c>
      <c r="EV48" s="281" t="n">
        <v>300</v>
      </c>
      <c r="EW48" s="44" t="n">
        <v>0</v>
      </c>
      <c r="EX48" s="35" t="n"/>
      <c r="EY48" s="82" t="n">
        <v>500</v>
      </c>
      <c r="EZ48" s="281" t="n">
        <v>300</v>
      </c>
      <c r="FA48" s="288" t="n">
        <v>0</v>
      </c>
      <c r="FB48" s="35" t="n"/>
      <c r="FC48" s="82" t="n">
        <v>500</v>
      </c>
      <c r="FD48" s="281" t="n">
        <v>300</v>
      </c>
      <c r="FE48" s="380" t="n">
        <v>0</v>
      </c>
      <c r="FF48" s="35" t="n"/>
      <c r="FG48" s="379">
        <f>DK48+DO48+DS48+DW48+EA48+EE48+EI48+EM48+EQ48+EU48+EY48+FC48</f>
        <v/>
      </c>
      <c r="FH48" s="387">
        <f>FG48*$I48</f>
        <v/>
      </c>
      <c r="FI48" s="171" t="n">
        <v>500</v>
      </c>
      <c r="FJ48" s="169" t="n"/>
      <c r="FK48" s="44" t="n">
        <v>0</v>
      </c>
      <c r="FL48" s="35" t="n"/>
      <c r="FM48" s="51" t="n">
        <v>500</v>
      </c>
      <c r="FN48" s="169" t="n"/>
      <c r="FO48" s="44" t="n">
        <v>0</v>
      </c>
      <c r="FP48" s="35" t="n"/>
      <c r="FQ48" s="51" t="n">
        <v>500</v>
      </c>
      <c r="FR48" s="171" t="n"/>
      <c r="FS48" s="44" t="n">
        <v>0</v>
      </c>
      <c r="FT48" s="35" t="n"/>
      <c r="FU48" s="51" t="n">
        <v>500</v>
      </c>
      <c r="FV48" s="35" t="n"/>
      <c r="FW48" s="44" t="n">
        <v>0</v>
      </c>
      <c r="FX48" s="35" t="n"/>
      <c r="FY48" s="51" t="n">
        <v>500</v>
      </c>
      <c r="FZ48" s="35" t="n"/>
      <c r="GA48" s="44" t="n">
        <v>0</v>
      </c>
      <c r="GB48" s="35" t="n"/>
      <c r="GC48" s="51" t="n">
        <v>500</v>
      </c>
      <c r="GD48" s="45" t="n"/>
      <c r="GE48" s="44" t="n">
        <v>0</v>
      </c>
      <c r="GF48" s="35" t="n"/>
      <c r="GG48" s="51" t="n">
        <v>500</v>
      </c>
      <c r="GH48" s="45" t="n"/>
      <c r="GI48" s="44" t="n">
        <v>0</v>
      </c>
      <c r="GJ48" s="35" t="n"/>
      <c r="GK48" s="51" t="n">
        <v>600</v>
      </c>
      <c r="GL48" s="171" t="n"/>
      <c r="GM48" s="44" t="n">
        <v>0</v>
      </c>
      <c r="GN48" s="35" t="n"/>
      <c r="GO48" s="51" t="n">
        <v>600</v>
      </c>
      <c r="GP48" s="171" t="n"/>
      <c r="GQ48" s="44" t="n">
        <v>0</v>
      </c>
      <c r="GR48" s="35" t="n"/>
      <c r="GS48" s="51" t="n">
        <v>600</v>
      </c>
      <c r="GT48" s="171" t="n"/>
      <c r="GU48" s="44" t="n">
        <v>0</v>
      </c>
      <c r="GV48" s="35" t="n"/>
      <c r="GW48" s="51" t="n">
        <v>600</v>
      </c>
      <c r="GX48" s="171" t="n"/>
      <c r="GY48" s="155" t="n">
        <v>0</v>
      </c>
      <c r="GZ48" s="35" t="n"/>
      <c r="HA48" s="51" t="n">
        <v>600</v>
      </c>
      <c r="HB48" s="174" t="n"/>
      <c r="HC48" s="380" t="n">
        <v>0</v>
      </c>
      <c r="HD48" s="35" t="n"/>
      <c r="HE48" s="379">
        <f>FI48+FM48+FQ48+FU48+FY48+GC48+GG48+GK48+GO48+GS48+GW48+HA48</f>
        <v/>
      </c>
      <c r="HF48" s="387">
        <f>HE48*$I48</f>
        <v/>
      </c>
      <c r="HG48" s="51" t="n">
        <v>600</v>
      </c>
      <c r="HH48" s="169" t="n"/>
      <c r="HI48" s="44" t="n">
        <v>0</v>
      </c>
      <c r="HJ48" s="35" t="n"/>
      <c r="HK48" s="51" t="n">
        <v>600</v>
      </c>
      <c r="HL48" s="169" t="n"/>
      <c r="HM48" s="44" t="n">
        <v>0</v>
      </c>
      <c r="HN48" s="35" t="n"/>
      <c r="HO48" s="51" t="n">
        <v>800</v>
      </c>
      <c r="HP48" s="171" t="n"/>
      <c r="HQ48" s="44" t="n">
        <v>0</v>
      </c>
      <c r="HR48" s="35" t="n"/>
      <c r="HS48" s="51" t="n">
        <v>800</v>
      </c>
      <c r="HT48" s="35" t="n"/>
      <c r="HU48" s="44" t="n">
        <v>0</v>
      </c>
      <c r="HV48" s="35" t="n"/>
      <c r="HW48" s="51" t="n">
        <v>800</v>
      </c>
      <c r="HX48" s="35" t="n"/>
      <c r="HY48" s="44" t="n">
        <v>0</v>
      </c>
      <c r="HZ48" s="35" t="n"/>
      <c r="IA48" s="51" t="n">
        <v>800</v>
      </c>
      <c r="IB48" s="45" t="n"/>
      <c r="IC48" s="44" t="n">
        <v>0</v>
      </c>
      <c r="ID48" s="35" t="n"/>
      <c r="IE48" s="51" t="n">
        <v>800</v>
      </c>
      <c r="IF48" s="45" t="n"/>
      <c r="IG48" s="44" t="n">
        <v>0</v>
      </c>
      <c r="IH48" s="35" t="n"/>
      <c r="II48" s="51" t="n">
        <v>800</v>
      </c>
      <c r="IJ48" s="171" t="n"/>
      <c r="IK48" s="44" t="n">
        <v>0</v>
      </c>
      <c r="IL48" s="35" t="n"/>
      <c r="IM48" s="51" t="n">
        <v>800</v>
      </c>
      <c r="IN48" s="171" t="n"/>
      <c r="IO48" s="44" t="n">
        <v>0</v>
      </c>
      <c r="IP48" s="35" t="n"/>
      <c r="IQ48" s="51" t="n">
        <v>800</v>
      </c>
      <c r="IR48" s="171" t="n"/>
      <c r="IS48" s="44" t="n">
        <v>0</v>
      </c>
      <c r="IT48" s="35" t="n"/>
      <c r="IU48" s="51" t="n">
        <v>800</v>
      </c>
      <c r="IV48" s="171" t="n"/>
      <c r="IW48" s="155" t="n">
        <v>0</v>
      </c>
      <c r="IX48" s="35" t="n"/>
      <c r="IY48" s="51" t="n">
        <v>800</v>
      </c>
      <c r="IZ48" s="174" t="n"/>
      <c r="JA48" s="380" t="n">
        <v>0</v>
      </c>
      <c r="JB48" s="35" t="n"/>
      <c r="JC48" s="381">
        <f>HG48+HK48+HO48+HS48+HW48+IA48+IE48+II48+IM48+IQ48+IU48+IY48</f>
        <v/>
      </c>
      <c r="JD48" s="386">
        <f>JC48*$I48</f>
        <v/>
      </c>
    </row>
    <row r="49" ht="13.5" customHeight="1">
      <c r="A49" s="382" t="n"/>
      <c r="B49" s="382" t="n"/>
      <c r="C49" s="382" t="n"/>
      <c r="D49" s="382" t="n"/>
      <c r="E49" s="166" t="n">
        <v>8</v>
      </c>
      <c r="F49" s="166" t="n">
        <v>1</v>
      </c>
      <c r="G49" s="137" t="n">
        <v>4497230300</v>
      </c>
      <c r="H49" s="138" t="inlineStr">
        <is>
          <t xml:space="preserve">Кабель-удлинитель датчика АБС 3м </t>
        </is>
      </c>
      <c r="I49" s="167" t="n">
        <v>44.3</v>
      </c>
      <c r="J49" s="164" t="n">
        <v>44.3</v>
      </c>
      <c r="K49" s="299" t="n">
        <v>57.17</v>
      </c>
      <c r="L49" s="299" t="n">
        <v>57.17</v>
      </c>
      <c r="M49" s="164" t="n"/>
      <c r="N49" s="164" t="n"/>
      <c r="O49" s="30" t="n"/>
      <c r="P49" s="31" t="n"/>
      <c r="Q49" s="32" t="n"/>
      <c r="R49" s="31" t="n"/>
      <c r="S49" s="30" t="n"/>
      <c r="T49" s="31" t="n"/>
      <c r="U49" s="32" t="n"/>
      <c r="V49" s="31" t="n"/>
      <c r="W49" s="30" t="n"/>
      <c r="X49" s="31" t="n"/>
      <c r="Y49" s="32" t="n"/>
      <c r="Z49" s="31" t="n"/>
      <c r="AA49" s="30" t="n"/>
      <c r="AB49" s="31" t="n"/>
      <c r="AC49" s="32" t="n">
        <v>0</v>
      </c>
      <c r="AD49" s="31" t="n"/>
      <c r="AE49" s="30" t="n"/>
      <c r="AF49" s="31" t="n"/>
      <c r="AG49" s="32" t="n">
        <v>0</v>
      </c>
      <c r="AH49" s="31" t="n"/>
      <c r="AI49" s="30" t="n"/>
      <c r="AJ49" s="171" t="n">
        <v>2100</v>
      </c>
      <c r="AK49" s="32" t="n">
        <v>0</v>
      </c>
      <c r="AL49" s="31" t="n"/>
      <c r="AM49" s="30" t="n"/>
      <c r="AN49" s="171" t="n">
        <v>0</v>
      </c>
      <c r="AO49" s="32" t="n">
        <v>1000</v>
      </c>
      <c r="AP49" s="31" t="inlineStr">
        <is>
          <t>Перенос на август заказа ввиду, наложения личной закупки продукции ТОНАРом</t>
        </is>
      </c>
      <c r="AQ49" s="30" t="n"/>
      <c r="AR49" s="172" t="n">
        <v>4000</v>
      </c>
      <c r="AS49" s="32" t="n">
        <v>1300</v>
      </c>
      <c r="AT49" s="31" t="n"/>
      <c r="AU49" s="30" t="n"/>
      <c r="AV49" s="173" t="n">
        <v>0</v>
      </c>
      <c r="AW49" s="32" t="n">
        <v>0</v>
      </c>
      <c r="AX49" s="31" t="n"/>
      <c r="AY49" s="30" t="n"/>
      <c r="AZ49" s="173" t="n">
        <v>3000</v>
      </c>
      <c r="BA49" s="32" t="n">
        <v>3000</v>
      </c>
      <c r="BB49" s="34" t="n"/>
      <c r="BC49" s="30" t="n"/>
      <c r="BD49" s="169" t="n">
        <v>1071</v>
      </c>
      <c r="BE49" s="155" t="n">
        <v>0</v>
      </c>
      <c r="BF49" s="34" t="n"/>
      <c r="BG49" s="30" t="n"/>
      <c r="BH49" s="169" t="n">
        <v>2500</v>
      </c>
      <c r="BI49" s="136" t="n">
        <v>0</v>
      </c>
      <c r="BJ49" s="34" t="n"/>
      <c r="BK49" s="381">
        <f>O49+S49+W49+AA49+AE49+AI49+AM49+AQ49+AU49+AY49+BC49+BG49</f>
        <v/>
      </c>
      <c r="BL49" s="386">
        <f>BK49*$I49</f>
        <v/>
      </c>
      <c r="BM49" s="41" t="n">
        <v>0</v>
      </c>
      <c r="BN49" s="169" t="n">
        <v>0</v>
      </c>
      <c r="BO49" s="44" t="n">
        <v>2500</v>
      </c>
      <c r="BP49" s="35" t="n"/>
      <c r="BQ49" s="45" t="n">
        <v>1071</v>
      </c>
      <c r="BR49" s="169" t="n">
        <v>0</v>
      </c>
      <c r="BS49" s="32" t="n">
        <v>0</v>
      </c>
      <c r="BT49" s="31" t="n"/>
      <c r="BU49" s="45" t="n">
        <v>1305</v>
      </c>
      <c r="BV49" s="174" t="n">
        <v>0</v>
      </c>
      <c r="BW49" s="44" t="n">
        <v>0</v>
      </c>
      <c r="BX49" s="35" t="n"/>
      <c r="BY49" s="45" t="n">
        <v>3833</v>
      </c>
      <c r="BZ49" s="35" t="n">
        <v>0</v>
      </c>
      <c r="CA49" s="44" t="n">
        <v>0</v>
      </c>
      <c r="CB49" s="35" t="n"/>
      <c r="CC49" s="45" t="n">
        <v>3546</v>
      </c>
      <c r="CD49" s="35" t="n">
        <v>0</v>
      </c>
      <c r="CE49" s="32" t="n">
        <v>0</v>
      </c>
      <c r="CF49" s="31" t="n"/>
      <c r="CG49" s="41" t="n">
        <v>3651</v>
      </c>
      <c r="CH49" s="45" t="n">
        <v>0</v>
      </c>
      <c r="CI49" s="44" t="n">
        <v>0</v>
      </c>
      <c r="CJ49" s="35" t="n"/>
      <c r="CK49" s="45" t="n">
        <v>4445</v>
      </c>
      <c r="CL49" s="176" t="n">
        <v>0</v>
      </c>
      <c r="CM49" s="44" t="n">
        <v>0</v>
      </c>
      <c r="CN49" s="35" t="n"/>
      <c r="CO49" s="45" t="n">
        <v>4456</v>
      </c>
      <c r="CP49" s="176" t="n">
        <v>500</v>
      </c>
      <c r="CQ49" s="44" t="n">
        <v>200</v>
      </c>
      <c r="CR49" s="35" t="n"/>
      <c r="CS49" s="45" t="n">
        <v>4410</v>
      </c>
      <c r="CT49" s="176" t="n">
        <v>1000</v>
      </c>
      <c r="CU49" s="44" t="n">
        <v>500</v>
      </c>
      <c r="CV49" s="35" t="n"/>
      <c r="CW49" s="45" t="n">
        <v>4764</v>
      </c>
      <c r="CX49" s="177" t="n">
        <v>800</v>
      </c>
      <c r="CY49" s="44" t="n">
        <v>0</v>
      </c>
      <c r="CZ49" s="35" t="n"/>
      <c r="DA49" s="45" t="n">
        <v>4295</v>
      </c>
      <c r="DB49" s="177" t="n">
        <v>800</v>
      </c>
      <c r="DC49" s="155" t="n">
        <v>800</v>
      </c>
      <c r="DD49" s="35" t="n"/>
      <c r="DE49" s="45" t="n">
        <v>4848</v>
      </c>
      <c r="DF49" s="283" t="n">
        <v>600</v>
      </c>
      <c r="DG49" s="380" t="n">
        <v>684</v>
      </c>
      <c r="DH49" s="35" t="n"/>
      <c r="DI49" s="379">
        <f>BM49+BQ49+BU49+BY49+CC49+CG49+CK49+CO49+CS49+CW49+DA49+DE49</f>
        <v/>
      </c>
      <c r="DJ49" s="387">
        <f>DI49*$I49</f>
        <v/>
      </c>
      <c r="DK49" s="82" t="n">
        <v>600</v>
      </c>
      <c r="DL49" s="35" t="n">
        <v>400</v>
      </c>
      <c r="DM49" s="44" t="n">
        <v>400</v>
      </c>
      <c r="DN49" s="35" t="n"/>
      <c r="DO49" s="82" t="n">
        <v>600</v>
      </c>
      <c r="DP49" s="282" t="n">
        <v>300</v>
      </c>
      <c r="DQ49" s="44" t="n">
        <v>0</v>
      </c>
      <c r="DR49" s="35" t="n"/>
      <c r="DS49" s="82" t="n">
        <v>600</v>
      </c>
      <c r="DT49" s="306" t="n">
        <v>400</v>
      </c>
      <c r="DU49" s="44" t="n">
        <v>698</v>
      </c>
      <c r="DV49" s="35" t="n"/>
      <c r="DW49" s="82" t="n">
        <v>600</v>
      </c>
      <c r="DX49" s="35" t="n">
        <v>400</v>
      </c>
      <c r="DY49" s="44" t="n">
        <v>1200</v>
      </c>
      <c r="DZ49" s="36" t="n"/>
      <c r="EA49" s="82" t="n">
        <v>600</v>
      </c>
      <c r="EB49" s="35" t="n">
        <v>400</v>
      </c>
      <c r="EC49" s="44" t="n">
        <v>800</v>
      </c>
      <c r="ED49" s="36" t="n"/>
      <c r="EE49" s="82" t="n">
        <v>2000</v>
      </c>
      <c r="EF49" s="35" t="n">
        <v>1000</v>
      </c>
      <c r="EG49" s="44" t="n">
        <v>0</v>
      </c>
      <c r="EH49" s="35" t="n"/>
      <c r="EI49" s="82" t="n">
        <v>2000</v>
      </c>
      <c r="EJ49" s="35" t="n">
        <v>1000</v>
      </c>
      <c r="EK49" s="44" t="n">
        <v>0</v>
      </c>
      <c r="EL49" s="35" t="n"/>
      <c r="EM49" s="82" t="n">
        <v>2000</v>
      </c>
      <c r="EN49" s="281" t="n">
        <v>1200</v>
      </c>
      <c r="EO49" s="44" t="n">
        <v>0</v>
      </c>
      <c r="EP49" s="35" t="n"/>
      <c r="EQ49" s="82" t="n">
        <v>2000</v>
      </c>
      <c r="ER49" s="281" t="n">
        <v>1200</v>
      </c>
      <c r="ES49" s="44" t="n">
        <v>0</v>
      </c>
      <c r="ET49" s="35" t="n"/>
      <c r="EU49" s="82" t="n">
        <v>2000</v>
      </c>
      <c r="EV49" s="281" t="n">
        <v>1200</v>
      </c>
      <c r="EW49" s="44" t="n">
        <v>0</v>
      </c>
      <c r="EX49" s="35" t="n"/>
      <c r="EY49" s="82" t="n">
        <v>2000</v>
      </c>
      <c r="EZ49" s="281" t="n">
        <v>1200</v>
      </c>
      <c r="FA49" s="288" t="n">
        <v>0</v>
      </c>
      <c r="FB49" s="35" t="n"/>
      <c r="FC49" s="82" t="n">
        <v>2000</v>
      </c>
      <c r="FD49" s="281" t="n">
        <v>1200</v>
      </c>
      <c r="FE49" s="380" t="n">
        <v>0</v>
      </c>
      <c r="FF49" s="35" t="n"/>
      <c r="FG49" s="379">
        <f>DK49+DO49+DS49+DW49+EA49+EE49+EI49+EM49+EQ49+EU49+EY49+FC49</f>
        <v/>
      </c>
      <c r="FH49" s="387">
        <f>FG49*$I49</f>
        <v/>
      </c>
      <c r="FI49" s="171" t="n">
        <v>2000</v>
      </c>
      <c r="FJ49" s="169" t="n"/>
      <c r="FK49" s="44" t="n">
        <v>0</v>
      </c>
      <c r="FL49" s="35" t="n"/>
      <c r="FM49" s="51" t="n">
        <v>2000</v>
      </c>
      <c r="FN49" s="169" t="n"/>
      <c r="FO49" s="44" t="n">
        <v>0</v>
      </c>
      <c r="FP49" s="35" t="n"/>
      <c r="FQ49" s="51" t="n">
        <v>2000</v>
      </c>
      <c r="FR49" s="174" t="n"/>
      <c r="FS49" s="44" t="n">
        <v>0</v>
      </c>
      <c r="FT49" s="35" t="n"/>
      <c r="FU49" s="51" t="n">
        <v>2000</v>
      </c>
      <c r="FV49" s="35" t="n"/>
      <c r="FW49" s="44" t="n">
        <v>0</v>
      </c>
      <c r="FX49" s="35" t="n"/>
      <c r="FY49" s="51" t="n">
        <v>2000</v>
      </c>
      <c r="FZ49" s="35" t="n"/>
      <c r="GA49" s="44" t="n">
        <v>0</v>
      </c>
      <c r="GB49" s="35" t="n"/>
      <c r="GC49" s="51" t="n">
        <v>2000</v>
      </c>
      <c r="GD49" s="45" t="n"/>
      <c r="GE49" s="44" t="n">
        <v>0</v>
      </c>
      <c r="GF49" s="35" t="n"/>
      <c r="GG49" s="51" t="n">
        <v>2000</v>
      </c>
      <c r="GH49" s="45" t="n"/>
      <c r="GI49" s="44" t="n">
        <v>0</v>
      </c>
      <c r="GJ49" s="35" t="n"/>
      <c r="GK49" s="51" t="n">
        <v>2400</v>
      </c>
      <c r="GL49" s="171" t="n"/>
      <c r="GM49" s="44" t="n">
        <v>0</v>
      </c>
      <c r="GN49" s="35" t="n"/>
      <c r="GO49" s="51" t="n">
        <v>2400</v>
      </c>
      <c r="GP49" s="171" t="n"/>
      <c r="GQ49" s="44" t="n">
        <v>0</v>
      </c>
      <c r="GR49" s="35" t="n"/>
      <c r="GS49" s="51" t="n">
        <v>2400</v>
      </c>
      <c r="GT49" s="171" t="n"/>
      <c r="GU49" s="44" t="n">
        <v>0</v>
      </c>
      <c r="GV49" s="35" t="n"/>
      <c r="GW49" s="51" t="n">
        <v>2400</v>
      </c>
      <c r="GX49" s="171" t="n"/>
      <c r="GY49" s="155" t="n">
        <v>0</v>
      </c>
      <c r="GZ49" s="35" t="n"/>
      <c r="HA49" s="51" t="n">
        <v>2400</v>
      </c>
      <c r="HB49" s="174" t="n"/>
      <c r="HC49" s="380" t="n">
        <v>0</v>
      </c>
      <c r="HD49" s="35" t="n"/>
      <c r="HE49" s="379">
        <f>FI49+FM49+FQ49+FU49+FY49+GC49+GG49+GK49+GO49+GS49+GW49+HA49</f>
        <v/>
      </c>
      <c r="HF49" s="387">
        <f>HE49*$I49</f>
        <v/>
      </c>
      <c r="HG49" s="51" t="n">
        <v>2400</v>
      </c>
      <c r="HH49" s="169" t="n"/>
      <c r="HI49" s="44" t="n">
        <v>0</v>
      </c>
      <c r="HJ49" s="35" t="n"/>
      <c r="HK49" s="51" t="n">
        <v>2400</v>
      </c>
      <c r="HL49" s="169" t="n"/>
      <c r="HM49" s="44" t="n">
        <v>0</v>
      </c>
      <c r="HN49" s="35" t="n"/>
      <c r="HO49" s="51" t="n">
        <v>3200</v>
      </c>
      <c r="HP49" s="174" t="n"/>
      <c r="HQ49" s="44" t="n">
        <v>0</v>
      </c>
      <c r="HR49" s="35" t="n"/>
      <c r="HS49" s="51" t="n">
        <v>3200</v>
      </c>
      <c r="HT49" s="35" t="n"/>
      <c r="HU49" s="44" t="n">
        <v>0</v>
      </c>
      <c r="HV49" s="35" t="n"/>
      <c r="HW49" s="51" t="n">
        <v>3200</v>
      </c>
      <c r="HX49" s="35" t="n"/>
      <c r="HY49" s="44" t="n">
        <v>0</v>
      </c>
      <c r="HZ49" s="35" t="n"/>
      <c r="IA49" s="51" t="n">
        <v>3200</v>
      </c>
      <c r="IB49" s="45" t="n"/>
      <c r="IC49" s="44" t="n">
        <v>0</v>
      </c>
      <c r="ID49" s="35" t="n"/>
      <c r="IE49" s="51" t="n">
        <v>3200</v>
      </c>
      <c r="IF49" s="45" t="n"/>
      <c r="IG49" s="44" t="n">
        <v>0</v>
      </c>
      <c r="IH49" s="35" t="n"/>
      <c r="II49" s="51" t="n">
        <v>3200</v>
      </c>
      <c r="IJ49" s="171" t="n"/>
      <c r="IK49" s="44" t="n">
        <v>0</v>
      </c>
      <c r="IL49" s="35" t="n"/>
      <c r="IM49" s="51" t="n">
        <v>3200</v>
      </c>
      <c r="IN49" s="171" t="n"/>
      <c r="IO49" s="44" t="n">
        <v>0</v>
      </c>
      <c r="IP49" s="35" t="n"/>
      <c r="IQ49" s="51" t="n">
        <v>3200</v>
      </c>
      <c r="IR49" s="171" t="n"/>
      <c r="IS49" s="44" t="n">
        <v>0</v>
      </c>
      <c r="IT49" s="35" t="n"/>
      <c r="IU49" s="51" t="n">
        <v>3200</v>
      </c>
      <c r="IV49" s="171" t="n"/>
      <c r="IW49" s="155" t="n">
        <v>0</v>
      </c>
      <c r="IX49" s="35" t="n"/>
      <c r="IY49" s="51" t="n">
        <v>3200</v>
      </c>
      <c r="IZ49" s="174" t="n"/>
      <c r="JA49" s="380" t="n">
        <v>0</v>
      </c>
      <c r="JB49" s="35" t="n"/>
      <c r="JC49" s="381">
        <f>HG49+HK49+HO49+HS49+HW49+IA49+IE49+II49+IM49+IQ49+IU49+IY49</f>
        <v/>
      </c>
      <c r="JD49" s="386">
        <f>JC49*$I49</f>
        <v/>
      </c>
    </row>
    <row r="50" ht="13.5" customHeight="1">
      <c r="A50" s="382" t="n"/>
      <c r="B50" s="382" t="n"/>
      <c r="C50" s="382" t="n"/>
      <c r="D50" s="382" t="n"/>
      <c r="E50" s="166" t="n">
        <v>9</v>
      </c>
      <c r="F50" s="166" t="n">
        <v>1</v>
      </c>
      <c r="G50" s="137" t="n">
        <v>4640060020</v>
      </c>
      <c r="H50" s="138" t="inlineStr">
        <is>
          <t>Кран уровня пола без фитингов</t>
        </is>
      </c>
      <c r="I50" s="167" t="n">
        <v>207.25</v>
      </c>
      <c r="J50" s="164" t="n">
        <v>207.25</v>
      </c>
      <c r="K50" s="164" t="n">
        <v>207.25</v>
      </c>
      <c r="L50" s="164" t="n">
        <v>207.25</v>
      </c>
      <c r="M50" s="164" t="n"/>
      <c r="N50" s="164" t="n"/>
      <c r="O50" s="30" t="n"/>
      <c r="P50" s="31" t="n"/>
      <c r="Q50" s="32" t="n"/>
      <c r="R50" s="31" t="n"/>
      <c r="S50" s="30" t="n"/>
      <c r="T50" s="31" t="n"/>
      <c r="U50" s="32" t="n"/>
      <c r="V50" s="31" t="n"/>
      <c r="W50" s="30" t="n"/>
      <c r="X50" s="31" t="n"/>
      <c r="Y50" s="32" t="n"/>
      <c r="Z50" s="31" t="n"/>
      <c r="AA50" s="30" t="n"/>
      <c r="AB50" s="31" t="n"/>
      <c r="AC50" s="32" t="n">
        <v>0</v>
      </c>
      <c r="AD50" s="31" t="n"/>
      <c r="AE50" s="30" t="n"/>
      <c r="AF50" s="31" t="n"/>
      <c r="AG50" s="32" t="n">
        <v>100</v>
      </c>
      <c r="AH50" s="31" t="n"/>
      <c r="AI50" s="30" t="n"/>
      <c r="AJ50" s="171" t="n">
        <v>1200</v>
      </c>
      <c r="AK50" s="32" t="n">
        <v>0</v>
      </c>
      <c r="AL50" s="31" t="n"/>
      <c r="AM50" s="30" t="n"/>
      <c r="AN50" s="171" t="n">
        <v>0</v>
      </c>
      <c r="AO50" s="32" t="n"/>
      <c r="AP50" s="31" t="inlineStr">
        <is>
          <t>Перенос на август заказа ввиду, наложения личной закупки продукции ТОНАРом</t>
        </is>
      </c>
      <c r="AQ50" s="30" t="n"/>
      <c r="AR50" s="172" t="n">
        <v>1000</v>
      </c>
      <c r="AS50" s="32" t="n">
        <v>1200</v>
      </c>
      <c r="AT50" s="31" t="n"/>
      <c r="AU50" s="30" t="n"/>
      <c r="AV50" s="173" t="n">
        <v>0</v>
      </c>
      <c r="AW50" s="32" t="n">
        <v>0</v>
      </c>
      <c r="AX50" s="31" t="n"/>
      <c r="AY50" s="30" t="n"/>
      <c r="AZ50" s="180" t="n">
        <v>0</v>
      </c>
      <c r="BA50" s="32" t="n">
        <v>0</v>
      </c>
      <c r="BB50" s="34" t="n"/>
      <c r="BC50" s="30" t="n"/>
      <c r="BD50" s="169" t="n">
        <v>306</v>
      </c>
      <c r="BE50" s="155" t="n">
        <v>0</v>
      </c>
      <c r="BF50" s="34" t="n"/>
      <c r="BG50" s="30" t="n"/>
      <c r="BH50" s="169" t="n">
        <v>0</v>
      </c>
      <c r="BI50" s="136" t="n">
        <v>0</v>
      </c>
      <c r="BJ50" s="34" t="n"/>
      <c r="BK50" s="381">
        <f>O50+S50+W50+AA50+AE50+AI50+AM50+AQ50+AU50+AY50+BC50+BG50</f>
        <v/>
      </c>
      <c r="BL50" s="386">
        <f>BK50*$I50</f>
        <v/>
      </c>
      <c r="BM50" s="41" t="n">
        <v>0</v>
      </c>
      <c r="BN50" s="169" t="n">
        <v>0</v>
      </c>
      <c r="BO50" s="44" t="n">
        <v>0</v>
      </c>
      <c r="BP50" s="35" t="n"/>
      <c r="BQ50" s="45" t="n">
        <v>306</v>
      </c>
      <c r="BR50" s="169" t="n">
        <v>0</v>
      </c>
      <c r="BS50" s="32" t="n">
        <v>0</v>
      </c>
      <c r="BT50" s="31" t="n"/>
      <c r="BU50" s="45" t="n">
        <v>373</v>
      </c>
      <c r="BV50" s="174" t="n">
        <v>0</v>
      </c>
      <c r="BW50" s="44" t="n">
        <v>0</v>
      </c>
      <c r="BX50" s="35" t="n"/>
      <c r="BY50" s="45" t="n">
        <v>1095</v>
      </c>
      <c r="BZ50" s="35" t="n">
        <v>0</v>
      </c>
      <c r="CA50" s="44" t="n">
        <v>0</v>
      </c>
      <c r="CB50" s="35" t="n"/>
      <c r="CC50" s="45" t="n">
        <v>1013</v>
      </c>
      <c r="CD50" s="35" t="n">
        <v>0</v>
      </c>
      <c r="CE50" s="32" t="n">
        <v>0</v>
      </c>
      <c r="CF50" s="31" t="n"/>
      <c r="CG50" s="41" t="n">
        <v>1043</v>
      </c>
      <c r="CH50" s="45" t="n">
        <v>0</v>
      </c>
      <c r="CI50" s="44" t="n">
        <v>0</v>
      </c>
      <c r="CJ50" s="35" t="n"/>
      <c r="CK50" s="45" t="n">
        <v>1270</v>
      </c>
      <c r="CL50" s="176" t="n">
        <v>0</v>
      </c>
      <c r="CM50" s="44" t="n">
        <v>0</v>
      </c>
      <c r="CN50" s="35" t="n"/>
      <c r="CO50" s="45" t="n">
        <v>1273</v>
      </c>
      <c r="CP50" s="176" t="n">
        <v>0</v>
      </c>
      <c r="CQ50" s="44" t="n">
        <v>100</v>
      </c>
      <c r="CR50" s="35" t="n"/>
      <c r="CS50" s="45" t="n">
        <v>1260</v>
      </c>
      <c r="CT50" s="176" t="n">
        <v>0</v>
      </c>
      <c r="CU50" s="44" t="n">
        <v>0</v>
      </c>
      <c r="CV50" s="35" t="n"/>
      <c r="CW50" s="45" t="n">
        <v>1361</v>
      </c>
      <c r="CX50" s="177" t="n">
        <v>0</v>
      </c>
      <c r="CY50" s="44" t="n">
        <v>0</v>
      </c>
      <c r="CZ50" s="35" t="n"/>
      <c r="DA50" s="45" t="n">
        <v>1227</v>
      </c>
      <c r="DB50" s="177" t="n">
        <v>0</v>
      </c>
      <c r="DC50" s="155" t="n">
        <v>0</v>
      </c>
      <c r="DD50" s="35" t="n"/>
      <c r="DE50" s="63" t="n">
        <v>1385</v>
      </c>
      <c r="DF50" s="283" t="n">
        <v>0</v>
      </c>
      <c r="DG50" s="380" t="n">
        <v>192</v>
      </c>
      <c r="DH50" s="35" t="n"/>
      <c r="DI50" s="379">
        <f>BM50+BQ50+BU50+BY50+CC50+CG50+CK50+CO50+CS50+CW50+DA50+DE50</f>
        <v/>
      </c>
      <c r="DJ50" s="387">
        <f>DI50*$I50</f>
        <v/>
      </c>
      <c r="DK50" s="82" t="n">
        <v>0</v>
      </c>
      <c r="DL50" s="35" t="n">
        <v>0</v>
      </c>
      <c r="DM50" s="44" t="n"/>
      <c r="DN50" s="35" t="n"/>
      <c r="DO50" s="82" t="n">
        <v>0</v>
      </c>
      <c r="DP50" s="282" t="n">
        <v>0</v>
      </c>
      <c r="DQ50" s="44" t="n">
        <v>0</v>
      </c>
      <c r="DR50" s="35" t="n"/>
      <c r="DS50" s="82" t="n">
        <v>0</v>
      </c>
      <c r="DT50" s="282" t="n">
        <v>0</v>
      </c>
      <c r="DU50" s="44" t="n"/>
      <c r="DV50" s="35" t="n"/>
      <c r="DW50" s="82" t="n">
        <v>0</v>
      </c>
      <c r="DX50" s="35" t="n">
        <v>0</v>
      </c>
      <c r="DY50" s="44" t="n"/>
      <c r="DZ50" s="36" t="n"/>
      <c r="EA50" s="82" t="n">
        <v>0</v>
      </c>
      <c r="EB50" s="35" t="n">
        <v>0</v>
      </c>
      <c r="EC50" s="44" t="n"/>
      <c r="ED50" s="36" t="n"/>
      <c r="EE50" s="82" t="n">
        <v>500</v>
      </c>
      <c r="EF50" s="47" t="n">
        <v>0</v>
      </c>
      <c r="EG50" s="44" t="n">
        <v>0</v>
      </c>
      <c r="EH50" s="35" t="n"/>
      <c r="EI50" s="82" t="n">
        <v>500</v>
      </c>
      <c r="EJ50" s="47" t="n">
        <v>0</v>
      </c>
      <c r="EK50" s="44" t="n">
        <v>0</v>
      </c>
      <c r="EL50" s="35" t="n"/>
      <c r="EM50" s="82" t="n">
        <v>500</v>
      </c>
      <c r="EN50" s="281" t="n">
        <v>0</v>
      </c>
      <c r="EO50" s="44" t="n">
        <v>0</v>
      </c>
      <c r="EP50" s="35" t="n"/>
      <c r="EQ50" s="82" t="n">
        <v>500</v>
      </c>
      <c r="ER50" s="281" t="n">
        <v>0</v>
      </c>
      <c r="ES50" s="44" t="n">
        <v>0</v>
      </c>
      <c r="ET50" s="35" t="n"/>
      <c r="EU50" s="82" t="n">
        <v>500</v>
      </c>
      <c r="EV50" s="281" t="n">
        <v>0</v>
      </c>
      <c r="EW50" s="44" t="n">
        <v>0</v>
      </c>
      <c r="EX50" s="35" t="n"/>
      <c r="EY50" s="82" t="n">
        <v>500</v>
      </c>
      <c r="EZ50" s="281" t="n">
        <v>0</v>
      </c>
      <c r="FA50" s="288" t="n">
        <v>0</v>
      </c>
      <c r="FB50" s="35" t="n"/>
      <c r="FC50" s="82" t="n">
        <v>500</v>
      </c>
      <c r="FD50" s="281" t="n">
        <v>0</v>
      </c>
      <c r="FE50" s="380" t="n">
        <v>0</v>
      </c>
      <c r="FF50" s="35" t="n"/>
      <c r="FG50" s="379">
        <f>DK50+DO50+DS50+DW50+EA50+EE50+EI50+EM50+EQ50+EU50+EY50+FC50</f>
        <v/>
      </c>
      <c r="FH50" s="387">
        <f>FG50*$I50</f>
        <v/>
      </c>
      <c r="FI50" s="171" t="n">
        <v>500</v>
      </c>
      <c r="FJ50" s="169" t="n"/>
      <c r="FK50" s="44" t="n">
        <v>0</v>
      </c>
      <c r="FL50" s="35" t="n"/>
      <c r="FM50" s="51" t="n">
        <v>500</v>
      </c>
      <c r="FN50" s="169" t="n"/>
      <c r="FO50" s="44" t="n">
        <v>0</v>
      </c>
      <c r="FP50" s="35" t="n"/>
      <c r="FQ50" s="51" t="n">
        <v>500</v>
      </c>
      <c r="FR50" s="174" t="n"/>
      <c r="FS50" s="44" t="n">
        <v>0</v>
      </c>
      <c r="FT50" s="35" t="n"/>
      <c r="FU50" s="51" t="n">
        <v>500</v>
      </c>
      <c r="FV50" s="35" t="n"/>
      <c r="FW50" s="44" t="n">
        <v>0</v>
      </c>
      <c r="FX50" s="35" t="n"/>
      <c r="FY50" s="51" t="n">
        <v>500</v>
      </c>
      <c r="FZ50" s="35" t="n"/>
      <c r="GA50" s="44" t="n">
        <v>0</v>
      </c>
      <c r="GB50" s="35" t="n"/>
      <c r="GC50" s="51" t="n">
        <v>500</v>
      </c>
      <c r="GD50" s="45" t="n"/>
      <c r="GE50" s="44" t="n">
        <v>0</v>
      </c>
      <c r="GF50" s="35" t="n"/>
      <c r="GG50" s="51" t="n">
        <v>500</v>
      </c>
      <c r="GH50" s="45" t="n"/>
      <c r="GI50" s="44" t="n">
        <v>0</v>
      </c>
      <c r="GJ50" s="35" t="n"/>
      <c r="GK50" s="51" t="n">
        <v>600</v>
      </c>
      <c r="GL50" s="171" t="n"/>
      <c r="GM50" s="44" t="n">
        <v>0</v>
      </c>
      <c r="GN50" s="35" t="n"/>
      <c r="GO50" s="51" t="n">
        <v>600</v>
      </c>
      <c r="GP50" s="171" t="n"/>
      <c r="GQ50" s="44" t="n">
        <v>0</v>
      </c>
      <c r="GR50" s="35" t="n"/>
      <c r="GS50" s="51" t="n">
        <v>600</v>
      </c>
      <c r="GT50" s="171" t="n"/>
      <c r="GU50" s="44" t="n">
        <v>0</v>
      </c>
      <c r="GV50" s="35" t="n"/>
      <c r="GW50" s="51" t="n">
        <v>600</v>
      </c>
      <c r="GX50" s="171" t="n"/>
      <c r="GY50" s="155" t="n">
        <v>0</v>
      </c>
      <c r="GZ50" s="35" t="n"/>
      <c r="HA50" s="153" t="n">
        <v>600</v>
      </c>
      <c r="HB50" s="174" t="n"/>
      <c r="HC50" s="380" t="n">
        <v>0</v>
      </c>
      <c r="HD50" s="35" t="n"/>
      <c r="HE50" s="379">
        <f>FI50+FM50+FQ50+FU50+FY50+GC50+GG50+GK50+GO50+GS50+GW50+HA50</f>
        <v/>
      </c>
      <c r="HF50" s="387">
        <f>HE50*$I50</f>
        <v/>
      </c>
      <c r="HG50" s="51" t="n">
        <v>600</v>
      </c>
      <c r="HH50" s="169" t="n"/>
      <c r="HI50" s="44" t="n">
        <v>0</v>
      </c>
      <c r="HJ50" s="35" t="n"/>
      <c r="HK50" s="51" t="n">
        <v>600</v>
      </c>
      <c r="HL50" s="169" t="n"/>
      <c r="HM50" s="44" t="n">
        <v>0</v>
      </c>
      <c r="HN50" s="35" t="n"/>
      <c r="HO50" s="51" t="n">
        <v>800</v>
      </c>
      <c r="HP50" s="174" t="n"/>
      <c r="HQ50" s="44" t="n">
        <v>0</v>
      </c>
      <c r="HR50" s="35" t="n"/>
      <c r="HS50" s="51" t="n">
        <v>800</v>
      </c>
      <c r="HT50" s="35" t="n"/>
      <c r="HU50" s="44" t="n">
        <v>0</v>
      </c>
      <c r="HV50" s="35" t="n"/>
      <c r="HW50" s="51" t="n">
        <v>800</v>
      </c>
      <c r="HX50" s="35" t="n"/>
      <c r="HY50" s="44" t="n">
        <v>0</v>
      </c>
      <c r="HZ50" s="35" t="n"/>
      <c r="IA50" s="51" t="n">
        <v>800</v>
      </c>
      <c r="IB50" s="45" t="n"/>
      <c r="IC50" s="44" t="n">
        <v>0</v>
      </c>
      <c r="ID50" s="35" t="n"/>
      <c r="IE50" s="51" t="n">
        <v>800</v>
      </c>
      <c r="IF50" s="45" t="n"/>
      <c r="IG50" s="44" t="n">
        <v>0</v>
      </c>
      <c r="IH50" s="35" t="n"/>
      <c r="II50" s="51" t="n">
        <v>800</v>
      </c>
      <c r="IJ50" s="171" t="n"/>
      <c r="IK50" s="44" t="n">
        <v>0</v>
      </c>
      <c r="IL50" s="35" t="n"/>
      <c r="IM50" s="51" t="n">
        <v>800</v>
      </c>
      <c r="IN50" s="171" t="n"/>
      <c r="IO50" s="44" t="n">
        <v>0</v>
      </c>
      <c r="IP50" s="35" t="n"/>
      <c r="IQ50" s="51" t="n">
        <v>800</v>
      </c>
      <c r="IR50" s="171" t="n"/>
      <c r="IS50" s="44" t="n">
        <v>0</v>
      </c>
      <c r="IT50" s="35" t="n"/>
      <c r="IU50" s="51" t="n">
        <v>800</v>
      </c>
      <c r="IV50" s="171" t="n"/>
      <c r="IW50" s="155" t="n">
        <v>0</v>
      </c>
      <c r="IX50" s="35" t="n"/>
      <c r="IY50" s="51" t="n">
        <v>800</v>
      </c>
      <c r="IZ50" s="174" t="n"/>
      <c r="JA50" s="380" t="n">
        <v>0</v>
      </c>
      <c r="JB50" s="35" t="n"/>
      <c r="JC50" s="381">
        <f>HG50+HK50+HO50+HS50+HW50+IA50+IE50+II50+IM50+IQ50+IU50+IY50</f>
        <v/>
      </c>
      <c r="JD50" s="386">
        <f>JC50*$I50</f>
        <v/>
      </c>
    </row>
    <row r="51" ht="13.5" customHeight="1">
      <c r="A51" s="382" t="n"/>
      <c r="B51" s="382" t="n"/>
      <c r="C51" s="382" t="n"/>
      <c r="D51" s="382" t="n"/>
      <c r="E51" s="166" t="n">
        <v>10</v>
      </c>
      <c r="F51" s="166" t="n">
        <v>1</v>
      </c>
      <c r="G51" s="137" t="n">
        <v>4630320200</v>
      </c>
      <c r="H51" s="138" t="inlineStr">
        <is>
          <t>Кран управления пневмоподвеской в</t>
        </is>
      </c>
      <c r="I51" s="167" t="n">
        <v>182.11</v>
      </c>
      <c r="J51" s="164" t="n">
        <v>182.11</v>
      </c>
      <c r="K51" s="299" t="n">
        <v>209.41</v>
      </c>
      <c r="L51" s="299" t="n">
        <v>209.41</v>
      </c>
      <c r="M51" s="164" t="n"/>
      <c r="N51" s="164" t="n"/>
      <c r="O51" s="30" t="n"/>
      <c r="P51" s="31" t="n"/>
      <c r="Q51" s="32" t="n"/>
      <c r="R51" s="31" t="n"/>
      <c r="S51" s="30" t="n"/>
      <c r="T51" s="31" t="n"/>
      <c r="U51" s="32" t="n"/>
      <c r="V51" s="31" t="n"/>
      <c r="W51" s="30" t="n"/>
      <c r="X51" s="31" t="n"/>
      <c r="Y51" s="32" t="n"/>
      <c r="Z51" s="31" t="n"/>
      <c r="AA51" s="30" t="n"/>
      <c r="AB51" s="31" t="n"/>
      <c r="AC51" s="32" t="n">
        <v>0</v>
      </c>
      <c r="AD51" s="31" t="n"/>
      <c r="AE51" s="30" t="n"/>
      <c r="AF51" s="31" t="n"/>
      <c r="AG51" s="32" t="n">
        <v>0</v>
      </c>
      <c r="AH51" s="31" t="n"/>
      <c r="AI51" s="30" t="n"/>
      <c r="AJ51" s="171" t="n">
        <v>1000</v>
      </c>
      <c r="AK51" s="32" t="n">
        <v>0</v>
      </c>
      <c r="AL51" s="31" t="n"/>
      <c r="AM51" s="30" t="n"/>
      <c r="AN51" s="171" t="n">
        <v>0</v>
      </c>
      <c r="AO51" s="32" t="n"/>
      <c r="AP51" s="31" t="inlineStr">
        <is>
          <t>Перенос на август заказа ввиду, наложения личной закупки продукции ТОНАРом</t>
        </is>
      </c>
      <c r="AQ51" s="30" t="n"/>
      <c r="AR51" s="172" t="n">
        <v>1000</v>
      </c>
      <c r="AS51" s="32" t="n">
        <v>1000</v>
      </c>
      <c r="AT51" s="31" t="n"/>
      <c r="AU51" s="30" t="n"/>
      <c r="AV51" s="173" t="n">
        <v>0</v>
      </c>
      <c r="AW51" s="32" t="n">
        <v>0</v>
      </c>
      <c r="AX51" s="31" t="n"/>
      <c r="AY51" s="30" t="n"/>
      <c r="AZ51" s="173" t="n">
        <v>1200</v>
      </c>
      <c r="BA51" s="32" t="n">
        <v>0</v>
      </c>
      <c r="BB51" s="34" t="n"/>
      <c r="BC51" s="30" t="n"/>
      <c r="BD51" s="169" t="n">
        <v>294</v>
      </c>
      <c r="BE51" s="155" t="n">
        <v>288</v>
      </c>
      <c r="BF51" s="34" t="n"/>
      <c r="BG51" s="30" t="n"/>
      <c r="BH51" s="168" t="n">
        <v>912</v>
      </c>
      <c r="BI51" s="136" t="n">
        <v>0</v>
      </c>
      <c r="BJ51" s="34" t="n"/>
      <c r="BK51" s="381">
        <f>O51+S51+W51+AA51+AE51+AI51+AM51+AQ51+AU51+AY51+BC51+BG51</f>
        <v/>
      </c>
      <c r="BL51" s="386">
        <f>BK51*$I51</f>
        <v/>
      </c>
      <c r="BM51" s="41" t="n">
        <v>0</v>
      </c>
      <c r="BN51" s="169" t="n">
        <v>0</v>
      </c>
      <c r="BO51" s="44" t="n">
        <v>912</v>
      </c>
      <c r="BP51" s="35" t="n"/>
      <c r="BQ51" s="45" t="n">
        <v>294</v>
      </c>
      <c r="BR51" s="169" t="n">
        <v>0</v>
      </c>
      <c r="BS51" s="32" t="n">
        <v>0</v>
      </c>
      <c r="BT51" s="31" t="n"/>
      <c r="BU51" s="45" t="n">
        <v>373</v>
      </c>
      <c r="BV51" s="174" t="n">
        <v>0</v>
      </c>
      <c r="BW51" s="44" t="n">
        <v>0</v>
      </c>
      <c r="BX51" s="35" t="n"/>
      <c r="BY51" s="45" t="n">
        <v>1095</v>
      </c>
      <c r="BZ51" s="35" t="n">
        <v>0</v>
      </c>
      <c r="CA51" s="44" t="n">
        <v>0</v>
      </c>
      <c r="CB51" s="35" t="n"/>
      <c r="CC51" s="45" t="n">
        <v>1013</v>
      </c>
      <c r="CD51" s="35" t="n">
        <v>0</v>
      </c>
      <c r="CE51" s="32" t="n">
        <v>0</v>
      </c>
      <c r="CF51" s="31" t="n"/>
      <c r="CG51" s="41" t="n">
        <v>1043</v>
      </c>
      <c r="CH51" s="175" t="n">
        <v>200</v>
      </c>
      <c r="CI51" s="44" t="n">
        <v>0</v>
      </c>
      <c r="CJ51" s="35" t="n"/>
      <c r="CK51" s="45" t="n">
        <v>1270</v>
      </c>
      <c r="CL51" s="176" t="n">
        <v>300</v>
      </c>
      <c r="CM51" s="44" t="n">
        <v>200</v>
      </c>
      <c r="CN51" s="35" t="n"/>
      <c r="CO51" s="45" t="n">
        <v>1273</v>
      </c>
      <c r="CP51" s="176" t="n">
        <v>300</v>
      </c>
      <c r="CQ51" s="44" t="n">
        <v>300</v>
      </c>
      <c r="CR51" s="35" t="n"/>
      <c r="CS51" s="45" t="n">
        <v>1260</v>
      </c>
      <c r="CT51" s="176" t="n">
        <v>300</v>
      </c>
      <c r="CU51" s="44" t="n">
        <v>300</v>
      </c>
      <c r="CV51" s="35" t="n"/>
      <c r="CW51" s="45" t="n">
        <v>1361</v>
      </c>
      <c r="CX51" s="177" t="n">
        <v>300</v>
      </c>
      <c r="CY51" s="44" t="n">
        <v>50</v>
      </c>
      <c r="CZ51" s="35" t="n"/>
      <c r="DA51" s="45" t="n">
        <v>1227</v>
      </c>
      <c r="DB51" s="177" t="n">
        <v>350</v>
      </c>
      <c r="DC51" s="155" t="n">
        <v>200</v>
      </c>
      <c r="DD51" s="35" t="n"/>
      <c r="DE51" s="63" t="n">
        <v>1385</v>
      </c>
      <c r="DF51" s="283" t="n">
        <v>300</v>
      </c>
      <c r="DG51" s="380" t="n">
        <v>242</v>
      </c>
      <c r="DH51" s="35" t="n"/>
      <c r="DI51" s="379">
        <f>BM51+BQ51+BU51+BY51+CC51+CG51+CK51+CO51+CS51+CW51+DA51+DE51</f>
        <v/>
      </c>
      <c r="DJ51" s="387">
        <f>DI51*$I51</f>
        <v/>
      </c>
      <c r="DK51" s="82" t="n">
        <v>300</v>
      </c>
      <c r="DL51" s="35" t="n">
        <v>200</v>
      </c>
      <c r="DM51" s="44" t="n">
        <v>260</v>
      </c>
      <c r="DN51" s="35" t="n"/>
      <c r="DO51" s="82" t="n">
        <v>300</v>
      </c>
      <c r="DP51" s="282" t="n">
        <v>150</v>
      </c>
      <c r="DQ51" s="44" t="n">
        <v>100</v>
      </c>
      <c r="DR51" s="35" t="n"/>
      <c r="DS51" s="82" t="n">
        <v>300</v>
      </c>
      <c r="DT51" s="306" t="n">
        <v>100</v>
      </c>
      <c r="DU51" s="44" t="n">
        <v>200</v>
      </c>
      <c r="DV51" s="35" t="n"/>
      <c r="DW51" s="82" t="n">
        <v>300</v>
      </c>
      <c r="DX51" s="35" t="n">
        <v>100</v>
      </c>
      <c r="DY51" s="44" t="n">
        <v>300</v>
      </c>
      <c r="DZ51" s="36" t="n"/>
      <c r="EA51" s="82" t="n">
        <v>300</v>
      </c>
      <c r="EB51" s="35" t="n">
        <v>200</v>
      </c>
      <c r="EC51" s="44" t="n">
        <v>200</v>
      </c>
      <c r="ED51" s="36" t="n"/>
      <c r="EE51" s="82" t="n">
        <v>500</v>
      </c>
      <c r="EF51" s="35" t="n">
        <v>250</v>
      </c>
      <c r="EG51" s="44" t="n">
        <v>0</v>
      </c>
      <c r="EH51" s="35" t="n"/>
      <c r="EI51" s="82" t="n">
        <v>500</v>
      </c>
      <c r="EJ51" s="35" t="n">
        <v>250</v>
      </c>
      <c r="EK51" s="44" t="n">
        <v>0</v>
      </c>
      <c r="EL51" s="35" t="n"/>
      <c r="EM51" s="82" t="n">
        <v>500</v>
      </c>
      <c r="EN51" s="281" t="n">
        <v>300</v>
      </c>
      <c r="EO51" s="44" t="n">
        <v>0</v>
      </c>
      <c r="EP51" s="35" t="n"/>
      <c r="EQ51" s="82" t="n">
        <v>500</v>
      </c>
      <c r="ER51" s="281" t="n">
        <v>300</v>
      </c>
      <c r="ES51" s="44" t="n">
        <v>0</v>
      </c>
      <c r="ET51" s="35" t="n"/>
      <c r="EU51" s="82" t="n">
        <v>500</v>
      </c>
      <c r="EV51" s="281" t="n">
        <v>300</v>
      </c>
      <c r="EW51" s="44" t="n">
        <v>0</v>
      </c>
      <c r="EX51" s="35" t="n"/>
      <c r="EY51" s="82" t="n">
        <v>500</v>
      </c>
      <c r="EZ51" s="281" t="n">
        <v>300</v>
      </c>
      <c r="FA51" s="288" t="n">
        <v>0</v>
      </c>
      <c r="FB51" s="35" t="n"/>
      <c r="FC51" s="82" t="n">
        <v>500</v>
      </c>
      <c r="FD51" s="281" t="n">
        <v>300</v>
      </c>
      <c r="FE51" s="380" t="n">
        <v>0</v>
      </c>
      <c r="FF51" s="35" t="n"/>
      <c r="FG51" s="379">
        <f>DK51+DO51+DS51+DW51+EA51+EE51+EI51+EM51+EQ51+EU51+EY51+FC51</f>
        <v/>
      </c>
      <c r="FH51" s="387">
        <f>FG51*$I51</f>
        <v/>
      </c>
      <c r="FI51" s="171" t="n">
        <v>500</v>
      </c>
      <c r="FJ51" s="169" t="n"/>
      <c r="FK51" s="44" t="n">
        <v>0</v>
      </c>
      <c r="FL51" s="35" t="n"/>
      <c r="FM51" s="51" t="n">
        <v>500</v>
      </c>
      <c r="FN51" s="169" t="n"/>
      <c r="FO51" s="44" t="n">
        <v>0</v>
      </c>
      <c r="FP51" s="35" t="n"/>
      <c r="FQ51" s="51" t="n">
        <v>500</v>
      </c>
      <c r="FR51" s="174" t="n"/>
      <c r="FS51" s="44" t="n">
        <v>0</v>
      </c>
      <c r="FT51" s="35" t="n"/>
      <c r="FU51" s="51" t="n">
        <v>500</v>
      </c>
      <c r="FV51" s="35" t="n"/>
      <c r="FW51" s="44" t="n">
        <v>0</v>
      </c>
      <c r="FX51" s="35" t="n"/>
      <c r="FY51" s="51" t="n">
        <v>500</v>
      </c>
      <c r="FZ51" s="35" t="n"/>
      <c r="GA51" s="44" t="n">
        <v>0</v>
      </c>
      <c r="GB51" s="35" t="n"/>
      <c r="GC51" s="51" t="n">
        <v>500</v>
      </c>
      <c r="GD51" s="45" t="n"/>
      <c r="GE51" s="44" t="n">
        <v>0</v>
      </c>
      <c r="GF51" s="35" t="n"/>
      <c r="GG51" s="51" t="n">
        <v>500</v>
      </c>
      <c r="GH51" s="45" t="n"/>
      <c r="GI51" s="44" t="n">
        <v>0</v>
      </c>
      <c r="GJ51" s="35" t="n"/>
      <c r="GK51" s="51" t="n">
        <v>600</v>
      </c>
      <c r="GL51" s="171" t="n"/>
      <c r="GM51" s="44" t="n">
        <v>0</v>
      </c>
      <c r="GN51" s="35" t="n"/>
      <c r="GO51" s="51" t="n">
        <v>600</v>
      </c>
      <c r="GP51" s="171" t="n"/>
      <c r="GQ51" s="44" t="n">
        <v>0</v>
      </c>
      <c r="GR51" s="35" t="n"/>
      <c r="GS51" s="51" t="n">
        <v>600</v>
      </c>
      <c r="GT51" s="171" t="n"/>
      <c r="GU51" s="44" t="n">
        <v>0</v>
      </c>
      <c r="GV51" s="35" t="n"/>
      <c r="GW51" s="51" t="n">
        <v>600</v>
      </c>
      <c r="GX51" s="171" t="n"/>
      <c r="GY51" s="155" t="n">
        <v>0</v>
      </c>
      <c r="GZ51" s="35" t="n"/>
      <c r="HA51" s="153" t="n">
        <v>600</v>
      </c>
      <c r="HB51" s="174" t="n"/>
      <c r="HC51" s="380" t="n">
        <v>0</v>
      </c>
      <c r="HD51" s="35" t="n"/>
      <c r="HE51" s="379">
        <f>FI51+FM51+FQ51+FU51+FY51+GC51+GG51+GK51+GO51+GS51+GW51+HA51</f>
        <v/>
      </c>
      <c r="HF51" s="387">
        <f>HE51*$I51</f>
        <v/>
      </c>
      <c r="HG51" s="51" t="n">
        <v>600</v>
      </c>
      <c r="HH51" s="169" t="n"/>
      <c r="HI51" s="44" t="n">
        <v>0</v>
      </c>
      <c r="HJ51" s="35" t="n"/>
      <c r="HK51" s="51" t="n">
        <v>600</v>
      </c>
      <c r="HL51" s="169" t="n"/>
      <c r="HM51" s="44" t="n">
        <v>0</v>
      </c>
      <c r="HN51" s="35" t="n"/>
      <c r="HO51" s="51" t="n">
        <v>800</v>
      </c>
      <c r="HP51" s="174" t="n"/>
      <c r="HQ51" s="44" t="n">
        <v>0</v>
      </c>
      <c r="HR51" s="35" t="n"/>
      <c r="HS51" s="51" t="n">
        <v>800</v>
      </c>
      <c r="HT51" s="35" t="n"/>
      <c r="HU51" s="44" t="n">
        <v>0</v>
      </c>
      <c r="HV51" s="35" t="n"/>
      <c r="HW51" s="51" t="n">
        <v>800</v>
      </c>
      <c r="HX51" s="35" t="n"/>
      <c r="HY51" s="44" t="n">
        <v>0</v>
      </c>
      <c r="HZ51" s="35" t="n"/>
      <c r="IA51" s="51" t="n">
        <v>800</v>
      </c>
      <c r="IB51" s="45" t="n"/>
      <c r="IC51" s="44" t="n">
        <v>0</v>
      </c>
      <c r="ID51" s="35" t="n"/>
      <c r="IE51" s="51" t="n">
        <v>800</v>
      </c>
      <c r="IF51" s="45" t="n"/>
      <c r="IG51" s="44" t="n">
        <v>0</v>
      </c>
      <c r="IH51" s="35" t="n"/>
      <c r="II51" s="51" t="n">
        <v>800</v>
      </c>
      <c r="IJ51" s="171" t="n"/>
      <c r="IK51" s="44" t="n">
        <v>0</v>
      </c>
      <c r="IL51" s="35" t="n"/>
      <c r="IM51" s="51" t="n">
        <v>800</v>
      </c>
      <c r="IN51" s="171" t="n"/>
      <c r="IO51" s="44" t="n">
        <v>0</v>
      </c>
      <c r="IP51" s="35" t="n"/>
      <c r="IQ51" s="51" t="n">
        <v>800</v>
      </c>
      <c r="IR51" s="171" t="n"/>
      <c r="IS51" s="44" t="n">
        <v>0</v>
      </c>
      <c r="IT51" s="35" t="n"/>
      <c r="IU51" s="51" t="n">
        <v>800</v>
      </c>
      <c r="IV51" s="171" t="n"/>
      <c r="IW51" s="155" t="n">
        <v>0</v>
      </c>
      <c r="IX51" s="35" t="n"/>
      <c r="IY51" s="51" t="n">
        <v>800</v>
      </c>
      <c r="IZ51" s="174" t="n"/>
      <c r="JA51" s="380" t="n">
        <v>0</v>
      </c>
      <c r="JB51" s="35" t="n"/>
      <c r="JC51" s="381">
        <f>HG51+HK51+HO51+HS51+HW51+IA51+IE51+II51+IM51+IQ51+IU51+IY51</f>
        <v/>
      </c>
      <c r="JD51" s="386">
        <f>JC51*$I51</f>
        <v/>
      </c>
    </row>
    <row r="52" ht="13.5" customHeight="1">
      <c r="A52" s="382" t="n"/>
      <c r="B52" s="382" t="n"/>
      <c r="C52" s="382" t="n"/>
      <c r="D52" s="382" t="n"/>
      <c r="E52" s="166" t="n">
        <v>11</v>
      </c>
      <c r="F52" s="166" t="n">
        <v>1</v>
      </c>
      <c r="G52" s="137" t="n">
        <v>4334010030</v>
      </c>
      <c r="H52" s="138" t="inlineStr">
        <is>
          <t>Гибкий элемент для крана уровня пола</t>
        </is>
      </c>
      <c r="I52" s="167" t="n">
        <v>23.88</v>
      </c>
      <c r="J52" s="164" t="n">
        <v>23.88</v>
      </c>
      <c r="K52" s="299" t="n">
        <v>27.46</v>
      </c>
      <c r="L52" s="299" t="n">
        <v>27.46</v>
      </c>
      <c r="M52" s="164" t="n"/>
      <c r="N52" s="164" t="n"/>
      <c r="O52" s="30" t="n"/>
      <c r="P52" s="31" t="n"/>
      <c r="Q52" s="32" t="n"/>
      <c r="R52" s="31" t="n"/>
      <c r="S52" s="30" t="n"/>
      <c r="T52" s="31" t="n"/>
      <c r="U52" s="32" t="n"/>
      <c r="V52" s="31" t="n"/>
      <c r="W52" s="30" t="n"/>
      <c r="X52" s="31" t="n"/>
      <c r="Y52" s="32" t="n"/>
      <c r="Z52" s="31" t="n"/>
      <c r="AA52" s="30" t="n"/>
      <c r="AB52" s="31" t="n"/>
      <c r="AC52" s="32" t="n">
        <v>0</v>
      </c>
      <c r="AD52" s="31" t="n"/>
      <c r="AE52" s="30" t="n"/>
      <c r="AF52" s="31" t="n"/>
      <c r="AG52" s="32" t="n">
        <v>0</v>
      </c>
      <c r="AH52" s="31" t="n"/>
      <c r="AI52" s="30" t="n"/>
      <c r="AJ52" s="171" t="n">
        <v>1000</v>
      </c>
      <c r="AK52" s="32" t="n">
        <v>0</v>
      </c>
      <c r="AL52" s="31" t="n"/>
      <c r="AM52" s="30" t="n"/>
      <c r="AN52" s="171" t="n">
        <v>0</v>
      </c>
      <c r="AO52" s="32" t="n"/>
      <c r="AP52" s="31" t="inlineStr">
        <is>
          <t>Перенос на август заказа ввиду, наложения личной закупки продукции ТОНАРом</t>
        </is>
      </c>
      <c r="AQ52" s="30" t="n"/>
      <c r="AR52" s="172" t="n">
        <v>1000</v>
      </c>
      <c r="AS52" s="32" t="n">
        <v>1000</v>
      </c>
      <c r="AT52" s="31" t="n"/>
      <c r="AU52" s="30" t="n"/>
      <c r="AV52" s="173" t="n">
        <v>0</v>
      </c>
      <c r="AW52" s="32" t="n">
        <v>0</v>
      </c>
      <c r="AX52" s="31" t="n"/>
      <c r="AY52" s="30" t="n"/>
      <c r="AZ52" s="173" t="n">
        <v>500</v>
      </c>
      <c r="BA52" s="32" t="n">
        <v>500</v>
      </c>
      <c r="BB52" s="34" t="n"/>
      <c r="BC52" s="30" t="n"/>
      <c r="BD52" s="169" t="n">
        <v>306</v>
      </c>
      <c r="BE52" s="155" t="n">
        <v>0</v>
      </c>
      <c r="BF52" s="34" t="n"/>
      <c r="BG52" s="30" t="n"/>
      <c r="BH52" s="168" t="n">
        <v>0</v>
      </c>
      <c r="BI52" s="136" t="n">
        <v>0</v>
      </c>
      <c r="BJ52" s="34" t="n"/>
      <c r="BK52" s="381">
        <f>O52+S52+W52+AA52+AE52+AI52+AM52+AQ52+AU52+AY52+BC52+BG52</f>
        <v/>
      </c>
      <c r="BL52" s="386">
        <f>BK52*$I52</f>
        <v/>
      </c>
      <c r="BM52" s="41" t="n">
        <v>0</v>
      </c>
      <c r="BN52" s="169" t="n">
        <v>0</v>
      </c>
      <c r="BO52" s="44" t="n">
        <v>0</v>
      </c>
      <c r="BP52" s="35" t="n"/>
      <c r="BQ52" s="45" t="n">
        <v>306</v>
      </c>
      <c r="BR52" s="169" t="n">
        <v>0</v>
      </c>
      <c r="BS52" s="32" t="n">
        <v>0</v>
      </c>
      <c r="BT52" s="31" t="n"/>
      <c r="BU52" s="45" t="n">
        <v>373</v>
      </c>
      <c r="BV52" s="174" t="n">
        <v>0</v>
      </c>
      <c r="BW52" s="44" t="n">
        <v>0</v>
      </c>
      <c r="BX52" s="35" t="n"/>
      <c r="BY52" s="45" t="n">
        <v>1095</v>
      </c>
      <c r="BZ52" s="35" t="n">
        <v>0</v>
      </c>
      <c r="CA52" s="44" t="n">
        <v>0</v>
      </c>
      <c r="CB52" s="35" t="n"/>
      <c r="CC52" s="45" t="n">
        <v>1013</v>
      </c>
      <c r="CD52" s="35" t="n">
        <v>0</v>
      </c>
      <c r="CE52" s="32" t="n">
        <v>0</v>
      </c>
      <c r="CF52" s="31" t="n"/>
      <c r="CG52" s="41" t="n">
        <v>1043</v>
      </c>
      <c r="CH52" s="45" t="n">
        <v>0</v>
      </c>
      <c r="CI52" s="44" t="n">
        <v>0</v>
      </c>
      <c r="CJ52" s="35" t="n"/>
      <c r="CK52" s="45" t="n">
        <v>1270</v>
      </c>
      <c r="CL52" s="176" t="n">
        <v>300</v>
      </c>
      <c r="CM52" s="44" t="n">
        <v>0</v>
      </c>
      <c r="CN52" s="35" t="n"/>
      <c r="CO52" s="45" t="n">
        <v>1273</v>
      </c>
      <c r="CP52" s="176" t="n">
        <v>300</v>
      </c>
      <c r="CQ52" s="44" t="n">
        <v>100</v>
      </c>
      <c r="CR52" s="35" t="n"/>
      <c r="CS52" s="45" t="n">
        <v>1260</v>
      </c>
      <c r="CT52" s="176" t="n">
        <v>300</v>
      </c>
      <c r="CU52" s="44" t="n">
        <v>300</v>
      </c>
      <c r="CV52" s="35" t="n"/>
      <c r="CW52" s="45" t="n">
        <v>1361</v>
      </c>
      <c r="CX52" s="177" t="n">
        <v>300</v>
      </c>
      <c r="CY52" s="44" t="n">
        <v>150</v>
      </c>
      <c r="CZ52" s="35" t="n"/>
      <c r="DA52" s="45" t="n">
        <v>1227</v>
      </c>
      <c r="DB52" s="177" t="n">
        <v>300</v>
      </c>
      <c r="DC52" s="155" t="n">
        <v>400</v>
      </c>
      <c r="DD52" s="35" t="n"/>
      <c r="DE52" s="45" t="n">
        <v>1385</v>
      </c>
      <c r="DF52" s="283" t="n">
        <v>300</v>
      </c>
      <c r="DG52" s="380" t="n">
        <v>242</v>
      </c>
      <c r="DH52" s="35" t="n"/>
      <c r="DI52" s="379">
        <f>BM52+BQ52+BU52+BY52+CC52+CG52+CK52+CO52+CS52+CW52+DA52+DE52</f>
        <v/>
      </c>
      <c r="DJ52" s="387">
        <f>DI52*$I52</f>
        <v/>
      </c>
      <c r="DK52" s="82" t="n">
        <v>300</v>
      </c>
      <c r="DL52" s="35" t="n">
        <v>200</v>
      </c>
      <c r="DM52" s="44" t="n">
        <v>100</v>
      </c>
      <c r="DN52" s="35" t="n"/>
      <c r="DO52" s="82" t="n">
        <v>300</v>
      </c>
      <c r="DP52" s="282" t="n">
        <v>150</v>
      </c>
      <c r="DQ52" s="44" t="n">
        <v>300</v>
      </c>
      <c r="DR52" s="35" t="n"/>
      <c r="DS52" s="82" t="n">
        <v>300</v>
      </c>
      <c r="DT52" s="306" t="n">
        <v>100</v>
      </c>
      <c r="DU52" s="44" t="n">
        <v>200</v>
      </c>
      <c r="DV52" s="35" t="n"/>
      <c r="DW52" s="82" t="n">
        <v>300</v>
      </c>
      <c r="DX52" s="35" t="n">
        <v>100</v>
      </c>
      <c r="DY52" s="44" t="n">
        <v>300</v>
      </c>
      <c r="DZ52" s="36" t="n"/>
      <c r="EA52" s="82" t="n">
        <v>300</v>
      </c>
      <c r="EB52" s="35" t="n">
        <v>200</v>
      </c>
      <c r="EC52" s="44" t="n">
        <v>200</v>
      </c>
      <c r="ED52" s="36" t="n"/>
      <c r="EE52" s="82" t="n">
        <v>500</v>
      </c>
      <c r="EF52" s="35" t="n">
        <v>250</v>
      </c>
      <c r="EG52" s="44" t="n">
        <v>0</v>
      </c>
      <c r="EH52" s="35" t="n"/>
      <c r="EI52" s="82" t="n">
        <v>500</v>
      </c>
      <c r="EJ52" s="35" t="n">
        <v>250</v>
      </c>
      <c r="EK52" s="44" t="n">
        <v>0</v>
      </c>
      <c r="EL52" s="35" t="n"/>
      <c r="EM52" s="82" t="n">
        <v>500</v>
      </c>
      <c r="EN52" s="281" t="n">
        <v>300</v>
      </c>
      <c r="EO52" s="44" t="n">
        <v>0</v>
      </c>
      <c r="EP52" s="35" t="n"/>
      <c r="EQ52" s="82" t="n">
        <v>500</v>
      </c>
      <c r="ER52" s="281" t="n">
        <v>300</v>
      </c>
      <c r="ES52" s="44" t="n">
        <v>0</v>
      </c>
      <c r="ET52" s="35" t="n"/>
      <c r="EU52" s="82" t="n">
        <v>500</v>
      </c>
      <c r="EV52" s="281" t="n">
        <v>300</v>
      </c>
      <c r="EW52" s="44" t="n">
        <v>0</v>
      </c>
      <c r="EX52" s="35" t="n"/>
      <c r="EY52" s="82" t="n">
        <v>500</v>
      </c>
      <c r="EZ52" s="281" t="n">
        <v>300</v>
      </c>
      <c r="FA52" s="288" t="n">
        <v>0</v>
      </c>
      <c r="FB52" s="35" t="n"/>
      <c r="FC52" s="82" t="n">
        <v>500</v>
      </c>
      <c r="FD52" s="281" t="n">
        <v>300</v>
      </c>
      <c r="FE52" s="380" t="n">
        <v>0</v>
      </c>
      <c r="FF52" s="35" t="n"/>
      <c r="FG52" s="379">
        <f>DK52+DO52+DS52+DW52+EA52+EE52+EI52+EM52+EQ52+EU52+EY52+FC52</f>
        <v/>
      </c>
      <c r="FH52" s="387">
        <f>FG52*$I52</f>
        <v/>
      </c>
      <c r="FI52" s="171" t="n">
        <v>500</v>
      </c>
      <c r="FJ52" s="169" t="n"/>
      <c r="FK52" s="44" t="n">
        <v>0</v>
      </c>
      <c r="FL52" s="35" t="n"/>
      <c r="FM52" s="51" t="n">
        <v>500</v>
      </c>
      <c r="FN52" s="169" t="n"/>
      <c r="FO52" s="44" t="n">
        <v>0</v>
      </c>
      <c r="FP52" s="35" t="n"/>
      <c r="FQ52" s="51" t="n">
        <v>500</v>
      </c>
      <c r="FR52" s="174" t="n"/>
      <c r="FS52" s="44" t="n">
        <v>0</v>
      </c>
      <c r="FT52" s="35" t="n"/>
      <c r="FU52" s="51" t="n">
        <v>500</v>
      </c>
      <c r="FV52" s="35" t="n"/>
      <c r="FW52" s="44" t="n">
        <v>0</v>
      </c>
      <c r="FX52" s="35" t="n"/>
      <c r="FY52" s="51" t="n">
        <v>500</v>
      </c>
      <c r="FZ52" s="35" t="n"/>
      <c r="GA52" s="44" t="n">
        <v>0</v>
      </c>
      <c r="GB52" s="35" t="n"/>
      <c r="GC52" s="51" t="n">
        <v>500</v>
      </c>
      <c r="GD52" s="45" t="n"/>
      <c r="GE52" s="44" t="n">
        <v>0</v>
      </c>
      <c r="GF52" s="35" t="n"/>
      <c r="GG52" s="51" t="n">
        <v>500</v>
      </c>
      <c r="GH52" s="45" t="n"/>
      <c r="GI52" s="44" t="n">
        <v>0</v>
      </c>
      <c r="GJ52" s="35" t="n"/>
      <c r="GK52" s="51" t="n">
        <v>600</v>
      </c>
      <c r="GL52" s="171" t="n"/>
      <c r="GM52" s="44" t="n">
        <v>0</v>
      </c>
      <c r="GN52" s="35" t="n"/>
      <c r="GO52" s="51" t="n">
        <v>600</v>
      </c>
      <c r="GP52" s="171" t="n"/>
      <c r="GQ52" s="44" t="n">
        <v>0</v>
      </c>
      <c r="GR52" s="35" t="n"/>
      <c r="GS52" s="51" t="n">
        <v>600</v>
      </c>
      <c r="GT52" s="171" t="n"/>
      <c r="GU52" s="44" t="n">
        <v>0</v>
      </c>
      <c r="GV52" s="35" t="n"/>
      <c r="GW52" s="51" t="n">
        <v>600</v>
      </c>
      <c r="GX52" s="171" t="n"/>
      <c r="GY52" s="155" t="n">
        <v>0</v>
      </c>
      <c r="GZ52" s="35" t="n"/>
      <c r="HA52" s="51" t="n">
        <v>600</v>
      </c>
      <c r="HB52" s="174" t="n"/>
      <c r="HC52" s="380" t="n">
        <v>0</v>
      </c>
      <c r="HD52" s="35" t="n"/>
      <c r="HE52" s="379">
        <f>FI52+FM52+FQ52+FU52+FY52+GC52+GG52+GK52+GO52+GS52+GW52+HA52</f>
        <v/>
      </c>
      <c r="HF52" s="387">
        <f>HE52*$I52</f>
        <v/>
      </c>
      <c r="HG52" s="51" t="n">
        <v>600</v>
      </c>
      <c r="HH52" s="169" t="n"/>
      <c r="HI52" s="44" t="n">
        <v>0</v>
      </c>
      <c r="HJ52" s="35" t="n"/>
      <c r="HK52" s="51" t="n">
        <v>600</v>
      </c>
      <c r="HL52" s="169" t="n"/>
      <c r="HM52" s="44" t="n">
        <v>0</v>
      </c>
      <c r="HN52" s="35" t="n"/>
      <c r="HO52" s="51" t="n">
        <v>800</v>
      </c>
      <c r="HP52" s="174" t="n"/>
      <c r="HQ52" s="44" t="n">
        <v>0</v>
      </c>
      <c r="HR52" s="35" t="n"/>
      <c r="HS52" s="51" t="n">
        <v>800</v>
      </c>
      <c r="HT52" s="35" t="n"/>
      <c r="HU52" s="44" t="n">
        <v>0</v>
      </c>
      <c r="HV52" s="35" t="n"/>
      <c r="HW52" s="51" t="n">
        <v>800</v>
      </c>
      <c r="HX52" s="35" t="n"/>
      <c r="HY52" s="44" t="n">
        <v>0</v>
      </c>
      <c r="HZ52" s="35" t="n"/>
      <c r="IA52" s="51" t="n">
        <v>800</v>
      </c>
      <c r="IB52" s="45" t="n"/>
      <c r="IC52" s="44" t="n">
        <v>0</v>
      </c>
      <c r="ID52" s="35" t="n"/>
      <c r="IE52" s="51" t="n">
        <v>800</v>
      </c>
      <c r="IF52" s="45" t="n"/>
      <c r="IG52" s="44" t="n">
        <v>0</v>
      </c>
      <c r="IH52" s="35" t="n"/>
      <c r="II52" s="51" t="n">
        <v>800</v>
      </c>
      <c r="IJ52" s="171" t="n"/>
      <c r="IK52" s="44" t="n">
        <v>0</v>
      </c>
      <c r="IL52" s="35" t="n"/>
      <c r="IM52" s="51" t="n">
        <v>800</v>
      </c>
      <c r="IN52" s="171" t="n"/>
      <c r="IO52" s="44" t="n">
        <v>0</v>
      </c>
      <c r="IP52" s="35" t="n"/>
      <c r="IQ52" s="51" t="n">
        <v>800</v>
      </c>
      <c r="IR52" s="171" t="n"/>
      <c r="IS52" s="44" t="n">
        <v>0</v>
      </c>
      <c r="IT52" s="35" t="n"/>
      <c r="IU52" s="51" t="n">
        <v>800</v>
      </c>
      <c r="IV52" s="171" t="n"/>
      <c r="IW52" s="155" t="n">
        <v>0</v>
      </c>
      <c r="IX52" s="35" t="n"/>
      <c r="IY52" s="51" t="n">
        <v>800</v>
      </c>
      <c r="IZ52" s="174" t="n"/>
      <c r="JA52" s="380" t="n">
        <v>0</v>
      </c>
      <c r="JB52" s="35" t="n"/>
      <c r="JC52" s="381">
        <f>HG52+HK52+HO52+HS52+HW52+IA52+IE52+II52+IM52+IQ52+IU52+IY52</f>
        <v/>
      </c>
      <c r="JD52" s="386">
        <f>JC52*$I52</f>
        <v/>
      </c>
    </row>
    <row r="53" ht="13.5" customHeight="1">
      <c r="A53" s="382" t="n"/>
      <c r="B53" s="382" t="n"/>
      <c r="C53" s="382" t="n"/>
      <c r="D53" s="382" t="n"/>
      <c r="E53" s="166" t="n">
        <v>12</v>
      </c>
      <c r="F53" s="166" t="n">
        <v>1</v>
      </c>
      <c r="G53" s="137" t="n">
        <v>4630840310</v>
      </c>
      <c r="H53" s="138" t="inlineStr">
        <is>
          <t>Клапан подъема оси</t>
        </is>
      </c>
      <c r="I53" s="167" t="n">
        <v>307.59</v>
      </c>
      <c r="J53" s="164" t="n">
        <v>307.59</v>
      </c>
      <c r="K53" s="299" t="n">
        <v>416.34</v>
      </c>
      <c r="L53" s="299" t="n">
        <v>416.34</v>
      </c>
      <c r="M53" s="164" t="n"/>
      <c r="N53" s="164" t="n"/>
      <c r="O53" s="30" t="n"/>
      <c r="P53" s="31" t="n"/>
      <c r="Q53" s="32" t="n"/>
      <c r="R53" s="31" t="n"/>
      <c r="S53" s="30" t="n"/>
      <c r="T53" s="31" t="n"/>
      <c r="U53" s="32" t="n"/>
      <c r="V53" s="31" t="n"/>
      <c r="W53" s="30" t="n"/>
      <c r="X53" s="31" t="n"/>
      <c r="Y53" s="32" t="n"/>
      <c r="Z53" s="31" t="n"/>
      <c r="AA53" s="30" t="n"/>
      <c r="AB53" s="31" t="n"/>
      <c r="AC53" s="32" t="n">
        <v>0</v>
      </c>
      <c r="AD53" s="31" t="n"/>
      <c r="AE53" s="30" t="n"/>
      <c r="AF53" s="31" t="n"/>
      <c r="AG53" s="32" t="n">
        <v>0</v>
      </c>
      <c r="AH53" s="31" t="n"/>
      <c r="AI53" s="30" t="n"/>
      <c r="AJ53" s="174" t="n">
        <v>0</v>
      </c>
      <c r="AK53" s="32" t="n">
        <v>0</v>
      </c>
      <c r="AL53" s="31" t="n"/>
      <c r="AM53" s="30" t="n"/>
      <c r="AN53" s="171" t="n">
        <v>0</v>
      </c>
      <c r="AO53" s="32" t="n"/>
      <c r="AP53" s="31" t="inlineStr">
        <is>
          <t>Перенос на август заказа ввиду, наложения личной закупки продукции ТОНАРом</t>
        </is>
      </c>
      <c r="AQ53" s="30" t="n"/>
      <c r="AR53" s="172" t="n">
        <v>1200</v>
      </c>
      <c r="AS53" s="32" t="n">
        <v>0</v>
      </c>
      <c r="AT53" s="31" t="n"/>
      <c r="AU53" s="30" t="n"/>
      <c r="AV53" s="173" t="n">
        <v>0</v>
      </c>
      <c r="AW53" s="32" t="n">
        <v>0</v>
      </c>
      <c r="AX53" s="31" t="n"/>
      <c r="AY53" s="30" t="n"/>
      <c r="AZ53" s="173" t="n">
        <v>500</v>
      </c>
      <c r="BA53" s="32" t="n">
        <v>500</v>
      </c>
      <c r="BB53" s="34" t="n"/>
      <c r="BC53" s="30" t="n"/>
      <c r="BD53" s="169" t="n">
        <v>459</v>
      </c>
      <c r="BE53" s="155" t="n">
        <v>0</v>
      </c>
      <c r="BF53" s="34" t="n"/>
      <c r="BG53" s="30" t="n"/>
      <c r="BH53" s="168" t="n">
        <v>300</v>
      </c>
      <c r="BI53" s="136" t="n">
        <v>0</v>
      </c>
      <c r="BJ53" s="34" t="n"/>
      <c r="BK53" s="381">
        <f>O53+S53+W53+AA53+AE53+AI53+AM53+AQ53+AU53+AY53+BC53+BG53</f>
        <v/>
      </c>
      <c r="BL53" s="386">
        <f>BK53*$I53</f>
        <v/>
      </c>
      <c r="BM53" s="41" t="n">
        <v>0</v>
      </c>
      <c r="BN53" s="169" t="n">
        <v>0</v>
      </c>
      <c r="BO53" s="44" t="n">
        <v>300</v>
      </c>
      <c r="BP53" s="35" t="n"/>
      <c r="BQ53" s="45" t="n">
        <v>459</v>
      </c>
      <c r="BR53" s="169" t="n">
        <v>0</v>
      </c>
      <c r="BS53" s="32" t="n">
        <v>0</v>
      </c>
      <c r="BT53" s="31" t="n"/>
      <c r="BU53" s="45" t="n">
        <v>559</v>
      </c>
      <c r="BV53" s="174" t="n">
        <v>0</v>
      </c>
      <c r="BW53" s="44" t="n">
        <v>0</v>
      </c>
      <c r="BX53" s="35" t="n"/>
      <c r="BY53" s="45" t="n">
        <v>1643</v>
      </c>
      <c r="BZ53" s="35" t="n">
        <v>0</v>
      </c>
      <c r="CA53" s="44" t="n">
        <v>0</v>
      </c>
      <c r="CB53" s="35" t="n"/>
      <c r="CC53" s="45" t="n">
        <v>1520</v>
      </c>
      <c r="CD53" s="35" t="n">
        <v>0</v>
      </c>
      <c r="CE53" s="32" t="n">
        <v>0</v>
      </c>
      <c r="CF53" s="31" t="n"/>
      <c r="CG53" s="41" t="n">
        <v>1565</v>
      </c>
      <c r="CH53" s="45" t="n">
        <v>0</v>
      </c>
      <c r="CI53" s="44" t="n">
        <v>0</v>
      </c>
      <c r="CJ53" s="35" t="n"/>
      <c r="CK53" s="45" t="n">
        <v>1905</v>
      </c>
      <c r="CL53" s="176" t="n">
        <v>0</v>
      </c>
      <c r="CM53" s="44" t="n">
        <v>0</v>
      </c>
      <c r="CN53" s="35" t="n"/>
      <c r="CO53" s="45" t="n">
        <v>1910</v>
      </c>
      <c r="CP53" s="45" t="n">
        <v>200</v>
      </c>
      <c r="CQ53" s="44" t="n">
        <v>0</v>
      </c>
      <c r="CR53" s="35" t="n"/>
      <c r="CS53" s="45" t="n">
        <v>1890</v>
      </c>
      <c r="CT53" s="176" t="n">
        <v>200</v>
      </c>
      <c r="CU53" s="44" t="n">
        <v>200</v>
      </c>
      <c r="CV53" s="35" t="n"/>
      <c r="CW53" s="45" t="n">
        <v>2042</v>
      </c>
      <c r="CX53" s="177" t="n">
        <v>200</v>
      </c>
      <c r="CY53" s="44" t="n">
        <v>0</v>
      </c>
      <c r="CZ53" s="35" t="n"/>
      <c r="DA53" s="45" t="n">
        <v>1841</v>
      </c>
      <c r="DB53" s="177" t="n">
        <v>200</v>
      </c>
      <c r="DC53" s="155" t="n">
        <v>500</v>
      </c>
      <c r="DD53" s="35" t="n"/>
      <c r="DE53" s="45" t="n">
        <v>2078</v>
      </c>
      <c r="DF53" s="283" t="n">
        <v>300</v>
      </c>
      <c r="DG53" s="380" t="n">
        <v>0</v>
      </c>
      <c r="DH53" s="35" t="n"/>
      <c r="DI53" s="379">
        <f>BM53+BQ53+BU53+BY53+CC53+CG53+CK53+CO53+CS53+CW53+DA53+DE53</f>
        <v/>
      </c>
      <c r="DJ53" s="387">
        <f>DI53*$I53</f>
        <v/>
      </c>
      <c r="DK53" s="82" t="n">
        <v>300</v>
      </c>
      <c r="DL53" s="35" t="n">
        <v>300</v>
      </c>
      <c r="DM53" s="44" t="n">
        <v>600</v>
      </c>
      <c r="DN53" s="35" t="n"/>
      <c r="DO53" s="82" t="n">
        <v>300</v>
      </c>
      <c r="DP53" s="282" t="n">
        <v>225</v>
      </c>
      <c r="DQ53" s="44" t="n">
        <v>0</v>
      </c>
      <c r="DR53" s="35" t="n"/>
      <c r="DS53" s="82" t="n">
        <v>300</v>
      </c>
      <c r="DT53" s="306" t="n">
        <v>0</v>
      </c>
      <c r="DU53" s="44" t="n">
        <v>400</v>
      </c>
      <c r="DV53" s="35" t="n"/>
      <c r="DW53" s="82" t="n">
        <v>300</v>
      </c>
      <c r="DX53" s="35" t="n">
        <v>200</v>
      </c>
      <c r="DY53" s="44" t="n">
        <v>200</v>
      </c>
      <c r="DZ53" s="36" t="n"/>
      <c r="EA53" s="82" t="n">
        <v>300</v>
      </c>
      <c r="EB53" s="35" t="n">
        <v>225</v>
      </c>
      <c r="EC53" s="44" t="n">
        <v>500</v>
      </c>
      <c r="ED53" s="36" t="n"/>
      <c r="EE53" s="82" t="n">
        <v>500</v>
      </c>
      <c r="EF53" s="35" t="n">
        <v>250</v>
      </c>
      <c r="EG53" s="44" t="n">
        <v>0</v>
      </c>
      <c r="EH53" s="35" t="n"/>
      <c r="EI53" s="82" t="n">
        <v>500</v>
      </c>
      <c r="EJ53" s="35" t="n">
        <v>250</v>
      </c>
      <c r="EK53" s="44" t="n">
        <v>0</v>
      </c>
      <c r="EL53" s="35" t="n"/>
      <c r="EM53" s="82" t="n">
        <v>500</v>
      </c>
      <c r="EN53" s="281" t="n">
        <v>300</v>
      </c>
      <c r="EO53" s="44" t="n">
        <v>0</v>
      </c>
      <c r="EP53" s="35" t="n"/>
      <c r="EQ53" s="82" t="n">
        <v>500</v>
      </c>
      <c r="ER53" s="281" t="n">
        <v>300</v>
      </c>
      <c r="ES53" s="44" t="n">
        <v>0</v>
      </c>
      <c r="ET53" s="35" t="n"/>
      <c r="EU53" s="82" t="n">
        <v>500</v>
      </c>
      <c r="EV53" s="281" t="n">
        <v>300</v>
      </c>
      <c r="EW53" s="44" t="n">
        <v>0</v>
      </c>
      <c r="EX53" s="35" t="n"/>
      <c r="EY53" s="82" t="n">
        <v>500</v>
      </c>
      <c r="EZ53" s="281" t="n">
        <v>300</v>
      </c>
      <c r="FA53" s="288" t="n">
        <v>0</v>
      </c>
      <c r="FB53" s="35" t="n"/>
      <c r="FC53" s="82" t="n">
        <v>500</v>
      </c>
      <c r="FD53" s="281" t="n">
        <v>300</v>
      </c>
      <c r="FE53" s="380" t="n">
        <v>0</v>
      </c>
      <c r="FF53" s="35" t="n"/>
      <c r="FG53" s="379">
        <f>DK53+DO53+DS53+DW53+EA53+EE53+EI53+EM53+EQ53+EU53+EY53+FC53</f>
        <v/>
      </c>
      <c r="FH53" s="387">
        <f>FG53*$I53</f>
        <v/>
      </c>
      <c r="FI53" s="171" t="n">
        <v>500</v>
      </c>
      <c r="FJ53" s="169" t="n"/>
      <c r="FK53" s="44" t="n">
        <v>0</v>
      </c>
      <c r="FL53" s="35" t="n"/>
      <c r="FM53" s="51" t="n">
        <v>500</v>
      </c>
      <c r="FN53" s="169" t="n"/>
      <c r="FO53" s="44" t="n">
        <v>0</v>
      </c>
      <c r="FP53" s="35" t="n"/>
      <c r="FQ53" s="51" t="n">
        <v>500</v>
      </c>
      <c r="FR53" s="174" t="n"/>
      <c r="FS53" s="44" t="n">
        <v>0</v>
      </c>
      <c r="FT53" s="35" t="n"/>
      <c r="FU53" s="51" t="n">
        <v>500</v>
      </c>
      <c r="FV53" s="35" t="n"/>
      <c r="FW53" s="44" t="n">
        <v>0</v>
      </c>
      <c r="FX53" s="35" t="n"/>
      <c r="FY53" s="51" t="n">
        <v>500</v>
      </c>
      <c r="FZ53" s="35" t="n"/>
      <c r="GA53" s="44" t="n">
        <v>0</v>
      </c>
      <c r="GB53" s="35" t="n"/>
      <c r="GC53" s="51" t="n">
        <v>500</v>
      </c>
      <c r="GD53" s="45" t="n"/>
      <c r="GE53" s="44" t="n">
        <v>0</v>
      </c>
      <c r="GF53" s="35" t="n"/>
      <c r="GG53" s="51" t="n">
        <v>500</v>
      </c>
      <c r="GH53" s="45" t="n"/>
      <c r="GI53" s="44" t="n">
        <v>0</v>
      </c>
      <c r="GJ53" s="35" t="n"/>
      <c r="GK53" s="51" t="n">
        <v>600</v>
      </c>
      <c r="GL53" s="171" t="n"/>
      <c r="GM53" s="44" t="n">
        <v>0</v>
      </c>
      <c r="GN53" s="35" t="n"/>
      <c r="GO53" s="51" t="n">
        <v>600</v>
      </c>
      <c r="GP53" s="171" t="n"/>
      <c r="GQ53" s="44" t="n">
        <v>0</v>
      </c>
      <c r="GR53" s="35" t="n"/>
      <c r="GS53" s="51" t="n">
        <v>600</v>
      </c>
      <c r="GT53" s="171" t="n"/>
      <c r="GU53" s="44" t="n">
        <v>0</v>
      </c>
      <c r="GV53" s="35" t="n"/>
      <c r="GW53" s="51" t="n">
        <v>600</v>
      </c>
      <c r="GX53" s="171" t="n"/>
      <c r="GY53" s="155" t="n">
        <v>0</v>
      </c>
      <c r="GZ53" s="35" t="n"/>
      <c r="HA53" s="51" t="n">
        <v>600</v>
      </c>
      <c r="HB53" s="174" t="n"/>
      <c r="HC53" s="380" t="n">
        <v>0</v>
      </c>
      <c r="HD53" s="35" t="n"/>
      <c r="HE53" s="379">
        <f>FI53+FM53+FQ53+FU53+FY53+GC53+GG53+GK53+GO53+GS53+GW53+HA53</f>
        <v/>
      </c>
      <c r="HF53" s="387">
        <f>HE53*$I53</f>
        <v/>
      </c>
      <c r="HG53" s="51" t="n">
        <v>600</v>
      </c>
      <c r="HH53" s="169" t="n"/>
      <c r="HI53" s="44" t="n">
        <v>0</v>
      </c>
      <c r="HJ53" s="35" t="n"/>
      <c r="HK53" s="51" t="n">
        <v>600</v>
      </c>
      <c r="HL53" s="169" t="n"/>
      <c r="HM53" s="44" t="n">
        <v>0</v>
      </c>
      <c r="HN53" s="35" t="n"/>
      <c r="HO53" s="51" t="n">
        <v>800</v>
      </c>
      <c r="HP53" s="174" t="n"/>
      <c r="HQ53" s="44" t="n">
        <v>0</v>
      </c>
      <c r="HR53" s="35" t="n"/>
      <c r="HS53" s="51" t="n">
        <v>800</v>
      </c>
      <c r="HT53" s="35" t="n"/>
      <c r="HU53" s="44" t="n">
        <v>0</v>
      </c>
      <c r="HV53" s="35" t="n"/>
      <c r="HW53" s="51" t="n">
        <v>800</v>
      </c>
      <c r="HX53" s="35" t="n"/>
      <c r="HY53" s="44" t="n">
        <v>0</v>
      </c>
      <c r="HZ53" s="35" t="n"/>
      <c r="IA53" s="51" t="n">
        <v>800</v>
      </c>
      <c r="IB53" s="45" t="n"/>
      <c r="IC53" s="44" t="n">
        <v>0</v>
      </c>
      <c r="ID53" s="35" t="n"/>
      <c r="IE53" s="51" t="n">
        <v>800</v>
      </c>
      <c r="IF53" s="45" t="n"/>
      <c r="IG53" s="44" t="n">
        <v>0</v>
      </c>
      <c r="IH53" s="35" t="n"/>
      <c r="II53" s="51" t="n">
        <v>800</v>
      </c>
      <c r="IJ53" s="171" t="n"/>
      <c r="IK53" s="44" t="n">
        <v>0</v>
      </c>
      <c r="IL53" s="35" t="n"/>
      <c r="IM53" s="51" t="n">
        <v>800</v>
      </c>
      <c r="IN53" s="171" t="n"/>
      <c r="IO53" s="44" t="n">
        <v>0</v>
      </c>
      <c r="IP53" s="35" t="n"/>
      <c r="IQ53" s="51" t="n">
        <v>800</v>
      </c>
      <c r="IR53" s="171" t="n"/>
      <c r="IS53" s="44" t="n">
        <v>0</v>
      </c>
      <c r="IT53" s="35" t="n"/>
      <c r="IU53" s="51" t="n">
        <v>800</v>
      </c>
      <c r="IV53" s="171" t="n"/>
      <c r="IW53" s="155" t="n">
        <v>0</v>
      </c>
      <c r="IX53" s="35" t="n"/>
      <c r="IY53" s="51" t="n">
        <v>800</v>
      </c>
      <c r="IZ53" s="174" t="n"/>
      <c r="JA53" s="380" t="n">
        <v>0</v>
      </c>
      <c r="JB53" s="35" t="n"/>
      <c r="JC53" s="381">
        <f>HG53+HK53+HO53+HS53+HW53+IA53+IE53+II53+IM53+IQ53+IU53+IY53</f>
        <v/>
      </c>
      <c r="JD53" s="386">
        <f>JC53*$I53</f>
        <v/>
      </c>
    </row>
    <row r="54" ht="13.5" customHeight="1">
      <c r="A54" s="382" t="n"/>
      <c r="B54" s="382" t="n"/>
      <c r="C54" s="382" t="n"/>
      <c r="D54" s="382" t="n"/>
      <c r="E54" s="166" t="n">
        <v>13</v>
      </c>
      <c r="F54" s="166" t="n">
        <v>1</v>
      </c>
      <c r="G54" s="137" t="n">
        <v>4494430500</v>
      </c>
      <c r="H54" s="138" t="inlineStr">
        <is>
          <t>Кабель клапана подъема оси 5 метра</t>
        </is>
      </c>
      <c r="I54" s="167" t="n">
        <v>93.81</v>
      </c>
      <c r="J54" s="164" t="n">
        <v>93.81</v>
      </c>
      <c r="K54" s="164" t="n">
        <v>93.81</v>
      </c>
      <c r="L54" s="164" t="n">
        <v>93.81</v>
      </c>
      <c r="M54" s="164" t="n"/>
      <c r="N54" s="164" t="n"/>
      <c r="O54" s="30" t="n"/>
      <c r="P54" s="31" t="n"/>
      <c r="Q54" s="32" t="n"/>
      <c r="R54" s="31" t="n"/>
      <c r="S54" s="30" t="n"/>
      <c r="T54" s="31" t="n"/>
      <c r="U54" s="32" t="n"/>
      <c r="V54" s="31" t="n"/>
      <c r="W54" s="30" t="n"/>
      <c r="X54" s="31" t="n"/>
      <c r="Y54" s="32" t="n"/>
      <c r="Z54" s="31" t="n"/>
      <c r="AA54" s="30" t="n"/>
      <c r="AB54" s="31" t="n"/>
      <c r="AC54" s="32" t="n">
        <v>0</v>
      </c>
      <c r="AD54" s="31" t="n"/>
      <c r="AE54" s="30" t="n"/>
      <c r="AF54" s="31" t="n"/>
      <c r="AG54" s="32" t="n">
        <v>0</v>
      </c>
      <c r="AH54" s="31" t="n"/>
      <c r="AI54" s="30" t="n"/>
      <c r="AJ54" s="171" t="n">
        <v>1600</v>
      </c>
      <c r="AK54" s="32" t="n">
        <v>0</v>
      </c>
      <c r="AL54" s="31" t="n"/>
      <c r="AM54" s="30" t="n"/>
      <c r="AN54" s="171" t="n">
        <v>0</v>
      </c>
      <c r="AO54" s="32" t="n"/>
      <c r="AP54" s="31" t="inlineStr">
        <is>
          <t>Перенос на август заказа ввиду, наложения личной закупки продукции ТОНАРом</t>
        </is>
      </c>
      <c r="AQ54" s="30" t="n"/>
      <c r="AR54" s="174" t="n">
        <v>1800</v>
      </c>
      <c r="AS54" s="32" t="n">
        <v>1600</v>
      </c>
      <c r="AT54" s="31" t="n"/>
      <c r="AU54" s="30" t="n"/>
      <c r="AV54" s="173" t="n">
        <v>0</v>
      </c>
      <c r="AW54" s="32" t="n">
        <v>0</v>
      </c>
      <c r="AX54" s="31" t="n"/>
      <c r="AY54" s="30" t="n"/>
      <c r="AZ54" s="173" t="n">
        <v>0</v>
      </c>
      <c r="BA54" s="32" t="n">
        <v>2000</v>
      </c>
      <c r="BB54" s="34" t="n"/>
      <c r="BC54" s="30" t="n"/>
      <c r="BD54" s="169" t="n">
        <v>459</v>
      </c>
      <c r="BE54" s="155" t="n">
        <v>0</v>
      </c>
      <c r="BF54" s="34" t="n"/>
      <c r="BG54" s="30" t="n"/>
      <c r="BH54" s="169" t="n">
        <v>0</v>
      </c>
      <c r="BI54" s="136" t="n">
        <v>0</v>
      </c>
      <c r="BJ54" s="34" t="n"/>
      <c r="BK54" s="381">
        <f>O54+S54+W54+AA54+AE54+AI54+AM54+AQ54+AU54+AY54+BC54+BG54</f>
        <v/>
      </c>
      <c r="BL54" s="386">
        <f>BK54*$I54</f>
        <v/>
      </c>
      <c r="BM54" s="41" t="n">
        <v>0</v>
      </c>
      <c r="BN54" s="169" t="n">
        <v>0</v>
      </c>
      <c r="BO54" s="44" t="n">
        <v>0</v>
      </c>
      <c r="BP54" s="35" t="n"/>
      <c r="BQ54" s="45" t="n">
        <v>459</v>
      </c>
      <c r="BR54" s="169" t="n">
        <v>0</v>
      </c>
      <c r="BS54" s="32" t="n">
        <v>0</v>
      </c>
      <c r="BT54" s="31" t="n"/>
      <c r="BU54" s="45" t="n">
        <v>559</v>
      </c>
      <c r="BV54" s="174" t="n">
        <v>0</v>
      </c>
      <c r="BW54" s="44" t="n">
        <v>0</v>
      </c>
      <c r="BX54" s="35" t="n"/>
      <c r="BY54" s="45" t="n">
        <v>1643</v>
      </c>
      <c r="BZ54" s="35" t="n">
        <v>0</v>
      </c>
      <c r="CA54" s="44" t="n">
        <v>0</v>
      </c>
      <c r="CB54" s="35" t="n"/>
      <c r="CC54" s="45" t="n">
        <v>1520</v>
      </c>
      <c r="CD54" s="35" t="n">
        <v>0</v>
      </c>
      <c r="CE54" s="32" t="n">
        <v>0</v>
      </c>
      <c r="CF54" s="31" t="n"/>
      <c r="CG54" s="41" t="n">
        <v>1565</v>
      </c>
      <c r="CH54" s="45" t="n">
        <v>0</v>
      </c>
      <c r="CI54" s="44" t="n">
        <v>0</v>
      </c>
      <c r="CJ54" s="35" t="n"/>
      <c r="CK54" s="45" t="n">
        <v>0</v>
      </c>
      <c r="CL54" s="45" t="n">
        <v>0</v>
      </c>
      <c r="CM54" s="44" t="n">
        <v>0</v>
      </c>
      <c r="CN54" s="35" t="n"/>
      <c r="CO54" s="45" t="n">
        <v>0</v>
      </c>
      <c r="CP54" s="45" t="n">
        <v>0</v>
      </c>
      <c r="CQ54" s="44" t="n"/>
      <c r="CR54" s="35" t="n"/>
      <c r="CS54" s="45" t="n">
        <v>0</v>
      </c>
      <c r="CT54" s="176" t="n">
        <v>300</v>
      </c>
      <c r="CU54" s="44" t="n">
        <v>0</v>
      </c>
      <c r="CV54" s="35" t="n"/>
      <c r="CW54" s="45" t="n">
        <v>0</v>
      </c>
      <c r="CX54" s="177" t="n">
        <v>200</v>
      </c>
      <c r="CY54" s="44" t="n">
        <v>0</v>
      </c>
      <c r="CZ54" s="35" t="n"/>
      <c r="DA54" s="45" t="n">
        <v>0</v>
      </c>
      <c r="DB54" s="177" t="n">
        <v>200</v>
      </c>
      <c r="DC54" s="155" t="n">
        <v>0</v>
      </c>
      <c r="DD54" s="35" t="n"/>
      <c r="DE54" s="45" t="n">
        <v>0</v>
      </c>
      <c r="DF54" s="283" t="n">
        <v>300</v>
      </c>
      <c r="DG54" s="380" t="n">
        <v>0</v>
      </c>
      <c r="DH54" s="35" t="n"/>
      <c r="DI54" s="379">
        <f>BM54+BQ54+BU54+BY54+CC54+CG54+CK54+CO54+CS54+CW54+DA54+DE54</f>
        <v/>
      </c>
      <c r="DJ54" s="387">
        <f>DI54*$I54</f>
        <v/>
      </c>
      <c r="DK54" s="82" t="n">
        <v>300</v>
      </c>
      <c r="DL54" s="35" t="n">
        <v>300</v>
      </c>
      <c r="DM54" s="44" t="n">
        <v>0</v>
      </c>
      <c r="DN54" s="35" t="n"/>
      <c r="DO54" s="82" t="n">
        <v>300</v>
      </c>
      <c r="DP54" s="282" t="n">
        <v>225</v>
      </c>
      <c r="DQ54" s="44" t="n">
        <v>0</v>
      </c>
      <c r="DR54" s="35" t="n"/>
      <c r="DS54" s="82" t="n">
        <v>300</v>
      </c>
      <c r="DT54" s="306" t="n">
        <v>0</v>
      </c>
      <c r="DU54" s="44" t="n">
        <v>0</v>
      </c>
      <c r="DV54" s="35" t="n"/>
      <c r="DW54" s="82" t="n">
        <v>300</v>
      </c>
      <c r="DX54" s="35" t="n">
        <v>200</v>
      </c>
      <c r="DY54" s="44" t="n">
        <v>0</v>
      </c>
      <c r="DZ54" s="36" t="n"/>
      <c r="EA54" s="82" t="n">
        <v>300</v>
      </c>
      <c r="EB54" s="35" t="n">
        <v>225</v>
      </c>
      <c r="EC54" s="44" t="n">
        <v>300</v>
      </c>
      <c r="ED54" s="36" t="n"/>
      <c r="EE54" s="82" t="n">
        <v>0</v>
      </c>
      <c r="EF54" s="35" t="n">
        <v>250</v>
      </c>
      <c r="EG54" s="44" t="n">
        <v>0</v>
      </c>
      <c r="EH54" s="35" t="n"/>
      <c r="EI54" s="82" t="n">
        <v>0</v>
      </c>
      <c r="EJ54" s="35" t="n">
        <v>250</v>
      </c>
      <c r="EK54" s="44" t="n">
        <v>0</v>
      </c>
      <c r="EL54" s="35" t="n"/>
      <c r="EM54" s="82" t="n">
        <v>0</v>
      </c>
      <c r="EN54" s="281" t="n">
        <v>400</v>
      </c>
      <c r="EO54" s="44" t="n">
        <v>0</v>
      </c>
      <c r="EP54" s="35" t="n"/>
      <c r="EQ54" s="82" t="n">
        <v>0</v>
      </c>
      <c r="ER54" s="281" t="n">
        <v>300</v>
      </c>
      <c r="ES54" s="44" t="n">
        <v>0</v>
      </c>
      <c r="ET54" s="35" t="n"/>
      <c r="EU54" s="82" t="n">
        <v>0</v>
      </c>
      <c r="EV54" s="281" t="n">
        <v>400</v>
      </c>
      <c r="EW54" s="44" t="n">
        <v>0</v>
      </c>
      <c r="EX54" s="35" t="n"/>
      <c r="EY54" s="82" t="n">
        <v>0</v>
      </c>
      <c r="EZ54" s="281" t="n">
        <v>300</v>
      </c>
      <c r="FA54" s="288" t="n">
        <v>0</v>
      </c>
      <c r="FB54" s="35" t="n"/>
      <c r="FC54" s="82" t="n">
        <v>0</v>
      </c>
      <c r="FD54" s="281" t="n">
        <v>400</v>
      </c>
      <c r="FE54" s="380" t="n">
        <v>0</v>
      </c>
      <c r="FF54" s="35" t="n"/>
      <c r="FG54" s="379">
        <f>DK54+DO54+DS54+DW54+EA54+EE54+EI54+EM54+EQ54+EU54+EY54+FC54</f>
        <v/>
      </c>
      <c r="FH54" s="387">
        <f>FG54*$I54</f>
        <v/>
      </c>
      <c r="FI54" s="171" t="n">
        <v>0</v>
      </c>
      <c r="FJ54" s="169" t="n"/>
      <c r="FK54" s="44" t="n"/>
      <c r="FL54" s="35" t="n"/>
      <c r="FM54" s="51" t="n">
        <v>0</v>
      </c>
      <c r="FN54" s="169" t="n"/>
      <c r="FO54" s="44" t="n"/>
      <c r="FP54" s="35" t="n"/>
      <c r="FQ54" s="51" t="n">
        <v>0</v>
      </c>
      <c r="FR54" s="174" t="n"/>
      <c r="FS54" s="44" t="n"/>
      <c r="FT54" s="35" t="n"/>
      <c r="FU54" s="51" t="n">
        <v>0</v>
      </c>
      <c r="FV54" s="35" t="n"/>
      <c r="FW54" s="44" t="n"/>
      <c r="FX54" s="35" t="n"/>
      <c r="FY54" s="51" t="n">
        <v>0</v>
      </c>
      <c r="FZ54" s="35" t="n"/>
      <c r="GA54" s="44" t="n"/>
      <c r="GB54" s="35" t="n"/>
      <c r="GC54" s="51" t="n">
        <v>0</v>
      </c>
      <c r="GD54" s="45" t="n"/>
      <c r="GE54" s="44" t="n"/>
      <c r="GF54" s="35" t="n"/>
      <c r="GG54" s="51" t="n">
        <v>0</v>
      </c>
      <c r="GH54" s="45" t="n"/>
      <c r="GI54" s="44" t="n"/>
      <c r="GJ54" s="35" t="n"/>
      <c r="GK54" s="51" t="n">
        <v>0</v>
      </c>
      <c r="GL54" s="171" t="n"/>
      <c r="GM54" s="44" t="n"/>
      <c r="GN54" s="35" t="n"/>
      <c r="GO54" s="51" t="n">
        <v>0</v>
      </c>
      <c r="GP54" s="171" t="n"/>
      <c r="GQ54" s="44" t="n"/>
      <c r="GR54" s="35" t="n"/>
      <c r="GS54" s="51" t="n">
        <v>0</v>
      </c>
      <c r="GT54" s="171" t="n"/>
      <c r="GU54" s="44" t="n"/>
      <c r="GV54" s="35" t="n"/>
      <c r="GW54" s="51" t="n">
        <v>0</v>
      </c>
      <c r="GX54" s="171" t="n"/>
      <c r="GY54" s="155" t="n"/>
      <c r="GZ54" s="35" t="n"/>
      <c r="HA54" s="51" t="n">
        <v>0</v>
      </c>
      <c r="HB54" s="174" t="n"/>
      <c r="HC54" s="380" t="n"/>
      <c r="HD54" s="35" t="n"/>
      <c r="HE54" s="379">
        <f>FI54+FM54+FQ54+FU54+FY54+GC54+GG54+GK54+GO54+GS54+GW54+HA54</f>
        <v/>
      </c>
      <c r="HF54" s="387">
        <f>HE54*$I54</f>
        <v/>
      </c>
      <c r="HG54" s="51" t="n">
        <v>0</v>
      </c>
      <c r="HH54" s="169" t="n"/>
      <c r="HI54" s="44" t="n"/>
      <c r="HJ54" s="35" t="n"/>
      <c r="HK54" s="51" t="n">
        <v>0</v>
      </c>
      <c r="HL54" s="169" t="n"/>
      <c r="HM54" s="44" t="n"/>
      <c r="HN54" s="35" t="n"/>
      <c r="HO54" s="51" t="n">
        <v>0</v>
      </c>
      <c r="HP54" s="174" t="n"/>
      <c r="HQ54" s="44" t="n"/>
      <c r="HR54" s="35" t="n"/>
      <c r="HS54" s="51" t="n">
        <v>0</v>
      </c>
      <c r="HT54" s="35" t="n"/>
      <c r="HU54" s="44" t="n"/>
      <c r="HV54" s="35" t="n"/>
      <c r="HW54" s="51" t="n">
        <v>0</v>
      </c>
      <c r="HX54" s="35" t="n"/>
      <c r="HY54" s="44" t="n"/>
      <c r="HZ54" s="35" t="n"/>
      <c r="IA54" s="51" t="n">
        <v>0</v>
      </c>
      <c r="IB54" s="45" t="n"/>
      <c r="IC54" s="44" t="n"/>
      <c r="ID54" s="35" t="n"/>
      <c r="IE54" s="51" t="n">
        <v>0</v>
      </c>
      <c r="IF54" s="45" t="n"/>
      <c r="IG54" s="44" t="n"/>
      <c r="IH54" s="35" t="n"/>
      <c r="II54" s="51" t="n">
        <v>0</v>
      </c>
      <c r="IJ54" s="171" t="n"/>
      <c r="IK54" s="44" t="n"/>
      <c r="IL54" s="35" t="n"/>
      <c r="IM54" s="51" t="n">
        <v>0</v>
      </c>
      <c r="IN54" s="171" t="n"/>
      <c r="IO54" s="44" t="n"/>
      <c r="IP54" s="35" t="n"/>
      <c r="IQ54" s="51" t="n">
        <v>0</v>
      </c>
      <c r="IR54" s="171" t="n"/>
      <c r="IS54" s="44" t="n"/>
      <c r="IT54" s="35" t="n"/>
      <c r="IU54" s="51" t="n">
        <v>0</v>
      </c>
      <c r="IV54" s="171" t="n"/>
      <c r="IW54" s="155" t="n"/>
      <c r="IX54" s="35" t="n"/>
      <c r="IY54" s="51" t="n">
        <v>0</v>
      </c>
      <c r="IZ54" s="174" t="n"/>
      <c r="JA54" s="380" t="n"/>
      <c r="JB54" s="35" t="n"/>
      <c r="JC54" s="381">
        <f>HG54+HK54+HO54+HS54+HW54+IA54+IE54+II54+IM54+IQ54+IU54+IY54</f>
        <v/>
      </c>
      <c r="JD54" s="386">
        <f>JC54*$I54</f>
        <v/>
      </c>
    </row>
    <row r="55" ht="13.5" customHeight="1">
      <c r="A55" s="382" t="n"/>
      <c r="B55" s="382" t="n"/>
      <c r="C55" s="382" t="n"/>
      <c r="D55" s="382" t="n"/>
      <c r="E55" s="166" t="n">
        <v>14</v>
      </c>
      <c r="F55" s="166" t="n">
        <v>1</v>
      </c>
      <c r="G55" s="137" t="n">
        <v>4494430600</v>
      </c>
      <c r="H55" s="138" t="inlineStr">
        <is>
          <t>Кабель клапана подъема оси 6 метров</t>
        </is>
      </c>
      <c r="I55" s="164" t="n">
        <v>136.23</v>
      </c>
      <c r="J55" s="164" t="n">
        <v>136.23</v>
      </c>
      <c r="K55" s="299" t="n">
        <v>156.66</v>
      </c>
      <c r="L55" s="299" t="n">
        <v>156.66</v>
      </c>
      <c r="M55" s="164" t="n"/>
      <c r="N55" s="164" t="n"/>
      <c r="O55" s="30" t="n"/>
      <c r="P55" s="31" t="n"/>
      <c r="Q55" s="32" t="n"/>
      <c r="R55" s="31" t="n"/>
      <c r="S55" s="30" t="n"/>
      <c r="T55" s="31" t="n"/>
      <c r="U55" s="32" t="n"/>
      <c r="V55" s="31" t="n"/>
      <c r="W55" s="30" t="n"/>
      <c r="X55" s="31" t="n"/>
      <c r="Y55" s="32" t="n"/>
      <c r="Z55" s="31" t="n"/>
      <c r="AA55" s="30" t="n"/>
      <c r="AB55" s="31" t="n"/>
      <c r="AC55" s="32" t="n"/>
      <c r="AD55" s="31" t="n"/>
      <c r="AE55" s="30" t="n"/>
      <c r="AF55" s="31" t="n"/>
      <c r="AG55" s="32" t="n"/>
      <c r="AH55" s="31" t="n"/>
      <c r="AI55" s="30" t="n"/>
      <c r="AJ55" s="171" t="n"/>
      <c r="AK55" s="32" t="n"/>
      <c r="AL55" s="31" t="n"/>
      <c r="AM55" s="30" t="n"/>
      <c r="AN55" s="171" t="n"/>
      <c r="AO55" s="32" t="n"/>
      <c r="AP55" s="31" t="n"/>
      <c r="AQ55" s="30" t="n"/>
      <c r="AR55" s="174" t="n"/>
      <c r="AS55" s="32" t="n"/>
      <c r="AT55" s="31" t="n"/>
      <c r="AU55" s="30" t="n"/>
      <c r="AV55" s="173" t="n"/>
      <c r="AW55" s="32" t="n"/>
      <c r="AX55" s="31" t="n"/>
      <c r="AY55" s="30" t="n"/>
      <c r="AZ55" s="173" t="n"/>
      <c r="BA55" s="32" t="n"/>
      <c r="BB55" s="34" t="n"/>
      <c r="BC55" s="30" t="n"/>
      <c r="BD55" s="169" t="n"/>
      <c r="BE55" s="155" t="n"/>
      <c r="BF55" s="34" t="n"/>
      <c r="BG55" s="30" t="n"/>
      <c r="BH55" s="169" t="n"/>
      <c r="BI55" s="136" t="n"/>
      <c r="BJ55" s="34" t="n"/>
      <c r="BK55" s="381" t="n"/>
      <c r="BL55" s="386" t="n"/>
      <c r="BM55" s="41" t="n"/>
      <c r="BN55" s="169" t="n"/>
      <c r="BO55" s="44" t="n"/>
      <c r="BP55" s="35" t="n"/>
      <c r="BQ55" s="45" t="n"/>
      <c r="BR55" s="169" t="n"/>
      <c r="BS55" s="32" t="n"/>
      <c r="BT55" s="31" t="n"/>
      <c r="BU55" s="45" t="n"/>
      <c r="BV55" s="174" t="n"/>
      <c r="BW55" s="44" t="n"/>
      <c r="BX55" s="35" t="n"/>
      <c r="BY55" s="45" t="n"/>
      <c r="BZ55" s="35" t="n"/>
      <c r="CA55" s="44" t="n"/>
      <c r="CB55" s="35" t="n"/>
      <c r="CC55" s="45" t="n"/>
      <c r="CD55" s="35" t="n"/>
      <c r="CE55" s="32" t="n"/>
      <c r="CF55" s="31" t="n"/>
      <c r="CG55" s="41" t="n"/>
      <c r="CH55" s="45" t="n"/>
      <c r="CI55" s="44" t="n"/>
      <c r="CJ55" s="35" t="n"/>
      <c r="CK55" s="45" t="n"/>
      <c r="CL55" s="45" t="n"/>
      <c r="CM55" s="44" t="n"/>
      <c r="CN55" s="35" t="n"/>
      <c r="CO55" s="45" t="n"/>
      <c r="CP55" s="45" t="n"/>
      <c r="CQ55" s="44" t="n"/>
      <c r="CR55" s="35" t="n"/>
      <c r="CS55" s="45" t="n"/>
      <c r="CT55" s="176" t="n"/>
      <c r="CU55" s="44" t="n"/>
      <c r="CV55" s="35" t="n"/>
      <c r="CW55" s="45" t="n"/>
      <c r="CX55" s="177" t="n"/>
      <c r="CY55" s="44" t="n"/>
      <c r="CZ55" s="35" t="n"/>
      <c r="DA55" s="45" t="n"/>
      <c r="DB55" s="177" t="n"/>
      <c r="DC55" s="155" t="n"/>
      <c r="DD55" s="35" t="n"/>
      <c r="DE55" s="45" t="n"/>
      <c r="DF55" s="283" t="n"/>
      <c r="DG55" s="380" t="n"/>
      <c r="DH55" s="35" t="n"/>
      <c r="DI55" s="379" t="n"/>
      <c r="DJ55" s="387" t="n"/>
      <c r="DK55" s="82" t="n"/>
      <c r="DL55" s="35" t="n"/>
      <c r="DM55" s="44" t="n">
        <v>300</v>
      </c>
      <c r="DN55" s="61" t="inlineStr">
        <is>
          <t>по факту продавали шестиметровый кабель 4494430600 - 300 штук</t>
        </is>
      </c>
      <c r="DO55" s="82" t="n"/>
      <c r="DP55" s="282" t="n"/>
      <c r="DQ55" s="44" t="n"/>
      <c r="DR55" s="35" t="n"/>
      <c r="DS55" s="82" t="n"/>
      <c r="DT55" s="35" t="n"/>
      <c r="DU55" s="44" t="n"/>
      <c r="DV55" s="35" t="n"/>
      <c r="DW55" s="82" t="n"/>
      <c r="DX55" s="35" t="n"/>
      <c r="DY55" s="44" t="n"/>
      <c r="DZ55" s="36" t="n"/>
      <c r="EA55" s="82" t="n"/>
      <c r="EB55" s="35" t="n"/>
      <c r="EC55" s="44" t="n"/>
      <c r="ED55" s="36" t="n"/>
      <c r="EE55" s="82" t="n"/>
      <c r="EF55" s="35" t="n"/>
      <c r="EG55" s="44" t="n"/>
      <c r="EH55" s="35" t="n"/>
      <c r="EI55" s="82" t="n"/>
      <c r="EJ55" s="35" t="n"/>
      <c r="EK55" s="44" t="n"/>
      <c r="EL55" s="35" t="n"/>
      <c r="EM55" s="82" t="n"/>
      <c r="EN55" s="35" t="n"/>
      <c r="EO55" s="44" t="n"/>
      <c r="EP55" s="35" t="n"/>
      <c r="EQ55" s="82" t="n"/>
      <c r="ER55" s="91" t="n"/>
      <c r="ES55" s="44" t="n"/>
      <c r="ET55" s="35" t="n"/>
      <c r="EU55" s="82" t="n"/>
      <c r="EV55" s="91" t="n"/>
      <c r="EW55" s="44" t="n"/>
      <c r="EX55" s="35" t="n"/>
      <c r="EY55" s="82" t="n"/>
      <c r="EZ55" s="53" t="n"/>
      <c r="FA55" s="288" t="n"/>
      <c r="FB55" s="35" t="n"/>
      <c r="FC55" s="82" t="n"/>
      <c r="FD55" s="92" t="n"/>
      <c r="FE55" s="380" t="n"/>
      <c r="FF55" s="35" t="n"/>
      <c r="FG55" s="379" t="n"/>
      <c r="FH55" s="387" t="n"/>
      <c r="FI55" s="171" t="n"/>
      <c r="FJ55" s="169" t="n"/>
      <c r="FK55" s="44" t="n"/>
      <c r="FL55" s="35" t="n"/>
      <c r="FM55" s="51" t="n"/>
      <c r="FN55" s="169" t="n"/>
      <c r="FO55" s="44" t="n"/>
      <c r="FP55" s="35" t="n"/>
      <c r="FQ55" s="51" t="n"/>
      <c r="FR55" s="174" t="n"/>
      <c r="FS55" s="44" t="n"/>
      <c r="FT55" s="35" t="n"/>
      <c r="FU55" s="51" t="n"/>
      <c r="FV55" s="35" t="n"/>
      <c r="FW55" s="44" t="n"/>
      <c r="FX55" s="35" t="n"/>
      <c r="FY55" s="51" t="n"/>
      <c r="FZ55" s="35" t="n"/>
      <c r="GA55" s="44" t="n"/>
      <c r="GB55" s="35" t="n"/>
      <c r="GC55" s="51" t="n"/>
      <c r="GD55" s="45" t="n"/>
      <c r="GE55" s="44" t="n"/>
      <c r="GF55" s="35" t="n"/>
      <c r="GG55" s="51" t="n"/>
      <c r="GH55" s="45" t="n"/>
      <c r="GI55" s="44" t="n"/>
      <c r="GJ55" s="35" t="n"/>
      <c r="GK55" s="51" t="n"/>
      <c r="GL55" s="171" t="n"/>
      <c r="GM55" s="44" t="n"/>
      <c r="GN55" s="35" t="n"/>
      <c r="GO55" s="51" t="n"/>
      <c r="GP55" s="171" t="n"/>
      <c r="GQ55" s="44" t="n"/>
      <c r="GR55" s="35" t="n"/>
      <c r="GS55" s="51" t="n"/>
      <c r="GT55" s="171" t="n"/>
      <c r="GU55" s="44" t="n"/>
      <c r="GV55" s="35" t="n"/>
      <c r="GW55" s="51" t="n"/>
      <c r="GX55" s="171" t="n"/>
      <c r="GY55" s="155" t="n"/>
      <c r="GZ55" s="35" t="n"/>
      <c r="HA55" s="51" t="n"/>
      <c r="HB55" s="174" t="n"/>
      <c r="HC55" s="380" t="n"/>
      <c r="HD55" s="35" t="n"/>
      <c r="HE55" s="379" t="n"/>
      <c r="HF55" s="387" t="n"/>
      <c r="HG55" s="51" t="n"/>
      <c r="HH55" s="169" t="n"/>
      <c r="HI55" s="44" t="n"/>
      <c r="HJ55" s="35" t="n"/>
      <c r="HK55" s="51" t="n"/>
      <c r="HL55" s="169" t="n"/>
      <c r="HM55" s="44" t="n"/>
      <c r="HN55" s="35" t="n"/>
      <c r="HO55" s="51" t="n"/>
      <c r="HP55" s="174" t="n"/>
      <c r="HQ55" s="44" t="n"/>
      <c r="HR55" s="35" t="n"/>
      <c r="HS55" s="51" t="n"/>
      <c r="HT55" s="35" t="n"/>
      <c r="HU55" s="44" t="n"/>
      <c r="HV55" s="35" t="n"/>
      <c r="HW55" s="51" t="n"/>
      <c r="HX55" s="35" t="n"/>
      <c r="HY55" s="44" t="n"/>
      <c r="HZ55" s="35" t="n"/>
      <c r="IA55" s="51" t="n"/>
      <c r="IB55" s="45" t="n"/>
      <c r="IC55" s="44" t="n"/>
      <c r="ID55" s="35" t="n"/>
      <c r="IE55" s="51" t="n"/>
      <c r="IF55" s="45" t="n"/>
      <c r="IG55" s="44" t="n"/>
      <c r="IH55" s="35" t="n"/>
      <c r="II55" s="51" t="n"/>
      <c r="IJ55" s="171" t="n"/>
      <c r="IK55" s="44" t="n"/>
      <c r="IL55" s="35" t="n"/>
      <c r="IM55" s="51" t="n"/>
      <c r="IN55" s="171" t="n"/>
      <c r="IO55" s="44" t="n"/>
      <c r="IP55" s="35" t="n"/>
      <c r="IQ55" s="51" t="n"/>
      <c r="IR55" s="171" t="n"/>
      <c r="IS55" s="44" t="n"/>
      <c r="IT55" s="35" t="n"/>
      <c r="IU55" s="51" t="n"/>
      <c r="IV55" s="171" t="n"/>
      <c r="IW55" s="155" t="n"/>
      <c r="IX55" s="35" t="n"/>
      <c r="IY55" s="51" t="n"/>
      <c r="IZ55" s="174" t="n"/>
      <c r="JA55" s="380" t="n"/>
      <c r="JB55" s="35" t="n"/>
      <c r="JC55" s="381" t="n"/>
      <c r="JD55" s="386" t="n"/>
    </row>
    <row r="56" ht="13.5" customHeight="1">
      <c r="A56" s="382" t="n"/>
      <c r="B56" s="382" t="n"/>
      <c r="C56" s="382" t="n"/>
      <c r="D56" s="382" t="n"/>
      <c r="E56" s="166" t="n">
        <v>15</v>
      </c>
      <c r="F56" s="166" t="n">
        <v>1</v>
      </c>
      <c r="G56" s="137" t="n">
        <v>4410328080</v>
      </c>
      <c r="H56" s="138" t="inlineStr">
        <is>
          <t>Датчик ABS 0,4 метра</t>
        </is>
      </c>
      <c r="I56" s="167" t="n">
        <v>34.56</v>
      </c>
      <c r="J56" s="164" t="n">
        <v>34.56</v>
      </c>
      <c r="K56" s="164" t="n">
        <v>34.56</v>
      </c>
      <c r="L56" s="164" t="n">
        <v>34.56</v>
      </c>
      <c r="M56" s="164" t="n"/>
      <c r="N56" s="164" t="n"/>
      <c r="O56" s="30" t="n"/>
      <c r="P56" s="31" t="n"/>
      <c r="Q56" s="32" t="n"/>
      <c r="R56" s="31" t="n"/>
      <c r="S56" s="30" t="n"/>
      <c r="T56" s="31" t="n"/>
      <c r="U56" s="32" t="n"/>
      <c r="V56" s="31" t="n"/>
      <c r="W56" s="30" t="n"/>
      <c r="X56" s="31" t="n"/>
      <c r="Y56" s="32" t="n"/>
      <c r="Z56" s="31" t="n"/>
      <c r="AA56" s="30" t="n"/>
      <c r="AB56" s="31" t="n"/>
      <c r="AC56" s="32" t="n">
        <v>0</v>
      </c>
      <c r="AD56" s="31" t="n"/>
      <c r="AE56" s="30" t="n"/>
      <c r="AF56" s="31" t="n"/>
      <c r="AG56" s="32" t="n">
        <v>0</v>
      </c>
      <c r="AH56" s="31" t="n"/>
      <c r="AI56" s="30" t="n"/>
      <c r="AJ56" s="171" t="n">
        <v>5000</v>
      </c>
      <c r="AK56" s="32" t="n">
        <v>0</v>
      </c>
      <c r="AL56" s="31" t="n"/>
      <c r="AM56" s="30" t="n"/>
      <c r="AN56" s="171" t="n">
        <v>0</v>
      </c>
      <c r="AO56" s="32" t="n"/>
      <c r="AP56" s="31" t="inlineStr">
        <is>
          <t>Перенос на август заказа ввиду, наложения личной закупки продукции ТОНАРом</t>
        </is>
      </c>
      <c r="AQ56" s="30" t="n"/>
      <c r="AR56" s="172" t="n">
        <v>3000</v>
      </c>
      <c r="AS56" s="32" t="n">
        <v>5000</v>
      </c>
      <c r="AT56" s="31" t="n"/>
      <c r="AU56" s="30" t="n"/>
      <c r="AV56" s="173" t="n">
        <v>0</v>
      </c>
      <c r="AW56" s="32" t="n">
        <v>0</v>
      </c>
      <c r="AX56" s="31" t="n"/>
      <c r="AY56" s="30" t="n"/>
      <c r="AZ56" s="180" t="n">
        <v>0</v>
      </c>
      <c r="BA56" s="32" t="n">
        <v>0</v>
      </c>
      <c r="BB56" s="34" t="n"/>
      <c r="BC56" s="30" t="n"/>
      <c r="BD56" s="169" t="n">
        <v>1071</v>
      </c>
      <c r="BE56" s="155" t="n">
        <v>0</v>
      </c>
      <c r="BF56" s="34" t="n"/>
      <c r="BG56" s="30" t="n"/>
      <c r="BH56" s="169" t="n">
        <v>2000</v>
      </c>
      <c r="BI56" s="136" t="n">
        <v>0</v>
      </c>
      <c r="BJ56" s="34" t="n"/>
      <c r="BK56" s="381">
        <f>O56+S56+W56+AA56+AE56+AI56+AM56+AQ56+AU56+AY56+BC56+BG56</f>
        <v/>
      </c>
      <c r="BL56" s="386">
        <f>BK56*$I56</f>
        <v/>
      </c>
      <c r="BM56" s="41" t="n">
        <v>0</v>
      </c>
      <c r="BN56" s="169" t="n">
        <v>0</v>
      </c>
      <c r="BO56" s="44" t="n">
        <v>2000</v>
      </c>
      <c r="BP56" s="35" t="n"/>
      <c r="BQ56" s="45" t="n">
        <v>1071</v>
      </c>
      <c r="BR56" s="169" t="n">
        <v>0</v>
      </c>
      <c r="BS56" s="32" t="n">
        <v>0</v>
      </c>
      <c r="BT56" s="31" t="n"/>
      <c r="BU56" s="45" t="n">
        <v>1305</v>
      </c>
      <c r="BV56" s="174" t="n">
        <v>0</v>
      </c>
      <c r="BW56" s="44" t="n">
        <v>0</v>
      </c>
      <c r="BX56" s="35" t="n"/>
      <c r="BY56" s="45" t="n">
        <v>3833</v>
      </c>
      <c r="BZ56" s="35" t="n">
        <v>0</v>
      </c>
      <c r="CA56" s="44" t="n">
        <v>0</v>
      </c>
      <c r="CB56" s="35" t="n"/>
      <c r="CC56" s="45" t="n">
        <v>3546</v>
      </c>
      <c r="CD56" s="35" t="n">
        <v>0</v>
      </c>
      <c r="CE56" s="32" t="n">
        <v>0</v>
      </c>
      <c r="CF56" s="31" t="n"/>
      <c r="CG56" s="41" t="n">
        <v>3651</v>
      </c>
      <c r="CH56" s="45" t="n">
        <v>0</v>
      </c>
      <c r="CI56" s="44" t="n">
        <v>0</v>
      </c>
      <c r="CJ56" s="35" t="n"/>
      <c r="CK56" s="45" t="n">
        <v>4445</v>
      </c>
      <c r="CL56" s="176" t="n">
        <v>0</v>
      </c>
      <c r="CM56" s="44" t="n">
        <v>0</v>
      </c>
      <c r="CN56" s="35" t="n"/>
      <c r="CO56" s="45" t="n">
        <v>4456</v>
      </c>
      <c r="CP56" s="176" t="n">
        <v>0</v>
      </c>
      <c r="CQ56" s="44" t="n">
        <v>0</v>
      </c>
      <c r="CR56" s="35" t="n"/>
      <c r="CS56" s="45" t="n">
        <v>4410</v>
      </c>
      <c r="CT56" s="176" t="n">
        <v>0</v>
      </c>
      <c r="CU56" s="44" t="n">
        <v>0</v>
      </c>
      <c r="CV56" s="35" t="n"/>
      <c r="CW56" s="45" t="n">
        <v>4764</v>
      </c>
      <c r="CX56" s="177" t="n">
        <v>0</v>
      </c>
      <c r="CY56" s="44" t="n">
        <v>0</v>
      </c>
      <c r="CZ56" s="35" t="n"/>
      <c r="DA56" s="45" t="n">
        <v>4295</v>
      </c>
      <c r="DB56" s="177" t="n">
        <v>0</v>
      </c>
      <c r="DC56" s="155" t="n">
        <v>0</v>
      </c>
      <c r="DD56" s="35" t="n"/>
      <c r="DE56" s="45" t="n">
        <v>4848</v>
      </c>
      <c r="DF56" s="181" t="n">
        <v>0</v>
      </c>
      <c r="DG56" s="380" t="n">
        <v>0</v>
      </c>
      <c r="DH56" s="35" t="n"/>
      <c r="DI56" s="379">
        <f>BM56+BQ56+BU56+BY56+CC56+CG56+CK56+CO56+CS56+CW56+DA56+DE56</f>
        <v/>
      </c>
      <c r="DJ56" s="387">
        <f>DI56*$I56</f>
        <v/>
      </c>
      <c r="DK56" s="82" t="n">
        <v>0</v>
      </c>
      <c r="DL56" s="35" t="n">
        <v>0</v>
      </c>
      <c r="DM56" s="44" t="n"/>
      <c r="DN56" s="35" t="n"/>
      <c r="DO56" s="82" t="n">
        <v>0</v>
      </c>
      <c r="DP56" s="35" t="n">
        <v>0</v>
      </c>
      <c r="DQ56" s="44" t="n"/>
      <c r="DR56" s="35" t="n"/>
      <c r="DS56" s="82" t="n">
        <v>0</v>
      </c>
      <c r="DT56" s="35" t="n">
        <v>0</v>
      </c>
      <c r="DU56" s="44" t="n"/>
      <c r="DV56" s="35" t="n"/>
      <c r="DW56" s="82" t="n">
        <v>0</v>
      </c>
      <c r="DX56" s="35" t="n">
        <v>0</v>
      </c>
      <c r="DY56" s="44" t="n"/>
      <c r="DZ56" s="36" t="n"/>
      <c r="EA56" s="82" t="n">
        <v>0</v>
      </c>
      <c r="EB56" s="35" t="n">
        <v>0</v>
      </c>
      <c r="EC56" s="44" t="n"/>
      <c r="ED56" s="36" t="n"/>
      <c r="EE56" s="82" t="n">
        <v>2000</v>
      </c>
      <c r="EF56" s="281" t="n">
        <v>600</v>
      </c>
      <c r="EG56" s="44" t="n">
        <v>0</v>
      </c>
      <c r="EH56" s="35" t="n"/>
      <c r="EI56" s="82" t="n">
        <v>2000</v>
      </c>
      <c r="EJ56" s="281" t="n">
        <v>600</v>
      </c>
      <c r="EK56" s="44" t="n">
        <v>0</v>
      </c>
      <c r="EL56" s="35" t="n"/>
      <c r="EM56" s="82" t="n">
        <v>2000</v>
      </c>
      <c r="EN56" s="281" t="n">
        <v>800</v>
      </c>
      <c r="EO56" s="44" t="n">
        <v>0</v>
      </c>
      <c r="EP56" s="35" t="n"/>
      <c r="EQ56" s="82" t="n">
        <v>2000</v>
      </c>
      <c r="ER56" s="290" t="n">
        <v>600</v>
      </c>
      <c r="ES56" s="44" t="n">
        <v>0</v>
      </c>
      <c r="ET56" s="35" t="n"/>
      <c r="EU56" s="82" t="n">
        <v>2000</v>
      </c>
      <c r="EV56" s="290" t="n">
        <v>800</v>
      </c>
      <c r="EW56" s="44" t="n">
        <v>0</v>
      </c>
      <c r="EX56" s="35" t="n"/>
      <c r="EY56" s="82" t="n">
        <v>2000</v>
      </c>
      <c r="EZ56" s="291" t="n">
        <v>600</v>
      </c>
      <c r="FA56" s="288" t="n">
        <v>0</v>
      </c>
      <c r="FB56" s="35" t="n"/>
      <c r="FC56" s="82" t="n">
        <v>2000</v>
      </c>
      <c r="FD56" s="292" t="n">
        <v>800</v>
      </c>
      <c r="FE56" s="380" t="n">
        <v>0</v>
      </c>
      <c r="FF56" s="35" t="n"/>
      <c r="FG56" s="379">
        <f>DK56+DO56+DS56+DW56+EA56+EE56+EI56+EM56+EQ56+EU56+EY56+FC56</f>
        <v/>
      </c>
      <c r="FH56" s="387">
        <f>FG56*$I56</f>
        <v/>
      </c>
      <c r="FI56" s="171" t="n">
        <v>2000</v>
      </c>
      <c r="FJ56" s="169" t="n"/>
      <c r="FK56" s="44" t="n">
        <v>0</v>
      </c>
      <c r="FL56" s="35" t="n"/>
      <c r="FM56" s="51" t="n">
        <v>2000</v>
      </c>
      <c r="FN56" s="169" t="n"/>
      <c r="FO56" s="44" t="n">
        <v>0</v>
      </c>
      <c r="FP56" s="35" t="n"/>
      <c r="FQ56" s="51" t="n">
        <v>2000</v>
      </c>
      <c r="FR56" s="174" t="n"/>
      <c r="FS56" s="44" t="n">
        <v>0</v>
      </c>
      <c r="FT56" s="35" t="n"/>
      <c r="FU56" s="51" t="n">
        <v>2000</v>
      </c>
      <c r="FV56" s="35" t="n"/>
      <c r="FW56" s="44" t="n">
        <v>0</v>
      </c>
      <c r="FX56" s="35" t="n"/>
      <c r="FY56" s="51" t="n">
        <v>2000</v>
      </c>
      <c r="FZ56" s="35" t="n"/>
      <c r="GA56" s="44" t="n">
        <v>0</v>
      </c>
      <c r="GB56" s="35" t="n"/>
      <c r="GC56" s="51" t="n">
        <v>2000</v>
      </c>
      <c r="GD56" s="45" t="n"/>
      <c r="GE56" s="44" t="n">
        <v>0</v>
      </c>
      <c r="GF56" s="35" t="n"/>
      <c r="GG56" s="51" t="n">
        <v>2000</v>
      </c>
      <c r="GH56" s="45" t="n"/>
      <c r="GI56" s="44" t="n">
        <v>0</v>
      </c>
      <c r="GJ56" s="35" t="n"/>
      <c r="GK56" s="51" t="n">
        <v>2400</v>
      </c>
      <c r="GL56" s="171" t="n"/>
      <c r="GM56" s="44" t="n">
        <v>0</v>
      </c>
      <c r="GN56" s="35" t="n"/>
      <c r="GO56" s="51" t="n">
        <v>2400</v>
      </c>
      <c r="GP56" s="171" t="n"/>
      <c r="GQ56" s="44" t="n">
        <v>0</v>
      </c>
      <c r="GR56" s="35" t="n"/>
      <c r="GS56" s="51" t="n">
        <v>2400</v>
      </c>
      <c r="GT56" s="171" t="n"/>
      <c r="GU56" s="44" t="n">
        <v>0</v>
      </c>
      <c r="GV56" s="35" t="n"/>
      <c r="GW56" s="51" t="n">
        <v>2400</v>
      </c>
      <c r="GX56" s="171" t="n"/>
      <c r="GY56" s="155" t="n">
        <v>0</v>
      </c>
      <c r="GZ56" s="35" t="n"/>
      <c r="HA56" s="51" t="n">
        <v>2400</v>
      </c>
      <c r="HB56" s="174" t="n"/>
      <c r="HC56" s="380" t="n">
        <v>0</v>
      </c>
      <c r="HD56" s="35" t="n"/>
      <c r="HE56" s="379">
        <f>FI56+FM56+FQ56+FU56+FY56+GC56+GG56+GK56+GO56+GS56+GW56+HA56</f>
        <v/>
      </c>
      <c r="HF56" s="387">
        <f>HE56*$I56</f>
        <v/>
      </c>
      <c r="HG56" s="51" t="n">
        <v>2400</v>
      </c>
      <c r="HH56" s="169" t="n"/>
      <c r="HI56" s="44" t="n">
        <v>0</v>
      </c>
      <c r="HJ56" s="35" t="n"/>
      <c r="HK56" s="51" t="n">
        <v>2400</v>
      </c>
      <c r="HL56" s="169" t="n"/>
      <c r="HM56" s="44" t="n">
        <v>0</v>
      </c>
      <c r="HN56" s="35" t="n"/>
      <c r="HO56" s="51" t="n">
        <v>3200</v>
      </c>
      <c r="HP56" s="174" t="n"/>
      <c r="HQ56" s="44" t="n">
        <v>0</v>
      </c>
      <c r="HR56" s="35" t="n"/>
      <c r="HS56" s="51" t="n">
        <v>3200</v>
      </c>
      <c r="HT56" s="35" t="n"/>
      <c r="HU56" s="44" t="n">
        <v>0</v>
      </c>
      <c r="HV56" s="35" t="n"/>
      <c r="HW56" s="51" t="n">
        <v>3200</v>
      </c>
      <c r="HX56" s="35" t="n"/>
      <c r="HY56" s="44" t="n">
        <v>0</v>
      </c>
      <c r="HZ56" s="35" t="n"/>
      <c r="IA56" s="51" t="n">
        <v>3200</v>
      </c>
      <c r="IB56" s="45" t="n"/>
      <c r="IC56" s="44" t="n">
        <v>0</v>
      </c>
      <c r="ID56" s="35" t="n"/>
      <c r="IE56" s="51" t="n">
        <v>3200</v>
      </c>
      <c r="IF56" s="45" t="n"/>
      <c r="IG56" s="44" t="n">
        <v>0</v>
      </c>
      <c r="IH56" s="35" t="n"/>
      <c r="II56" s="51" t="n">
        <v>3200</v>
      </c>
      <c r="IJ56" s="171" t="n"/>
      <c r="IK56" s="44" t="n">
        <v>0</v>
      </c>
      <c r="IL56" s="35" t="n"/>
      <c r="IM56" s="51" t="n">
        <v>3200</v>
      </c>
      <c r="IN56" s="171" t="n"/>
      <c r="IO56" s="44" t="n">
        <v>0</v>
      </c>
      <c r="IP56" s="35" t="n"/>
      <c r="IQ56" s="51" t="n">
        <v>3200</v>
      </c>
      <c r="IR56" s="171" t="n"/>
      <c r="IS56" s="44" t="n">
        <v>0</v>
      </c>
      <c r="IT56" s="35" t="n"/>
      <c r="IU56" s="51" t="n">
        <v>3200</v>
      </c>
      <c r="IV56" s="171" t="n"/>
      <c r="IW56" s="155" t="n">
        <v>0</v>
      </c>
      <c r="IX56" s="35" t="n"/>
      <c r="IY56" s="51" t="n">
        <v>3200</v>
      </c>
      <c r="IZ56" s="174" t="n"/>
      <c r="JA56" s="380" t="n">
        <v>0</v>
      </c>
      <c r="JB56" s="35" t="n"/>
      <c r="JC56" s="381">
        <f>HG56+HK56+HO56+HS56+HW56+IA56+IE56+II56+IM56+IQ56+IU56+IY56</f>
        <v/>
      </c>
      <c r="JD56" s="386">
        <f>JC56*$I56</f>
        <v/>
      </c>
    </row>
    <row r="57" ht="13.5" customHeight="1">
      <c r="A57" s="382" t="n"/>
      <c r="B57" s="382" t="n"/>
      <c r="C57" s="382" t="n"/>
      <c r="D57" s="382" t="n"/>
      <c r="E57" s="166" t="n">
        <v>16</v>
      </c>
      <c r="F57" s="166" t="n">
        <v>1</v>
      </c>
      <c r="G57" s="137" t="n">
        <v>8997598154</v>
      </c>
      <c r="H57" s="138" t="inlineStr">
        <is>
          <t>Втулка</t>
        </is>
      </c>
      <c r="I57" s="167" t="n">
        <v>4.76</v>
      </c>
      <c r="J57" s="164" t="n">
        <v>4.76</v>
      </c>
      <c r="K57" s="164" t="n">
        <v>4.76</v>
      </c>
      <c r="L57" s="164" t="n">
        <v>4.76</v>
      </c>
      <c r="M57" s="164" t="n"/>
      <c r="N57" s="164" t="n"/>
      <c r="O57" s="30" t="n"/>
      <c r="P57" s="31" t="n"/>
      <c r="Q57" s="32" t="n"/>
      <c r="R57" s="31" t="n"/>
      <c r="S57" s="30" t="n"/>
      <c r="T57" s="31" t="n"/>
      <c r="U57" s="32" t="n"/>
      <c r="V57" s="31" t="n"/>
      <c r="W57" s="30" t="n"/>
      <c r="X57" s="31" t="n"/>
      <c r="Y57" s="32" t="n"/>
      <c r="Z57" s="31" t="n"/>
      <c r="AA57" s="30" t="n"/>
      <c r="AB57" s="31" t="n"/>
      <c r="AC57" s="32" t="n">
        <v>0</v>
      </c>
      <c r="AD57" s="31" t="n"/>
      <c r="AE57" s="30" t="n"/>
      <c r="AF57" s="31" t="n"/>
      <c r="AG57" s="32" t="n">
        <v>0</v>
      </c>
      <c r="AH57" s="31" t="n"/>
      <c r="AI57" s="30" t="n"/>
      <c r="AJ57" s="171" t="n">
        <v>5000</v>
      </c>
      <c r="AK57" s="32" t="n">
        <v>0</v>
      </c>
      <c r="AL57" s="31" t="n"/>
      <c r="AM57" s="30" t="n"/>
      <c r="AN57" s="171" t="n">
        <v>0</v>
      </c>
      <c r="AO57" s="32" t="n"/>
      <c r="AP57" s="31" t="inlineStr">
        <is>
          <t>Перенос на август заказа ввиду, наложения личной закупки продукции ТОНАРом</t>
        </is>
      </c>
      <c r="AQ57" s="30" t="n"/>
      <c r="AR57" s="172" t="n">
        <v>3000</v>
      </c>
      <c r="AS57" s="32" t="n">
        <v>5000</v>
      </c>
      <c r="AT57" s="31" t="n"/>
      <c r="AU57" s="30" t="n"/>
      <c r="AV57" s="173" t="n">
        <v>0</v>
      </c>
      <c r="AW57" s="32" t="n">
        <v>0</v>
      </c>
      <c r="AX57" s="31" t="n"/>
      <c r="AY57" s="30" t="n"/>
      <c r="AZ57" s="180" t="n">
        <v>0</v>
      </c>
      <c r="BA57" s="32" t="n">
        <v>0</v>
      </c>
      <c r="BB57" s="34" t="n"/>
      <c r="BC57" s="30" t="n"/>
      <c r="BD57" s="169" t="n">
        <v>1071</v>
      </c>
      <c r="BE57" s="155" t="n">
        <v>0</v>
      </c>
      <c r="BF57" s="34" t="n"/>
      <c r="BG57" s="30" t="n"/>
      <c r="BH57" s="169" t="n">
        <v>2000</v>
      </c>
      <c r="BI57" s="136" t="n">
        <v>0</v>
      </c>
      <c r="BJ57" s="34" t="n"/>
      <c r="BK57" s="381">
        <f>O57+S57+W57+AA57+AE57+AI57+AM57+AQ57+AU57+AY57+BC57+BG57</f>
        <v/>
      </c>
      <c r="BL57" s="386">
        <f>BK57*$I57</f>
        <v/>
      </c>
      <c r="BM57" s="41" t="n">
        <v>0</v>
      </c>
      <c r="BN57" s="169" t="n">
        <v>0</v>
      </c>
      <c r="BO57" s="44" t="n">
        <v>2000</v>
      </c>
      <c r="BP57" s="35" t="n"/>
      <c r="BQ57" s="45" t="n">
        <v>1071</v>
      </c>
      <c r="BR57" s="169" t="n">
        <v>0</v>
      </c>
      <c r="BS57" s="32" t="n">
        <v>0</v>
      </c>
      <c r="BT57" s="31" t="n"/>
      <c r="BU57" s="45" t="n">
        <v>1305</v>
      </c>
      <c r="BV57" s="174" t="n">
        <v>0</v>
      </c>
      <c r="BW57" s="44" t="n">
        <v>0</v>
      </c>
      <c r="BX57" s="35" t="n"/>
      <c r="BY57" s="45" t="n">
        <v>3833</v>
      </c>
      <c r="BZ57" s="35" t="n">
        <v>0</v>
      </c>
      <c r="CA57" s="44" t="n">
        <v>0</v>
      </c>
      <c r="CB57" s="35" t="n"/>
      <c r="CC57" s="45" t="n">
        <v>3546</v>
      </c>
      <c r="CD57" s="35" t="n">
        <v>0</v>
      </c>
      <c r="CE57" s="32" t="n">
        <v>0</v>
      </c>
      <c r="CF57" s="31" t="n"/>
      <c r="CG57" s="41" t="n">
        <v>3651</v>
      </c>
      <c r="CH57" s="45" t="n">
        <v>0</v>
      </c>
      <c r="CI57" s="44" t="n">
        <v>0</v>
      </c>
      <c r="CJ57" s="35" t="n"/>
      <c r="CK57" s="45" t="n">
        <v>4445</v>
      </c>
      <c r="CL57" s="176" t="n">
        <v>0</v>
      </c>
      <c r="CM57" s="44" t="n">
        <v>0</v>
      </c>
      <c r="CN57" s="35" t="n"/>
      <c r="CO57" s="45" t="n">
        <v>4456</v>
      </c>
      <c r="CP57" s="176" t="n">
        <v>0</v>
      </c>
      <c r="CQ57" s="44" t="n">
        <v>0</v>
      </c>
      <c r="CR57" s="35" t="n"/>
      <c r="CS57" s="45" t="n">
        <v>4410</v>
      </c>
      <c r="CT57" s="176" t="n">
        <v>0</v>
      </c>
      <c r="CU57" s="44" t="n">
        <v>0</v>
      </c>
      <c r="CV57" s="35" t="n"/>
      <c r="CW57" s="45" t="n">
        <v>4764</v>
      </c>
      <c r="CX57" s="177" t="n">
        <v>0</v>
      </c>
      <c r="CY57" s="44" t="n">
        <v>0</v>
      </c>
      <c r="CZ57" s="35" t="n"/>
      <c r="DA57" s="45" t="n">
        <v>4295</v>
      </c>
      <c r="DB57" s="177" t="n">
        <v>0</v>
      </c>
      <c r="DC57" s="155" t="n">
        <v>0</v>
      </c>
      <c r="DD57" s="35" t="n"/>
      <c r="DE57" s="45" t="n">
        <v>4848</v>
      </c>
      <c r="DF57" s="181" t="n">
        <v>0</v>
      </c>
      <c r="DG57" s="380" t="n">
        <v>0</v>
      </c>
      <c r="DH57" s="35" t="n"/>
      <c r="DI57" s="379">
        <f>BM57+BQ57+BU57+BY57+CC57+CG57+CK57+CO57+CS57+CW57+DA57+DE57</f>
        <v/>
      </c>
      <c r="DJ57" s="387">
        <f>DI57*$I57</f>
        <v/>
      </c>
      <c r="DK57" s="82" t="n">
        <v>0</v>
      </c>
      <c r="DL57" s="35" t="n">
        <v>0</v>
      </c>
      <c r="DM57" s="44" t="n"/>
      <c r="DN57" s="35" t="n"/>
      <c r="DO57" s="82" t="n">
        <v>0</v>
      </c>
      <c r="DP57" s="35" t="n">
        <v>0</v>
      </c>
      <c r="DQ57" s="44" t="n"/>
      <c r="DR57" s="35" t="n"/>
      <c r="DS57" s="82" t="n">
        <v>0</v>
      </c>
      <c r="DT57" s="35" t="n">
        <v>0</v>
      </c>
      <c r="DU57" s="44" t="n"/>
      <c r="DV57" s="35" t="n"/>
      <c r="DW57" s="82" t="n">
        <v>0</v>
      </c>
      <c r="DX57" s="35" t="n">
        <v>0</v>
      </c>
      <c r="DY57" s="44" t="n"/>
      <c r="DZ57" s="36" t="n"/>
      <c r="EA57" s="82" t="n">
        <v>0</v>
      </c>
      <c r="EB57" s="35" t="n">
        <v>0</v>
      </c>
      <c r="EC57" s="44" t="n"/>
      <c r="ED57" s="36" t="n"/>
      <c r="EE57" s="82" t="n">
        <v>2000</v>
      </c>
      <c r="EF57" s="281" t="n">
        <v>600</v>
      </c>
      <c r="EG57" s="44" t="n">
        <v>0</v>
      </c>
      <c r="EH57" s="35" t="n"/>
      <c r="EI57" s="82" t="n">
        <v>2000</v>
      </c>
      <c r="EJ57" s="281" t="n">
        <v>600</v>
      </c>
      <c r="EK57" s="44" t="n">
        <v>0</v>
      </c>
      <c r="EL57" s="35" t="n"/>
      <c r="EM57" s="82" t="n">
        <v>2000</v>
      </c>
      <c r="EN57" s="281" t="n">
        <v>800</v>
      </c>
      <c r="EO57" s="44" t="n">
        <v>0</v>
      </c>
      <c r="EP57" s="35" t="n"/>
      <c r="EQ57" s="82" t="n">
        <v>2000</v>
      </c>
      <c r="ER57" s="290" t="n">
        <v>600</v>
      </c>
      <c r="ES57" s="44" t="n">
        <v>0</v>
      </c>
      <c r="ET57" s="35" t="n"/>
      <c r="EU57" s="82" t="n">
        <v>2000</v>
      </c>
      <c r="EV57" s="290" t="n">
        <v>800</v>
      </c>
      <c r="EW57" s="44" t="n">
        <v>0</v>
      </c>
      <c r="EX57" s="35" t="n"/>
      <c r="EY57" s="82" t="n">
        <v>2000</v>
      </c>
      <c r="EZ57" s="291" t="n">
        <v>600</v>
      </c>
      <c r="FA57" s="288" t="n">
        <v>0</v>
      </c>
      <c r="FB57" s="35" t="n"/>
      <c r="FC57" s="82" t="n">
        <v>2000</v>
      </c>
      <c r="FD57" s="292" t="n">
        <v>800</v>
      </c>
      <c r="FE57" s="380" t="n">
        <v>0</v>
      </c>
      <c r="FF57" s="35" t="n"/>
      <c r="FG57" s="379">
        <f>DK57+DO57+DS57+DW57+EA57+EE57+EI57+EM57+EQ57+EU57+EY57+FC57</f>
        <v/>
      </c>
      <c r="FH57" s="387">
        <f>FG57*$I57</f>
        <v/>
      </c>
      <c r="FI57" s="171" t="n">
        <v>2000</v>
      </c>
      <c r="FJ57" s="169" t="n"/>
      <c r="FK57" s="44" t="n">
        <v>0</v>
      </c>
      <c r="FL57" s="35" t="n"/>
      <c r="FM57" s="51" t="n">
        <v>2000</v>
      </c>
      <c r="FN57" s="169" t="n"/>
      <c r="FO57" s="44" t="n">
        <v>0</v>
      </c>
      <c r="FP57" s="35" t="n"/>
      <c r="FQ57" s="51" t="n">
        <v>2000</v>
      </c>
      <c r="FR57" s="174" t="n"/>
      <c r="FS57" s="44" t="n">
        <v>0</v>
      </c>
      <c r="FT57" s="35" t="n"/>
      <c r="FU57" s="51" t="n">
        <v>2000</v>
      </c>
      <c r="FV57" s="35" t="n"/>
      <c r="FW57" s="44" t="n">
        <v>0</v>
      </c>
      <c r="FX57" s="35" t="n"/>
      <c r="FY57" s="51" t="n">
        <v>2000</v>
      </c>
      <c r="FZ57" s="35" t="n"/>
      <c r="GA57" s="44" t="n">
        <v>0</v>
      </c>
      <c r="GB57" s="35" t="n"/>
      <c r="GC57" s="51" t="n">
        <v>2000</v>
      </c>
      <c r="GD57" s="45" t="n"/>
      <c r="GE57" s="44" t="n">
        <v>0</v>
      </c>
      <c r="GF57" s="35" t="n"/>
      <c r="GG57" s="51" t="n">
        <v>2000</v>
      </c>
      <c r="GH57" s="45" t="n"/>
      <c r="GI57" s="44" t="n">
        <v>0</v>
      </c>
      <c r="GJ57" s="35" t="n"/>
      <c r="GK57" s="51" t="n">
        <v>2400</v>
      </c>
      <c r="GL57" s="171" t="n"/>
      <c r="GM57" s="44" t="n">
        <v>0</v>
      </c>
      <c r="GN57" s="35" t="n"/>
      <c r="GO57" s="51" t="n">
        <v>2400</v>
      </c>
      <c r="GP57" s="171" t="n"/>
      <c r="GQ57" s="44" t="n">
        <v>0</v>
      </c>
      <c r="GR57" s="35" t="n"/>
      <c r="GS57" s="51" t="n">
        <v>2400</v>
      </c>
      <c r="GT57" s="171" t="n"/>
      <c r="GU57" s="44" t="n">
        <v>0</v>
      </c>
      <c r="GV57" s="35" t="n"/>
      <c r="GW57" s="51" t="n">
        <v>2400</v>
      </c>
      <c r="GX57" s="171" t="n"/>
      <c r="GY57" s="155" t="n">
        <v>0</v>
      </c>
      <c r="GZ57" s="35" t="n"/>
      <c r="HA57" s="51" t="n">
        <v>2400</v>
      </c>
      <c r="HB57" s="174" t="n"/>
      <c r="HC57" s="380" t="n">
        <v>0</v>
      </c>
      <c r="HD57" s="35" t="n"/>
      <c r="HE57" s="379">
        <f>FI57+FM57+FQ57+FU57+FY57+GC57+GG57+GK57+GO57+GS57+GW57+HA57</f>
        <v/>
      </c>
      <c r="HF57" s="387">
        <f>HE57*$I57</f>
        <v/>
      </c>
      <c r="HG57" s="51" t="n">
        <v>2400</v>
      </c>
      <c r="HH57" s="169" t="n"/>
      <c r="HI57" s="44" t="n">
        <v>0</v>
      </c>
      <c r="HJ57" s="35" t="n"/>
      <c r="HK57" s="51" t="n">
        <v>2400</v>
      </c>
      <c r="HL57" s="169" t="n"/>
      <c r="HM57" s="44" t="n">
        <v>0</v>
      </c>
      <c r="HN57" s="35" t="n"/>
      <c r="HO57" s="51" t="n">
        <v>3200</v>
      </c>
      <c r="HP57" s="174" t="n"/>
      <c r="HQ57" s="44" t="n">
        <v>0</v>
      </c>
      <c r="HR57" s="35" t="n"/>
      <c r="HS57" s="51" t="n">
        <v>3200</v>
      </c>
      <c r="HT57" s="35" t="n"/>
      <c r="HU57" s="44" t="n">
        <v>0</v>
      </c>
      <c r="HV57" s="35" t="n"/>
      <c r="HW57" s="51" t="n">
        <v>3200</v>
      </c>
      <c r="HX57" s="35" t="n"/>
      <c r="HY57" s="44" t="n">
        <v>0</v>
      </c>
      <c r="HZ57" s="35" t="n"/>
      <c r="IA57" s="51" t="n">
        <v>3200</v>
      </c>
      <c r="IB57" s="45" t="n"/>
      <c r="IC57" s="44" t="n">
        <v>0</v>
      </c>
      <c r="ID57" s="35" t="n"/>
      <c r="IE57" s="51" t="n">
        <v>3200</v>
      </c>
      <c r="IF57" s="45" t="n"/>
      <c r="IG57" s="44" t="n">
        <v>0</v>
      </c>
      <c r="IH57" s="35" t="n"/>
      <c r="II57" s="51" t="n">
        <v>3200</v>
      </c>
      <c r="IJ57" s="171" t="n"/>
      <c r="IK57" s="44" t="n">
        <v>0</v>
      </c>
      <c r="IL57" s="35" t="n"/>
      <c r="IM57" s="51" t="n">
        <v>3200</v>
      </c>
      <c r="IN57" s="171" t="n"/>
      <c r="IO57" s="44" t="n">
        <v>0</v>
      </c>
      <c r="IP57" s="35" t="n"/>
      <c r="IQ57" s="51" t="n">
        <v>3200</v>
      </c>
      <c r="IR57" s="171" t="n"/>
      <c r="IS57" s="44" t="n">
        <v>0</v>
      </c>
      <c r="IT57" s="35" t="n"/>
      <c r="IU57" s="51" t="n">
        <v>3200</v>
      </c>
      <c r="IV57" s="171" t="n"/>
      <c r="IW57" s="155" t="n">
        <v>0</v>
      </c>
      <c r="IX57" s="35" t="n"/>
      <c r="IY57" s="51" t="n">
        <v>3200</v>
      </c>
      <c r="IZ57" s="174" t="n"/>
      <c r="JA57" s="380" t="n">
        <v>0</v>
      </c>
      <c r="JB57" s="35" t="n"/>
      <c r="JC57" s="381">
        <f>HG57+HK57+HO57+HS57+HW57+IA57+IE57+II57+IM57+IQ57+IU57+IY57</f>
        <v/>
      </c>
      <c r="JD57" s="386">
        <f>JC57*$I57</f>
        <v/>
      </c>
    </row>
    <row r="58" ht="13.5" customFormat="1" customHeight="1" s="64">
      <c r="A58" s="382" t="n"/>
      <c r="B58" s="382" t="n"/>
      <c r="C58" s="382" t="n"/>
      <c r="D58" s="382" t="n"/>
      <c r="E58" s="166" t="n">
        <v>17</v>
      </c>
      <c r="F58" s="166" t="n">
        <v>1</v>
      </c>
      <c r="G58" s="182" t="n">
        <v>4494430400</v>
      </c>
      <c r="H58" s="183" t="inlineStr">
        <is>
          <t>Кабель клапана подъема оси 4 метра</t>
        </is>
      </c>
      <c r="I58" s="184" t="n">
        <v>85.26000000000001</v>
      </c>
      <c r="J58" s="185" t="n">
        <v>85.26000000000001</v>
      </c>
      <c r="K58" s="185" t="n">
        <v>85.26000000000001</v>
      </c>
      <c r="L58" s="185" t="n">
        <v>85.26000000000001</v>
      </c>
      <c r="M58" s="185" t="n"/>
      <c r="N58" s="185" t="n"/>
      <c r="O58" s="30" t="n"/>
      <c r="P58" s="31" t="n"/>
      <c r="Q58" s="32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186" t="n"/>
      <c r="AK58" s="187" t="n"/>
      <c r="AL58" s="187" t="n"/>
      <c r="AM58" s="187" t="n"/>
      <c r="AN58" s="186" t="n"/>
      <c r="AO58" s="187" t="n"/>
      <c r="AP58" s="187" t="n"/>
      <c r="AQ58" s="30" t="n"/>
      <c r="AR58" s="188" t="n"/>
      <c r="AS58" s="189" t="n">
        <v>300</v>
      </c>
      <c r="AT58" s="190" t="inlineStr">
        <is>
          <t>новый артикул</t>
        </is>
      </c>
      <c r="AU58" s="30" t="n"/>
      <c r="AV58" s="191" t="n">
        <v>0</v>
      </c>
      <c r="AW58" s="192" t="n">
        <v>0</v>
      </c>
      <c r="AX58" s="193" t="n"/>
      <c r="AY58" s="194" t="n"/>
      <c r="AZ58" s="195" t="n">
        <v>2000</v>
      </c>
      <c r="BA58" s="192" t="n">
        <v>0</v>
      </c>
      <c r="BB58" s="196" t="n"/>
      <c r="BC58" s="194" t="n"/>
      <c r="BD58" s="169" t="n">
        <v>0</v>
      </c>
      <c r="BE58" s="155" t="n">
        <v>0</v>
      </c>
      <c r="BF58" s="196" t="n"/>
      <c r="BG58" s="194" t="n"/>
      <c r="BH58" s="169" t="n">
        <v>0</v>
      </c>
      <c r="BI58" s="136" t="n"/>
      <c r="BJ58" s="34" t="n"/>
      <c r="BK58" s="384">
        <f>SUM(BK41:BK56)</f>
        <v/>
      </c>
      <c r="BL58" s="384">
        <f>SUM(BL41:BL56)</f>
        <v/>
      </c>
      <c r="BM58" s="41" t="n">
        <v>0</v>
      </c>
      <c r="BN58" s="169" t="n">
        <v>0</v>
      </c>
      <c r="BO58" s="44" t="n">
        <v>0</v>
      </c>
      <c r="BP58" s="35" t="n"/>
      <c r="BQ58" s="45" t="n">
        <v>0</v>
      </c>
      <c r="BR58" s="169" t="n">
        <v>0</v>
      </c>
      <c r="BS58" s="32" t="n">
        <v>0</v>
      </c>
      <c r="BT58" s="31" t="n"/>
      <c r="BU58" s="45" t="n">
        <v>0</v>
      </c>
      <c r="BV58" s="35" t="n">
        <v>0</v>
      </c>
      <c r="BW58" s="44" t="n"/>
      <c r="BX58" s="35" t="n"/>
      <c r="BY58" s="45" t="n">
        <v>0</v>
      </c>
      <c r="BZ58" s="35" t="n">
        <v>0</v>
      </c>
      <c r="CA58" s="44" t="n">
        <v>0</v>
      </c>
      <c r="CB58" s="35" t="n"/>
      <c r="CC58" s="45" t="n">
        <v>0</v>
      </c>
      <c r="CD58" s="35" t="n">
        <v>0</v>
      </c>
      <c r="CE58" s="32" t="n">
        <v>0</v>
      </c>
      <c r="CF58" s="31" t="n"/>
      <c r="CG58" s="41" t="n">
        <v>230</v>
      </c>
      <c r="CH58" s="197" t="n">
        <v>0</v>
      </c>
      <c r="CI58" s="44" t="n">
        <v>0</v>
      </c>
      <c r="CJ58" s="197" t="n"/>
      <c r="CK58" s="45" t="n">
        <v>1905</v>
      </c>
      <c r="CL58" s="198" t="n">
        <v>0</v>
      </c>
      <c r="CM58" s="44" t="n">
        <v>0</v>
      </c>
      <c r="CN58" s="197" t="n"/>
      <c r="CO58" s="45" t="n">
        <v>1910</v>
      </c>
      <c r="CP58" s="198" t="n">
        <v>0</v>
      </c>
      <c r="CQ58" s="199" t="n">
        <v>0</v>
      </c>
      <c r="CR58" s="197" t="n"/>
      <c r="CS58" s="45" t="n">
        <v>1890</v>
      </c>
      <c r="CT58" s="198" t="n">
        <v>0</v>
      </c>
      <c r="CU58" s="199" t="n">
        <v>0</v>
      </c>
      <c r="CV58" s="197" t="n"/>
      <c r="CW58" s="45" t="n">
        <v>2042</v>
      </c>
      <c r="CX58" s="200" t="n">
        <v>0</v>
      </c>
      <c r="CY58" s="199" t="n">
        <v>0</v>
      </c>
      <c r="CZ58" s="197" t="n"/>
      <c r="DA58" s="45" t="n">
        <v>1841</v>
      </c>
      <c r="DB58" s="200" t="n">
        <v>0</v>
      </c>
      <c r="DC58" s="201" t="n">
        <v>0</v>
      </c>
      <c r="DD58" s="197" t="n"/>
      <c r="DE58" s="45" t="n">
        <v>2078</v>
      </c>
      <c r="DF58" s="202" t="n">
        <v>0</v>
      </c>
      <c r="DG58" s="380" t="n">
        <v>0</v>
      </c>
      <c r="DH58" s="35" t="n"/>
      <c r="DI58" s="379">
        <f>BM58+BQ58+BU58+BY58+CC58+CG58+CK58+CO58+CS58+CW58+DA58+DE58</f>
        <v/>
      </c>
      <c r="DJ58" s="387">
        <f>DI58*$I58</f>
        <v/>
      </c>
      <c r="DK58" s="82" t="n">
        <v>0</v>
      </c>
      <c r="DL58" s="35" t="n">
        <v>0</v>
      </c>
      <c r="DM58" s="44" t="n"/>
      <c r="DN58" s="35" t="n"/>
      <c r="DO58" s="82" t="n">
        <v>0</v>
      </c>
      <c r="DP58" s="35" t="n">
        <v>0</v>
      </c>
      <c r="DQ58" s="44" t="n"/>
      <c r="DR58" s="35" t="n"/>
      <c r="DS58" s="82" t="n">
        <v>0</v>
      </c>
      <c r="DT58" s="35" t="n">
        <v>0</v>
      </c>
      <c r="DU58" s="44" t="n"/>
      <c r="DV58" s="35" t="n"/>
      <c r="DW58" s="82" t="n">
        <v>0</v>
      </c>
      <c r="DX58" s="35" t="n">
        <v>0</v>
      </c>
      <c r="DY58" s="44" t="n"/>
      <c r="DZ58" s="36" t="n"/>
      <c r="EA58" s="82" t="n">
        <v>0</v>
      </c>
      <c r="EB58" s="35" t="n">
        <v>0</v>
      </c>
      <c r="EC58" s="44" t="n">
        <v>200</v>
      </c>
      <c r="ED58" s="36" t="n"/>
      <c r="EE58" s="82" t="n">
        <v>500</v>
      </c>
      <c r="EF58" s="281" t="n">
        <v>0</v>
      </c>
      <c r="EG58" s="44" t="n">
        <v>0</v>
      </c>
      <c r="EH58" s="35" t="n"/>
      <c r="EI58" s="82" t="n">
        <v>500</v>
      </c>
      <c r="EJ58" s="281" t="n">
        <v>0</v>
      </c>
      <c r="EK58" s="44" t="n">
        <v>0</v>
      </c>
      <c r="EL58" s="35" t="n"/>
      <c r="EM58" s="82" t="n">
        <v>500</v>
      </c>
      <c r="EN58" s="281" t="n">
        <v>0</v>
      </c>
      <c r="EO58" s="44" t="n">
        <v>0</v>
      </c>
      <c r="EP58" s="35" t="n"/>
      <c r="EQ58" s="82" t="n">
        <v>500</v>
      </c>
      <c r="ER58" s="290" t="n">
        <v>0</v>
      </c>
      <c r="ES58" s="44" t="n">
        <v>0</v>
      </c>
      <c r="ET58" s="35" t="n"/>
      <c r="EU58" s="82" t="n">
        <v>500</v>
      </c>
      <c r="EV58" s="290" t="n">
        <v>0</v>
      </c>
      <c r="EW58" s="44" t="n">
        <v>0</v>
      </c>
      <c r="EX58" s="35" t="n"/>
      <c r="EY58" s="82" t="n">
        <v>500</v>
      </c>
      <c r="EZ58" s="291" t="n">
        <v>0</v>
      </c>
      <c r="FA58" s="288" t="n">
        <v>0</v>
      </c>
      <c r="FB58" s="35" t="n"/>
      <c r="FC58" s="82" t="n">
        <v>500</v>
      </c>
      <c r="FD58" s="292" t="n">
        <v>0</v>
      </c>
      <c r="FE58" s="380" t="n">
        <v>0</v>
      </c>
      <c r="FF58" s="35" t="n"/>
      <c r="FG58" s="379">
        <f>DK58+DO58+DS58+DW58+EA58+EE58+EI58+EM58+EQ58+EU58+EY58+FC58</f>
        <v/>
      </c>
      <c r="FH58" s="387">
        <f>FG58*$I58</f>
        <v/>
      </c>
      <c r="FI58" s="203" t="n">
        <v>500</v>
      </c>
      <c r="FJ58" s="169" t="n"/>
      <c r="FK58" s="44" t="n">
        <v>0</v>
      </c>
      <c r="FL58" s="35" t="n"/>
      <c r="FM58" s="51" t="n">
        <v>500</v>
      </c>
      <c r="FN58" s="169" t="n"/>
      <c r="FO58" s="44" t="n">
        <v>0</v>
      </c>
      <c r="FP58" s="35" t="n"/>
      <c r="FQ58" s="51" t="n">
        <v>500</v>
      </c>
      <c r="FR58" s="35" t="n"/>
      <c r="FS58" s="44" t="n">
        <v>0</v>
      </c>
      <c r="FT58" s="35" t="n"/>
      <c r="FU58" s="51" t="n">
        <v>500</v>
      </c>
      <c r="FV58" s="35" t="n"/>
      <c r="FW58" s="44" t="n">
        <v>0</v>
      </c>
      <c r="FX58" s="35" t="n"/>
      <c r="FY58" s="51" t="n">
        <v>500</v>
      </c>
      <c r="FZ58" s="35" t="n"/>
      <c r="GA58" s="44" t="n">
        <v>0</v>
      </c>
      <c r="GB58" s="35" t="n"/>
      <c r="GC58" s="51" t="n">
        <v>500</v>
      </c>
      <c r="GD58" s="197" t="n"/>
      <c r="GE58" s="199" t="n">
        <v>0</v>
      </c>
      <c r="GF58" s="197" t="n"/>
      <c r="GG58" s="51" t="n">
        <v>500</v>
      </c>
      <c r="GH58" s="197" t="n"/>
      <c r="GI58" s="199" t="n">
        <v>0</v>
      </c>
      <c r="GJ58" s="197" t="n"/>
      <c r="GK58" s="51" t="n">
        <v>600</v>
      </c>
      <c r="GL58" s="203" t="n"/>
      <c r="GM58" s="199" t="n">
        <v>0</v>
      </c>
      <c r="GN58" s="197" t="n"/>
      <c r="GO58" s="51" t="n">
        <v>600</v>
      </c>
      <c r="GP58" s="203" t="n"/>
      <c r="GQ58" s="199" t="n">
        <v>0</v>
      </c>
      <c r="GR58" s="197" t="n"/>
      <c r="GS58" s="51" t="n">
        <v>600</v>
      </c>
      <c r="GT58" s="203" t="n"/>
      <c r="GU58" s="199" t="n">
        <v>0</v>
      </c>
      <c r="GV58" s="197" t="n"/>
      <c r="GW58" s="51" t="n">
        <v>600</v>
      </c>
      <c r="GX58" s="203" t="n"/>
      <c r="GY58" s="201" t="n">
        <v>0</v>
      </c>
      <c r="GZ58" s="197" t="n"/>
      <c r="HA58" s="51" t="n">
        <v>600</v>
      </c>
      <c r="HB58" s="165" t="n"/>
      <c r="HC58" s="380" t="n">
        <v>0</v>
      </c>
      <c r="HD58" s="35" t="n"/>
      <c r="HE58" s="379">
        <f>FI58+FM58+FQ58+FU58+FY58+GC58+GG58+GK58+GO58+GS58+GW58+HA58</f>
        <v/>
      </c>
      <c r="HF58" s="387">
        <f>HE58*$I58</f>
        <v/>
      </c>
      <c r="HG58" s="51" t="n">
        <v>600</v>
      </c>
      <c r="HH58" s="169" t="n"/>
      <c r="HI58" s="44" t="n">
        <v>0</v>
      </c>
      <c r="HJ58" s="35" t="n"/>
      <c r="HK58" s="51" t="n">
        <v>600</v>
      </c>
      <c r="HL58" s="169" t="n"/>
      <c r="HM58" s="44" t="n">
        <v>0</v>
      </c>
      <c r="HN58" s="35" t="n"/>
      <c r="HO58" s="51" t="n">
        <v>800</v>
      </c>
      <c r="HP58" s="35" t="n"/>
      <c r="HQ58" s="44" t="n">
        <v>0</v>
      </c>
      <c r="HR58" s="35" t="n"/>
      <c r="HS58" s="51" t="n">
        <v>800</v>
      </c>
      <c r="HT58" s="35" t="n"/>
      <c r="HU58" s="44" t="n">
        <v>0</v>
      </c>
      <c r="HV58" s="35" t="n"/>
      <c r="HW58" s="51" t="n">
        <v>800</v>
      </c>
      <c r="HX58" s="35" t="n"/>
      <c r="HY58" s="44" t="n">
        <v>0</v>
      </c>
      <c r="HZ58" s="35" t="n"/>
      <c r="IA58" s="51" t="n">
        <v>800</v>
      </c>
      <c r="IB58" s="197" t="n"/>
      <c r="IC58" s="199" t="n">
        <v>0</v>
      </c>
      <c r="ID58" s="197" t="n"/>
      <c r="IE58" s="51" t="n">
        <v>800</v>
      </c>
      <c r="IF58" s="197" t="n"/>
      <c r="IG58" s="199" t="n">
        <v>0</v>
      </c>
      <c r="IH58" s="197" t="n"/>
      <c r="II58" s="51" t="n">
        <v>800</v>
      </c>
      <c r="IJ58" s="203" t="n"/>
      <c r="IK58" s="199" t="n">
        <v>0</v>
      </c>
      <c r="IL58" s="197" t="n"/>
      <c r="IM58" s="51" t="n">
        <v>800</v>
      </c>
      <c r="IN58" s="203" t="n"/>
      <c r="IO58" s="199" t="n">
        <v>0</v>
      </c>
      <c r="IP58" s="197" t="n"/>
      <c r="IQ58" s="51" t="n">
        <v>800</v>
      </c>
      <c r="IR58" s="203" t="n"/>
      <c r="IS58" s="199" t="n">
        <v>0</v>
      </c>
      <c r="IT58" s="197" t="n"/>
      <c r="IU58" s="51" t="n">
        <v>800</v>
      </c>
      <c r="IV58" s="203" t="n"/>
      <c r="IW58" s="201" t="n">
        <v>0</v>
      </c>
      <c r="IX58" s="197" t="n"/>
      <c r="IY58" s="51" t="n">
        <v>800</v>
      </c>
      <c r="IZ58" s="165" t="n"/>
      <c r="JA58" s="380" t="n">
        <v>0</v>
      </c>
      <c r="JB58" s="35" t="n"/>
      <c r="JC58" s="381">
        <f>HG58+HK58+HO58+HS58+HW58+IA58+IE58+II58+IM58+IQ58+IU58+IY58</f>
        <v/>
      </c>
      <c r="JD58" s="386">
        <f>JC58*$I58</f>
        <v/>
      </c>
    </row>
    <row r="59" ht="13.5" customFormat="1" customHeight="1" s="64">
      <c r="A59" s="382" t="n"/>
      <c r="B59" s="382" t="n"/>
      <c r="C59" s="382" t="n"/>
      <c r="D59" s="382" t="n"/>
      <c r="E59" s="166" t="n">
        <v>18</v>
      </c>
      <c r="F59" s="205" t="n">
        <v>1</v>
      </c>
      <c r="G59" s="182" t="n">
        <v>9253761210</v>
      </c>
      <c r="H59" s="183" t="inlineStr">
        <is>
          <t>Камера тормозная с энергоаккумулятором 24/30</t>
        </is>
      </c>
      <c r="I59" s="184" t="n">
        <v>243</v>
      </c>
      <c r="J59" s="185" t="n">
        <v>243</v>
      </c>
      <c r="K59" s="185" t="n">
        <v>243</v>
      </c>
      <c r="L59" s="185" t="n">
        <v>243</v>
      </c>
      <c r="M59" s="185" t="n"/>
      <c r="N59" s="18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  <c r="AA59" s="65" t="n"/>
      <c r="AB59" s="65" t="n"/>
      <c r="AC59" s="65" t="n"/>
      <c r="AD59" s="65" t="n"/>
      <c r="AE59" s="65" t="n"/>
      <c r="AF59" s="65" t="n"/>
      <c r="AG59" s="65" t="n"/>
      <c r="AH59" s="65" t="n"/>
      <c r="AI59" s="65" t="n"/>
      <c r="AJ59" s="206" t="n"/>
      <c r="AK59" s="190" t="n"/>
      <c r="AL59" s="190" t="n"/>
      <c r="AM59" s="190" t="n"/>
      <c r="AN59" s="206" t="n"/>
      <c r="AO59" s="190" t="n"/>
      <c r="AP59" s="190" t="n"/>
      <c r="AQ59" s="190" t="n"/>
      <c r="AR59" s="188" t="n"/>
      <c r="AS59" s="190" t="n"/>
      <c r="AT59" s="190" t="n"/>
      <c r="AU59" s="190" t="n"/>
      <c r="AV59" s="191" t="n"/>
      <c r="AW59" s="190" t="n"/>
      <c r="AX59" s="190" t="n"/>
      <c r="AY59" s="190" t="n"/>
      <c r="AZ59" s="207" t="n"/>
      <c r="BA59" s="190" t="n"/>
      <c r="BB59" s="208" t="n"/>
      <c r="BC59" s="190" t="n"/>
      <c r="BD59" s="209" t="n"/>
      <c r="BE59" s="182" t="n"/>
      <c r="BF59" s="208" t="n"/>
      <c r="BG59" s="190" t="n"/>
      <c r="BH59" s="210" t="n"/>
      <c r="BI59" s="211" t="n"/>
      <c r="BJ59" s="212" t="n"/>
      <c r="BK59" s="388" t="n"/>
      <c r="BL59" s="388" t="n"/>
      <c r="BM59" s="214" t="n"/>
      <c r="BN59" s="215" t="n"/>
      <c r="BO59" s="83" t="n"/>
      <c r="BP59" s="83" t="n"/>
      <c r="BQ59" s="216" t="n"/>
      <c r="BR59" s="215" t="n"/>
      <c r="BS59" s="65" t="n"/>
      <c r="BT59" s="65" t="n"/>
      <c r="BU59" s="216" t="n"/>
      <c r="BV59" s="83" t="n"/>
      <c r="BW59" s="83" t="n"/>
      <c r="BX59" s="83" t="n"/>
      <c r="BY59" s="216" t="n"/>
      <c r="BZ59" s="83" t="n"/>
      <c r="CA59" s="83" t="n"/>
      <c r="CB59" s="83" t="n"/>
      <c r="CC59" s="216" t="n"/>
      <c r="CD59" s="83" t="n"/>
      <c r="CE59" s="32" t="n">
        <v>100</v>
      </c>
      <c r="CF59" s="65" t="inlineStr">
        <is>
          <t>новый артикул</t>
        </is>
      </c>
      <c r="CG59" s="217" t="n"/>
      <c r="CH59" s="218" t="n"/>
      <c r="CI59" s="192" t="n">
        <v>100</v>
      </c>
      <c r="CJ59" s="190" t="n"/>
      <c r="CK59" s="217" t="n"/>
      <c r="CL59" s="218" t="n"/>
      <c r="CM59" s="44" t="n">
        <v>0</v>
      </c>
      <c r="CN59" s="219" t="n"/>
      <c r="CO59" s="217" t="n"/>
      <c r="CP59" s="218" t="n"/>
      <c r="CQ59" s="219" t="n"/>
      <c r="CR59" s="219" t="n"/>
      <c r="CS59" s="217" t="n"/>
      <c r="CT59" s="218" t="n"/>
      <c r="CU59" s="219" t="n">
        <v>0</v>
      </c>
      <c r="CV59" s="219" t="n"/>
      <c r="CW59" s="214" t="n"/>
      <c r="CX59" s="220" t="n"/>
      <c r="CY59" s="190" t="n"/>
      <c r="CZ59" s="190" t="n"/>
      <c r="DA59" s="214" t="n"/>
      <c r="DB59" s="221" t="n"/>
      <c r="DC59" s="182" t="n"/>
      <c r="DD59" s="219" t="n"/>
      <c r="DE59" s="214" t="n"/>
      <c r="DF59" s="222" t="n"/>
      <c r="DG59" s="389" t="n"/>
      <c r="DH59" s="65" t="n"/>
      <c r="DI59" s="390" t="n"/>
      <c r="DJ59" s="391" t="n"/>
      <c r="DK59" s="82" t="n"/>
      <c r="DL59" s="35" t="n"/>
      <c r="DM59" s="44" t="n"/>
      <c r="DN59" s="35" t="n"/>
      <c r="DO59" s="82" t="n"/>
      <c r="DP59" s="35" t="n"/>
      <c r="DQ59" s="44" t="n"/>
      <c r="DR59" s="35" t="n"/>
      <c r="DS59" s="82" t="n"/>
      <c r="DT59" s="35" t="n"/>
      <c r="DU59" s="44" t="n">
        <v>200</v>
      </c>
      <c r="DV59" s="35" t="n"/>
      <c r="DW59" s="82" t="n"/>
      <c r="DX59" s="35" t="n"/>
      <c r="DY59" s="44" t="n"/>
      <c r="DZ59" s="36" t="n"/>
      <c r="EA59" s="82" t="n"/>
      <c r="EB59" s="35" t="n"/>
      <c r="EC59" s="44" t="n"/>
      <c r="ED59" s="36" t="n"/>
      <c r="EE59" s="82" t="n"/>
      <c r="EF59" s="35" t="n"/>
      <c r="EG59" s="44" t="n"/>
      <c r="EH59" s="35" t="n"/>
      <c r="EI59" s="82" t="n"/>
      <c r="EJ59" s="35" t="n"/>
      <c r="EK59" s="44" t="n"/>
      <c r="EL59" s="35" t="n"/>
      <c r="EM59" s="82" t="n"/>
      <c r="EN59" s="35" t="n"/>
      <c r="EO59" s="44" t="n"/>
      <c r="EP59" s="35" t="n"/>
      <c r="EQ59" s="82" t="n"/>
      <c r="ER59" s="91" t="n"/>
      <c r="ES59" s="44" t="n"/>
      <c r="ET59" s="35" t="n"/>
      <c r="EU59" s="82" t="n"/>
      <c r="EV59" s="91" t="n"/>
      <c r="EW59" s="44" t="n"/>
      <c r="EX59" s="35" t="n"/>
      <c r="EY59" s="82" t="n"/>
      <c r="EZ59" s="53" t="n"/>
      <c r="FA59" s="288" t="n"/>
      <c r="FB59" s="35" t="n"/>
      <c r="FC59" s="82" t="n"/>
      <c r="FD59" s="92" t="n"/>
      <c r="FE59" s="380" t="n"/>
      <c r="FF59" s="35" t="n"/>
      <c r="FG59" s="390" t="n"/>
      <c r="FH59" s="391" t="n"/>
      <c r="FI59" s="220" t="n"/>
      <c r="FJ59" s="215" t="n"/>
      <c r="FK59" s="83" t="n"/>
      <c r="FL59" s="83" t="n"/>
      <c r="FM59" s="229" t="n"/>
      <c r="FN59" s="215" t="n"/>
      <c r="FO59" s="65" t="n"/>
      <c r="FP59" s="65" t="n"/>
      <c r="FQ59" s="229" t="n"/>
      <c r="FR59" s="83" t="n"/>
      <c r="FS59" s="83" t="n"/>
      <c r="FT59" s="83" t="n"/>
      <c r="FU59" s="229" t="n"/>
      <c r="FV59" s="83" t="n"/>
      <c r="FW59" s="83" t="n"/>
      <c r="FX59" s="83" t="n"/>
      <c r="FY59" s="229" t="n"/>
      <c r="FZ59" s="83" t="n"/>
      <c r="GA59" s="65" t="n"/>
      <c r="GB59" s="65" t="n"/>
      <c r="GC59" s="230" t="n"/>
      <c r="GD59" s="218" t="n"/>
      <c r="GE59" s="190" t="n"/>
      <c r="GF59" s="190" t="n"/>
      <c r="GG59" s="230" t="n"/>
      <c r="GH59" s="219" t="n"/>
      <c r="GI59" s="219" t="n"/>
      <c r="GJ59" s="219" t="n"/>
      <c r="GK59" s="230" t="n"/>
      <c r="GL59" s="226" t="n"/>
      <c r="GM59" s="219" t="n"/>
      <c r="GN59" s="219" t="n"/>
      <c r="GO59" s="230" t="n"/>
      <c r="GP59" s="226" t="n"/>
      <c r="GQ59" s="219" t="n"/>
      <c r="GR59" s="219" t="n"/>
      <c r="GS59" s="229" t="n"/>
      <c r="GT59" s="226" t="n"/>
      <c r="GU59" s="190" t="n"/>
      <c r="GV59" s="190" t="n"/>
      <c r="GW59" s="229" t="n"/>
      <c r="GX59" s="227" t="n"/>
      <c r="GY59" s="182" t="n"/>
      <c r="GZ59" s="219" t="n"/>
      <c r="HA59" s="229" t="n"/>
      <c r="HB59" s="228" t="n"/>
      <c r="HC59" s="389" t="n"/>
      <c r="HD59" s="65" t="n"/>
      <c r="HE59" s="390" t="n"/>
      <c r="HF59" s="391" t="n"/>
      <c r="HG59" s="229" t="n"/>
      <c r="HH59" s="215" t="n"/>
      <c r="HI59" s="83" t="n"/>
      <c r="HJ59" s="83" t="n"/>
      <c r="HK59" s="229" t="n"/>
      <c r="HL59" s="215" t="n"/>
      <c r="HM59" s="65" t="n"/>
      <c r="HN59" s="65" t="n"/>
      <c r="HO59" s="229" t="n"/>
      <c r="HP59" s="83" t="n"/>
      <c r="HQ59" s="83" t="n"/>
      <c r="HR59" s="83" t="n"/>
      <c r="HS59" s="229" t="n"/>
      <c r="HT59" s="83" t="n"/>
      <c r="HU59" s="83" t="n"/>
      <c r="HV59" s="83" t="n"/>
      <c r="HW59" s="229" t="n"/>
      <c r="HX59" s="83" t="n"/>
      <c r="HY59" s="65" t="n"/>
      <c r="HZ59" s="65" t="n"/>
      <c r="IA59" s="230" t="n"/>
      <c r="IB59" s="218" t="n"/>
      <c r="IC59" s="190" t="n"/>
      <c r="ID59" s="190" t="n"/>
      <c r="IE59" s="230" t="n"/>
      <c r="IF59" s="219" t="n"/>
      <c r="IG59" s="219" t="n"/>
      <c r="IH59" s="219" t="n"/>
      <c r="II59" s="230" t="n"/>
      <c r="IJ59" s="226" t="n"/>
      <c r="IK59" s="219" t="n"/>
      <c r="IL59" s="219" t="n"/>
      <c r="IM59" s="230" t="n"/>
      <c r="IN59" s="226" t="n"/>
      <c r="IO59" s="219" t="n"/>
      <c r="IP59" s="219" t="n"/>
      <c r="IQ59" s="229" t="n"/>
      <c r="IR59" s="226" t="n"/>
      <c r="IS59" s="190" t="n"/>
      <c r="IT59" s="190" t="n"/>
      <c r="IU59" s="229" t="n"/>
      <c r="IV59" s="227" t="n"/>
      <c r="IW59" s="182" t="n"/>
      <c r="IX59" s="219" t="n"/>
      <c r="IY59" s="229" t="n"/>
      <c r="IZ59" s="228" t="n"/>
      <c r="JA59" s="389" t="n"/>
      <c r="JB59" s="65" t="n"/>
      <c r="JC59" s="390" t="n"/>
      <c r="JD59" s="391" t="n"/>
      <c r="JE59" s="204" t="n"/>
      <c r="JF59" s="204" t="n"/>
    </row>
    <row r="60" ht="13.5" customFormat="1" customHeight="1" s="64">
      <c r="A60" s="382" t="n"/>
      <c r="B60" s="382" t="n"/>
      <c r="C60" s="382" t="n"/>
      <c r="D60" s="382" t="n"/>
      <c r="E60" s="166" t="n">
        <v>19</v>
      </c>
      <c r="F60" s="205" t="n">
        <v>1</v>
      </c>
      <c r="G60" s="182" t="n">
        <v>4491731800</v>
      </c>
      <c r="H60" s="183" t="inlineStr">
        <is>
          <t>Кабель питания, 18 м</t>
        </is>
      </c>
      <c r="I60" s="293" t="n"/>
      <c r="J60" s="294" t="n"/>
      <c r="K60" s="294" t="n">
        <v>1415.57</v>
      </c>
      <c r="L60" s="294" t="n">
        <v>1415.57</v>
      </c>
      <c r="M60" s="185" t="n"/>
      <c r="N60" s="18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  <c r="AA60" s="65" t="n"/>
      <c r="AB60" s="65" t="n"/>
      <c r="AC60" s="65" t="n"/>
      <c r="AD60" s="65" t="n"/>
      <c r="AE60" s="65" t="n"/>
      <c r="AF60" s="65" t="n"/>
      <c r="AG60" s="65" t="n"/>
      <c r="AH60" s="65" t="n"/>
      <c r="AI60" s="65" t="n"/>
      <c r="AJ60" s="206" t="n"/>
      <c r="AK60" s="190" t="n"/>
      <c r="AL60" s="190" t="n"/>
      <c r="AM60" s="190" t="n"/>
      <c r="AN60" s="206" t="n"/>
      <c r="AO60" s="190" t="n"/>
      <c r="AP60" s="190" t="n"/>
      <c r="AQ60" s="190" t="n"/>
      <c r="AR60" s="188" t="n"/>
      <c r="AS60" s="190" t="n"/>
      <c r="AT60" s="190" t="n"/>
      <c r="AU60" s="190" t="n"/>
      <c r="AV60" s="191" t="n"/>
      <c r="AW60" s="190" t="n"/>
      <c r="AX60" s="190" t="n"/>
      <c r="AY60" s="190" t="n"/>
      <c r="AZ60" s="207" t="n"/>
      <c r="BA60" s="190" t="n"/>
      <c r="BB60" s="208" t="n"/>
      <c r="BC60" s="190" t="n"/>
      <c r="BD60" s="209" t="n"/>
      <c r="BE60" s="182" t="n"/>
      <c r="BF60" s="208" t="n"/>
      <c r="BG60" s="190" t="n"/>
      <c r="BH60" s="210" t="n"/>
      <c r="BI60" s="211" t="n"/>
      <c r="BJ60" s="212" t="n"/>
      <c r="BK60" s="388" t="n"/>
      <c r="BL60" s="388" t="n"/>
      <c r="BM60" s="214" t="n"/>
      <c r="BN60" s="215" t="n"/>
      <c r="BO60" s="83" t="n"/>
      <c r="BP60" s="83" t="n"/>
      <c r="BQ60" s="216" t="n"/>
      <c r="BR60" s="215" t="n"/>
      <c r="BS60" s="65" t="n"/>
      <c r="BT60" s="65" t="n"/>
      <c r="BU60" s="216" t="n"/>
      <c r="BV60" s="83" t="n"/>
      <c r="BW60" s="83" t="n"/>
      <c r="BX60" s="83" t="n"/>
      <c r="BY60" s="216" t="n"/>
      <c r="BZ60" s="83" t="n"/>
      <c r="CA60" s="83" t="n"/>
      <c r="CB60" s="83" t="n"/>
      <c r="CC60" s="216" t="n"/>
      <c r="CD60" s="83" t="n"/>
      <c r="CE60" s="32" t="n">
        <v>100</v>
      </c>
      <c r="CF60" s="65" t="inlineStr">
        <is>
          <t>новый артикул</t>
        </is>
      </c>
      <c r="CG60" s="217" t="n"/>
      <c r="CH60" s="218" t="n"/>
      <c r="CI60" s="192" t="n">
        <v>100</v>
      </c>
      <c r="CJ60" s="190" t="n"/>
      <c r="CK60" s="217" t="n"/>
      <c r="CL60" s="218" t="n"/>
      <c r="CM60" s="44" t="n">
        <v>0</v>
      </c>
      <c r="CN60" s="219" t="n"/>
      <c r="CO60" s="217" t="n"/>
      <c r="CP60" s="218" t="n"/>
      <c r="CQ60" s="219" t="n"/>
      <c r="CR60" s="219" t="n"/>
      <c r="CS60" s="217" t="n"/>
      <c r="CT60" s="218" t="n"/>
      <c r="CU60" s="219" t="n">
        <v>0</v>
      </c>
      <c r="CV60" s="219" t="n"/>
      <c r="CW60" s="214" t="n"/>
      <c r="CX60" s="220" t="n"/>
      <c r="CY60" s="190" t="n"/>
      <c r="CZ60" s="190" t="n"/>
      <c r="DA60" s="214" t="n"/>
      <c r="DB60" s="221" t="n"/>
      <c r="DC60" s="182" t="n"/>
      <c r="DD60" s="219" t="n"/>
      <c r="DE60" s="214" t="n"/>
      <c r="DF60" s="222" t="n"/>
      <c r="DG60" s="389" t="n"/>
      <c r="DH60" s="65" t="n"/>
      <c r="DI60" s="390" t="n"/>
      <c r="DJ60" s="391" t="n"/>
      <c r="DK60" s="82" t="n"/>
      <c r="DL60" s="35" t="n"/>
      <c r="DM60" s="44" t="n"/>
      <c r="DN60" s="35" t="n"/>
      <c r="DO60" s="82" t="n"/>
      <c r="DP60" s="35" t="n"/>
      <c r="DQ60" s="44" t="n"/>
      <c r="DR60" s="35" t="n"/>
      <c r="DS60" s="82" t="n"/>
      <c r="DT60" s="35" t="n"/>
      <c r="DU60" s="44" t="n"/>
      <c r="DV60" s="35" t="n"/>
      <c r="DW60" s="82" t="n"/>
      <c r="DX60" s="35" t="n"/>
      <c r="DY60" s="44" t="n">
        <v>2</v>
      </c>
      <c r="DZ60" s="36" t="n"/>
      <c r="EA60" s="82" t="n"/>
      <c r="EB60" s="35" t="n"/>
      <c r="EC60" s="44" t="n"/>
      <c r="ED60" s="36" t="n"/>
      <c r="EE60" s="82" t="n"/>
      <c r="EF60" s="35" t="n"/>
      <c r="EG60" s="44" t="n"/>
      <c r="EH60" s="35" t="n"/>
      <c r="EI60" s="82" t="n"/>
      <c r="EJ60" s="35" t="n">
        <v>20</v>
      </c>
      <c r="EK60" s="44" t="n">
        <v>0</v>
      </c>
      <c r="EL60" s="35" t="n"/>
      <c r="EM60" s="82" t="n"/>
      <c r="EN60" s="35" t="n"/>
      <c r="EO60" s="44" t="n"/>
      <c r="EP60" s="35" t="n"/>
      <c r="EQ60" s="82" t="n"/>
      <c r="ER60" s="91" t="n"/>
      <c r="ES60" s="44" t="n"/>
      <c r="ET60" s="35" t="n"/>
      <c r="EU60" s="82" t="n"/>
      <c r="EV60" s="91" t="n"/>
      <c r="EW60" s="44" t="n"/>
      <c r="EX60" s="35" t="n"/>
      <c r="EY60" s="82" t="n"/>
      <c r="EZ60" s="53" t="n"/>
      <c r="FA60" s="288" t="n"/>
      <c r="FB60" s="35" t="n"/>
      <c r="FC60" s="82" t="n"/>
      <c r="FD60" s="92" t="n"/>
      <c r="FE60" s="380" t="n"/>
      <c r="FF60" s="35" t="n"/>
      <c r="FG60" s="390" t="n"/>
      <c r="FH60" s="391" t="n"/>
      <c r="FI60" s="220" t="n"/>
      <c r="FJ60" s="215" t="n"/>
      <c r="FK60" s="83" t="n"/>
      <c r="FL60" s="83" t="n"/>
      <c r="FM60" s="229" t="n"/>
      <c r="FN60" s="215" t="n"/>
      <c r="FO60" s="65" t="n"/>
      <c r="FP60" s="65" t="n"/>
      <c r="FQ60" s="229" t="n"/>
      <c r="FR60" s="83" t="n"/>
      <c r="FS60" s="83" t="n"/>
      <c r="FT60" s="83" t="n"/>
      <c r="FU60" s="229" t="n"/>
      <c r="FV60" s="83" t="n"/>
      <c r="FW60" s="83" t="n"/>
      <c r="FX60" s="83" t="n"/>
      <c r="FY60" s="229" t="n"/>
      <c r="FZ60" s="83" t="n"/>
      <c r="GA60" s="65" t="n"/>
      <c r="GB60" s="65" t="n"/>
      <c r="GC60" s="230" t="n"/>
      <c r="GD60" s="218" t="n"/>
      <c r="GE60" s="190" t="n"/>
      <c r="GF60" s="190" t="n"/>
      <c r="GG60" s="230" t="n"/>
      <c r="GH60" s="219" t="n"/>
      <c r="GI60" s="219" t="n"/>
      <c r="GJ60" s="219" t="n"/>
      <c r="GK60" s="230" t="n"/>
      <c r="GL60" s="226" t="n"/>
      <c r="GM60" s="219" t="n"/>
      <c r="GN60" s="219" t="n"/>
      <c r="GO60" s="230" t="n"/>
      <c r="GP60" s="226" t="n"/>
      <c r="GQ60" s="219" t="n"/>
      <c r="GR60" s="219" t="n"/>
      <c r="GS60" s="229" t="n"/>
      <c r="GT60" s="226" t="n"/>
      <c r="GU60" s="190" t="n"/>
      <c r="GV60" s="190" t="n"/>
      <c r="GW60" s="229" t="n"/>
      <c r="GX60" s="227" t="n"/>
      <c r="GY60" s="182" t="n"/>
      <c r="GZ60" s="219" t="n"/>
      <c r="HA60" s="229" t="n"/>
      <c r="HB60" s="228" t="n"/>
      <c r="HC60" s="389" t="n"/>
      <c r="HD60" s="65" t="n"/>
      <c r="HE60" s="390" t="n"/>
      <c r="HF60" s="391" t="n"/>
      <c r="HG60" s="229" t="n"/>
      <c r="HH60" s="215" t="n"/>
      <c r="HI60" s="83" t="n"/>
      <c r="HJ60" s="83" t="n"/>
      <c r="HK60" s="229" t="n"/>
      <c r="HL60" s="215" t="n"/>
      <c r="HM60" s="65" t="n"/>
      <c r="HN60" s="65" t="n"/>
      <c r="HO60" s="229" t="n"/>
      <c r="HP60" s="83" t="n"/>
      <c r="HQ60" s="83" t="n"/>
      <c r="HR60" s="83" t="n"/>
      <c r="HS60" s="229" t="n"/>
      <c r="HT60" s="83" t="n"/>
      <c r="HU60" s="83" t="n"/>
      <c r="HV60" s="83" t="n"/>
      <c r="HW60" s="229" t="n"/>
      <c r="HX60" s="83" t="n"/>
      <c r="HY60" s="65" t="n"/>
      <c r="HZ60" s="65" t="n"/>
      <c r="IA60" s="230" t="n"/>
      <c r="IB60" s="218" t="n"/>
      <c r="IC60" s="190" t="n"/>
      <c r="ID60" s="190" t="n"/>
      <c r="IE60" s="230" t="n"/>
      <c r="IF60" s="219" t="n"/>
      <c r="IG60" s="219" t="n"/>
      <c r="IH60" s="219" t="n"/>
      <c r="II60" s="230" t="n"/>
      <c r="IJ60" s="226" t="n"/>
      <c r="IK60" s="219" t="n"/>
      <c r="IL60" s="219" t="n"/>
      <c r="IM60" s="230" t="n"/>
      <c r="IN60" s="226" t="n"/>
      <c r="IO60" s="219" t="n"/>
      <c r="IP60" s="219" t="n"/>
      <c r="IQ60" s="229" t="n"/>
      <c r="IR60" s="226" t="n"/>
      <c r="IS60" s="190" t="n"/>
      <c r="IT60" s="190" t="n"/>
      <c r="IU60" s="229" t="n"/>
      <c r="IV60" s="227" t="n"/>
      <c r="IW60" s="182" t="n"/>
      <c r="IX60" s="219" t="n"/>
      <c r="IY60" s="229" t="n"/>
      <c r="IZ60" s="228" t="n"/>
      <c r="JA60" s="389" t="n"/>
      <c r="JB60" s="65" t="n"/>
      <c r="JC60" s="390" t="n"/>
      <c r="JD60" s="391" t="n"/>
      <c r="JE60" s="204" t="n"/>
      <c r="JF60" s="204" t="n"/>
    </row>
    <row r="61" ht="13.5" customFormat="1" customHeight="1" s="204">
      <c r="A61" s="232" t="n"/>
      <c r="B61" s="232" t="n"/>
      <c r="C61" s="232" t="n"/>
      <c r="D61" s="232" t="n"/>
      <c r="E61" s="166" t="n">
        <v>20</v>
      </c>
      <c r="F61" s="205" t="n">
        <v>1</v>
      </c>
      <c r="G61" s="182" t="n">
        <v>4497230500</v>
      </c>
      <c r="H61" s="183" t="inlineStr">
        <is>
          <t xml:space="preserve">Кабель-удлинитель датчика АБС 5м </t>
        </is>
      </c>
      <c r="I61" s="293" t="n"/>
      <c r="J61" s="294" t="n"/>
      <c r="K61" s="299" t="n">
        <v>57.17</v>
      </c>
      <c r="L61" s="299" t="n">
        <v>57.17</v>
      </c>
      <c r="M61" s="185" t="n"/>
      <c r="N61" s="18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  <c r="AA61" s="65" t="n"/>
      <c r="AB61" s="65" t="n"/>
      <c r="AC61" s="65" t="n"/>
      <c r="AD61" s="65" t="n"/>
      <c r="AE61" s="65" t="n"/>
      <c r="AF61" s="65" t="n"/>
      <c r="AG61" s="65" t="n"/>
      <c r="AH61" s="65" t="n"/>
      <c r="AI61" s="65" t="n"/>
      <c r="AJ61" s="206" t="n"/>
      <c r="AK61" s="190" t="n"/>
      <c r="AL61" s="190" t="n"/>
      <c r="AM61" s="190" t="n"/>
      <c r="AN61" s="206" t="n"/>
      <c r="AO61" s="190" t="n"/>
      <c r="AP61" s="190" t="n"/>
      <c r="AQ61" s="190" t="n"/>
      <c r="AR61" s="188" t="n"/>
      <c r="AS61" s="190" t="n"/>
      <c r="AT61" s="190" t="n"/>
      <c r="AU61" s="190" t="n"/>
      <c r="AV61" s="191" t="n"/>
      <c r="AW61" s="190" t="n"/>
      <c r="AX61" s="190" t="n"/>
      <c r="AY61" s="190" t="n"/>
      <c r="AZ61" s="207" t="n"/>
      <c r="BA61" s="190" t="n"/>
      <c r="BB61" s="208" t="n"/>
      <c r="BC61" s="190" t="n"/>
      <c r="BD61" s="209" t="n"/>
      <c r="BE61" s="182" t="n"/>
      <c r="BF61" s="208" t="n"/>
      <c r="BG61" s="190" t="n"/>
      <c r="BH61" s="210" t="n"/>
      <c r="BI61" s="211" t="n"/>
      <c r="BJ61" s="212" t="n"/>
      <c r="BK61" s="388" t="n"/>
      <c r="BL61" s="388" t="n"/>
      <c r="BM61" s="214" t="n"/>
      <c r="BN61" s="215" t="n"/>
      <c r="BO61" s="83" t="n"/>
      <c r="BP61" s="83" t="n"/>
      <c r="BQ61" s="216" t="n"/>
      <c r="BR61" s="215" t="n"/>
      <c r="BS61" s="65" t="n"/>
      <c r="BT61" s="65" t="n"/>
      <c r="BU61" s="216" t="n"/>
      <c r="BV61" s="83" t="n"/>
      <c r="BW61" s="83" t="n"/>
      <c r="BX61" s="83" t="n"/>
      <c r="BY61" s="216" t="n"/>
      <c r="BZ61" s="83" t="n"/>
      <c r="CA61" s="83" t="n"/>
      <c r="CB61" s="83" t="n"/>
      <c r="CC61" s="216" t="n"/>
      <c r="CD61" s="83" t="n"/>
      <c r="CE61" s="32" t="n">
        <v>100</v>
      </c>
      <c r="CF61" s="65" t="inlineStr">
        <is>
          <t>новый артикул</t>
        </is>
      </c>
      <c r="CG61" s="217" t="n"/>
      <c r="CH61" s="218" t="n"/>
      <c r="CI61" s="192" t="n">
        <v>100</v>
      </c>
      <c r="CJ61" s="190" t="n"/>
      <c r="CK61" s="217" t="n"/>
      <c r="CL61" s="218" t="n"/>
      <c r="CM61" s="44" t="n">
        <v>0</v>
      </c>
      <c r="CN61" s="219" t="n"/>
      <c r="CO61" s="217" t="n"/>
      <c r="CP61" s="218" t="n"/>
      <c r="CQ61" s="219" t="n"/>
      <c r="CR61" s="219" t="n"/>
      <c r="CS61" s="217" t="n"/>
      <c r="CT61" s="218" t="n"/>
      <c r="CU61" s="219" t="n">
        <v>0</v>
      </c>
      <c r="CV61" s="219" t="n"/>
      <c r="CW61" s="214" t="n"/>
      <c r="CX61" s="220" t="n"/>
      <c r="CY61" s="190" t="n"/>
      <c r="CZ61" s="190" t="n"/>
      <c r="DA61" s="214" t="n"/>
      <c r="DB61" s="221" t="n"/>
      <c r="DC61" s="182" t="n"/>
      <c r="DD61" s="219" t="n"/>
      <c r="DE61" s="214" t="n"/>
      <c r="DF61" s="222" t="n"/>
      <c r="DG61" s="389" t="n"/>
      <c r="DH61" s="65" t="n"/>
      <c r="DI61" s="390" t="n"/>
      <c r="DJ61" s="391" t="n"/>
      <c r="DK61" s="82" t="n"/>
      <c r="DL61" s="35" t="n"/>
      <c r="DM61" s="44" t="n"/>
      <c r="DN61" s="35" t="n"/>
      <c r="DO61" s="82" t="n"/>
      <c r="DP61" s="35" t="n"/>
      <c r="DQ61" s="44" t="n"/>
      <c r="DR61" s="35" t="n"/>
      <c r="DS61" s="82" t="n"/>
      <c r="DT61" s="35" t="n"/>
      <c r="DU61" s="44" t="n">
        <v>400</v>
      </c>
      <c r="DV61" s="35" t="n"/>
      <c r="DW61" s="82" t="n"/>
      <c r="DX61" s="35" t="n"/>
      <c r="DY61" s="44" t="n"/>
      <c r="DZ61" s="36" t="n"/>
      <c r="EA61" s="82" t="n"/>
      <c r="EB61" s="35" t="n"/>
      <c r="EC61" s="44" t="n"/>
      <c r="ED61" s="36" t="n"/>
      <c r="EE61" s="82" t="n"/>
      <c r="EF61" s="35" t="n"/>
      <c r="EG61" s="44" t="n"/>
      <c r="EH61" s="35" t="n"/>
      <c r="EI61" s="82" t="n"/>
      <c r="EJ61" s="35" t="n"/>
      <c r="EK61" s="44" t="n"/>
      <c r="EL61" s="35" t="n"/>
      <c r="EM61" s="82" t="n"/>
      <c r="EN61" s="35" t="n"/>
      <c r="EO61" s="44" t="n"/>
      <c r="EP61" s="35" t="n"/>
      <c r="EQ61" s="82" t="n"/>
      <c r="ER61" s="91" t="n"/>
      <c r="ES61" s="44" t="n"/>
      <c r="ET61" s="35" t="n"/>
      <c r="EU61" s="82" t="n"/>
      <c r="EV61" s="91" t="n"/>
      <c r="EW61" s="44" t="n"/>
      <c r="EX61" s="35" t="n"/>
      <c r="EY61" s="82" t="n"/>
      <c r="EZ61" s="53" t="n"/>
      <c r="FA61" s="288" t="n"/>
      <c r="FB61" s="35" t="n"/>
      <c r="FC61" s="82" t="n"/>
      <c r="FD61" s="92" t="n"/>
      <c r="FE61" s="380" t="n"/>
      <c r="FF61" s="35" t="n"/>
      <c r="FG61" s="390" t="n"/>
      <c r="FH61" s="391" t="n"/>
      <c r="FI61" s="220" t="n"/>
      <c r="FJ61" s="215" t="n"/>
      <c r="FK61" s="83" t="n"/>
      <c r="FL61" s="83" t="n"/>
      <c r="FM61" s="229" t="n"/>
      <c r="FN61" s="215" t="n"/>
      <c r="FO61" s="65" t="n"/>
      <c r="FP61" s="65" t="n"/>
      <c r="FQ61" s="229" t="n"/>
      <c r="FR61" s="83" t="n"/>
      <c r="FS61" s="83" t="n"/>
      <c r="FT61" s="83" t="n"/>
      <c r="FU61" s="229" t="n"/>
      <c r="FV61" s="83" t="n"/>
      <c r="FW61" s="83" t="n"/>
      <c r="FX61" s="83" t="n"/>
      <c r="FY61" s="229" t="n"/>
      <c r="FZ61" s="83" t="n"/>
      <c r="GA61" s="65" t="n"/>
      <c r="GB61" s="65" t="n"/>
      <c r="GC61" s="230" t="n"/>
      <c r="GD61" s="218" t="n"/>
      <c r="GE61" s="190" t="n"/>
      <c r="GF61" s="190" t="n"/>
      <c r="GG61" s="230" t="n"/>
      <c r="GH61" s="219" t="n"/>
      <c r="GI61" s="219" t="n"/>
      <c r="GJ61" s="219" t="n"/>
      <c r="GK61" s="230" t="n"/>
      <c r="GL61" s="226" t="n"/>
      <c r="GM61" s="219" t="n"/>
      <c r="GN61" s="219" t="n"/>
      <c r="GO61" s="230" t="n"/>
      <c r="GP61" s="226" t="n"/>
      <c r="GQ61" s="219" t="n"/>
      <c r="GR61" s="219" t="n"/>
      <c r="GS61" s="229" t="n"/>
      <c r="GT61" s="226" t="n"/>
      <c r="GU61" s="190" t="n"/>
      <c r="GV61" s="190" t="n"/>
      <c r="GW61" s="229" t="n"/>
      <c r="GX61" s="227" t="n"/>
      <c r="GY61" s="182" t="n"/>
      <c r="GZ61" s="219" t="n"/>
      <c r="HA61" s="229" t="n"/>
      <c r="HB61" s="228" t="n"/>
      <c r="HC61" s="389" t="n"/>
      <c r="HD61" s="65" t="n"/>
      <c r="HE61" s="390" t="n"/>
      <c r="HF61" s="391" t="n"/>
      <c r="HG61" s="229" t="n"/>
      <c r="HH61" s="215" t="n"/>
      <c r="HI61" s="83" t="n"/>
      <c r="HJ61" s="83" t="n"/>
      <c r="HK61" s="229" t="n"/>
      <c r="HL61" s="215" t="n"/>
      <c r="HM61" s="65" t="n"/>
      <c r="HN61" s="65" t="n"/>
      <c r="HO61" s="229" t="n"/>
      <c r="HP61" s="83" t="n"/>
      <c r="HQ61" s="83" t="n"/>
      <c r="HR61" s="83" t="n"/>
      <c r="HS61" s="229" t="n"/>
      <c r="HT61" s="83" t="n"/>
      <c r="HU61" s="83" t="n"/>
      <c r="HV61" s="83" t="n"/>
      <c r="HW61" s="229" t="n"/>
      <c r="HX61" s="83" t="n"/>
      <c r="HY61" s="65" t="n"/>
      <c r="HZ61" s="65" t="n"/>
      <c r="IA61" s="230" t="n"/>
      <c r="IB61" s="218" t="n"/>
      <c r="IC61" s="190" t="n"/>
      <c r="ID61" s="190" t="n"/>
      <c r="IE61" s="230" t="n"/>
      <c r="IF61" s="219" t="n"/>
      <c r="IG61" s="219" t="n"/>
      <c r="IH61" s="219" t="n"/>
      <c r="II61" s="230" t="n"/>
      <c r="IJ61" s="226" t="n"/>
      <c r="IK61" s="219" t="n"/>
      <c r="IL61" s="219" t="n"/>
      <c r="IM61" s="230" t="n"/>
      <c r="IN61" s="226" t="n"/>
      <c r="IO61" s="219" t="n"/>
      <c r="IP61" s="219" t="n"/>
      <c r="IQ61" s="229" t="n"/>
      <c r="IR61" s="226" t="n"/>
      <c r="IS61" s="190" t="n"/>
      <c r="IT61" s="190" t="n"/>
      <c r="IU61" s="229" t="n"/>
      <c r="IV61" s="227" t="n"/>
      <c r="IW61" s="182" t="n"/>
      <c r="IX61" s="219" t="n"/>
      <c r="IY61" s="229" t="n"/>
      <c r="IZ61" s="228" t="n"/>
      <c r="JA61" s="389" t="n"/>
      <c r="JB61" s="65" t="n"/>
      <c r="JC61" s="390" t="n"/>
      <c r="JD61" s="391" t="n"/>
    </row>
    <row r="62">
      <c r="A62" s="355" t="n"/>
      <c r="B62" s="314" t="n"/>
      <c r="C62" s="316" t="n"/>
      <c r="D62" s="316" t="n"/>
      <c r="E62" s="25" t="n"/>
      <c r="F62" s="25" t="n"/>
      <c r="G62" s="232" t="n"/>
      <c r="H62" s="233" t="inlineStr">
        <is>
          <t>Итого</t>
        </is>
      </c>
      <c r="I62" s="167" t="n"/>
      <c r="J62" s="164" t="n"/>
      <c r="K62" s="164" t="n"/>
      <c r="L62" s="164" t="n"/>
      <c r="M62" s="164" t="n"/>
      <c r="N62" s="164" t="n"/>
      <c r="O62" s="30" t="n"/>
      <c r="P62" s="31" t="n"/>
      <c r="Q62" s="32" t="n"/>
      <c r="R62" s="31" t="n"/>
      <c r="S62" s="30" t="n"/>
      <c r="T62" s="31" t="n"/>
      <c r="U62" s="32" t="n"/>
      <c r="V62" s="31" t="n"/>
      <c r="W62" s="30" t="n"/>
      <c r="X62" s="31" t="n"/>
      <c r="Y62" s="32" t="n"/>
      <c r="Z62" s="31" t="n"/>
      <c r="AA62" s="30" t="n"/>
      <c r="AB62" s="31" t="n"/>
      <c r="AC62" s="32" t="n"/>
      <c r="AD62" s="31" t="n"/>
      <c r="AE62" s="30" t="n"/>
      <c r="AF62" s="31" t="n"/>
      <c r="AG62" s="32" t="n"/>
      <c r="AH62" s="31" t="n"/>
      <c r="AI62" s="30" t="n"/>
      <c r="AJ62" s="197" t="n"/>
      <c r="AK62" s="192" t="n"/>
      <c r="AL62" s="193" t="n"/>
      <c r="AM62" s="194" t="n"/>
      <c r="AN62" s="193" t="n"/>
      <c r="AO62" s="192" t="n"/>
      <c r="AP62" s="193" t="n"/>
      <c r="AQ62" s="194" t="n"/>
      <c r="AR62" s="197" t="n"/>
      <c r="AS62" s="192" t="n"/>
      <c r="AT62" s="193" t="n"/>
      <c r="AU62" s="194" t="n"/>
      <c r="AV62" s="193" t="n"/>
      <c r="AW62" s="192" t="n"/>
      <c r="AX62" s="193" t="n"/>
      <c r="AY62" s="194" t="n"/>
      <c r="AZ62" s="193" t="n"/>
      <c r="BA62" s="192" t="n"/>
      <c r="BB62" s="196" t="n"/>
      <c r="BC62" s="194" t="n"/>
      <c r="BD62" s="234" t="n"/>
      <c r="BE62" s="201" t="n"/>
      <c r="BF62" s="196" t="n"/>
      <c r="BG62" s="194" t="n"/>
      <c r="BH62" s="165" t="n"/>
      <c r="BI62" s="385" t="n"/>
      <c r="BJ62" s="34" t="n"/>
      <c r="BK62" s="384">
        <f>SUM(BK42:BK57)</f>
        <v/>
      </c>
      <c r="BL62" s="384">
        <f>SUM(BL42:BL57)</f>
        <v/>
      </c>
      <c r="BM62" s="106" t="n"/>
      <c r="BN62" s="35" t="n"/>
      <c r="BO62" s="44" t="n"/>
      <c r="BP62" s="35" t="n"/>
      <c r="BQ62" s="51" t="n"/>
      <c r="BR62" s="35" t="n"/>
      <c r="BS62" s="32" t="n"/>
      <c r="BT62" s="31" t="n"/>
      <c r="BU62" s="106" t="n"/>
      <c r="BV62" s="31" t="n"/>
      <c r="BW62" s="32" t="n"/>
      <c r="BX62" s="31" t="n"/>
      <c r="BY62" s="106" t="n"/>
      <c r="BZ62" s="31" t="n"/>
      <c r="CA62" s="32" t="n"/>
      <c r="CB62" s="31" t="n"/>
      <c r="CC62" s="106" t="n"/>
      <c r="CD62" s="31" t="n"/>
      <c r="CE62" s="32" t="n"/>
      <c r="CF62" s="31" t="n"/>
      <c r="CG62" s="113" t="n"/>
      <c r="CH62" s="197" t="n"/>
      <c r="CI62" s="192" t="n"/>
      <c r="CJ62" s="193" t="n"/>
      <c r="CK62" s="113" t="n"/>
      <c r="CL62" s="197" t="n"/>
      <c r="CM62" s="199" t="n"/>
      <c r="CN62" s="197" t="n"/>
      <c r="CO62" s="113" t="n"/>
      <c r="CP62" s="197" t="n"/>
      <c r="CQ62" s="199" t="n"/>
      <c r="CR62" s="197" t="n"/>
      <c r="CS62" s="113" t="n"/>
      <c r="CT62" s="197" t="n"/>
      <c r="CU62" s="199" t="n"/>
      <c r="CV62" s="197" t="n"/>
      <c r="CW62" s="106" t="n"/>
      <c r="CX62" s="197" t="n"/>
      <c r="CY62" s="192" t="n"/>
      <c r="CZ62" s="193" t="n"/>
      <c r="DA62" s="106" t="n"/>
      <c r="DB62" s="234" t="n"/>
      <c r="DC62" s="201" t="n"/>
      <c r="DD62" s="197" t="n"/>
      <c r="DE62" s="106" t="n"/>
      <c r="DF62" s="165" t="n"/>
      <c r="DG62" s="385" t="n"/>
      <c r="DH62" s="31" t="n"/>
      <c r="DI62" s="384">
        <f>SUM(DI42:DI58)</f>
        <v/>
      </c>
      <c r="DJ62" s="384">
        <f>SUM(DJ42:DJ58)</f>
        <v/>
      </c>
      <c r="DK62" s="82" t="n"/>
      <c r="DL62" s="35" t="n"/>
      <c r="DM62" s="44" t="n"/>
      <c r="DN62" s="35" t="n"/>
      <c r="DO62" s="82" t="n"/>
      <c r="DP62" s="35" t="n"/>
      <c r="DQ62" s="44" t="n"/>
      <c r="DR62" s="35" t="n"/>
      <c r="DS62" s="82" t="n"/>
      <c r="DT62" s="35" t="n"/>
      <c r="DU62" s="44" t="n"/>
      <c r="DV62" s="35" t="n"/>
      <c r="DW62" s="82" t="n"/>
      <c r="DX62" s="35" t="n"/>
      <c r="DY62" s="44" t="n"/>
      <c r="DZ62" s="36" t="n"/>
      <c r="EA62" s="82" t="n"/>
      <c r="EB62" s="35" t="n"/>
      <c r="EC62" s="44" t="n"/>
      <c r="ED62" s="36" t="n"/>
      <c r="EE62" s="82" t="n"/>
      <c r="EF62" s="35" t="n"/>
      <c r="EG62" s="44" t="n"/>
      <c r="EH62" s="35" t="n"/>
      <c r="EI62" s="82" t="n"/>
      <c r="EJ62" s="35" t="n"/>
      <c r="EK62" s="44" t="n"/>
      <c r="EL62" s="35" t="n"/>
      <c r="EM62" s="82" t="n"/>
      <c r="EN62" s="35" t="n"/>
      <c r="EO62" s="44" t="n"/>
      <c r="EP62" s="35" t="n"/>
      <c r="EQ62" s="82" t="n"/>
      <c r="ER62" s="91" t="n"/>
      <c r="ES62" s="44" t="n"/>
      <c r="ET62" s="35" t="n"/>
      <c r="EU62" s="82" t="n"/>
      <c r="EV62" s="91" t="n"/>
      <c r="EW62" s="44" t="n"/>
      <c r="EX62" s="35" t="n"/>
      <c r="EY62" s="82" t="n"/>
      <c r="EZ62" s="53" t="n"/>
      <c r="FA62" s="288" t="n"/>
      <c r="FB62" s="35" t="n"/>
      <c r="FC62" s="82" t="n"/>
      <c r="FD62" s="92" t="n"/>
      <c r="FE62" s="380" t="n"/>
      <c r="FF62" s="35" t="n"/>
      <c r="FG62" s="384">
        <f>SUM(FG42:FG58)</f>
        <v/>
      </c>
      <c r="FH62" s="384">
        <f>SUM(FH42:FH58)</f>
        <v/>
      </c>
      <c r="FI62" s="106" t="n"/>
      <c r="FJ62" s="35" t="n"/>
      <c r="FK62" s="44" t="n"/>
      <c r="FL62" s="35" t="n"/>
      <c r="FM62" s="51" t="n"/>
      <c r="FN62" s="35" t="n"/>
      <c r="FO62" s="32" t="n"/>
      <c r="FP62" s="31" t="n"/>
      <c r="FQ62" s="106" t="n"/>
      <c r="FR62" s="31" t="n"/>
      <c r="FS62" s="32" t="n"/>
      <c r="FT62" s="31" t="n"/>
      <c r="FU62" s="106" t="n"/>
      <c r="FV62" s="31" t="n"/>
      <c r="FW62" s="32" t="n"/>
      <c r="FX62" s="31" t="n"/>
      <c r="FY62" s="106" t="n"/>
      <c r="FZ62" s="31" t="n"/>
      <c r="GA62" s="32" t="n"/>
      <c r="GB62" s="31" t="n"/>
      <c r="GC62" s="113" t="n"/>
      <c r="GD62" s="197" t="n"/>
      <c r="GE62" s="192" t="n"/>
      <c r="GF62" s="193" t="n"/>
      <c r="GG62" s="113" t="n"/>
      <c r="GH62" s="197" t="n"/>
      <c r="GI62" s="199" t="n"/>
      <c r="GJ62" s="197" t="n"/>
      <c r="GK62" s="113" t="n"/>
      <c r="GL62" s="197" t="n"/>
      <c r="GM62" s="199" t="n"/>
      <c r="GN62" s="197" t="n"/>
      <c r="GO62" s="113" t="n"/>
      <c r="GP62" s="197" t="n"/>
      <c r="GQ62" s="199" t="n"/>
      <c r="GR62" s="197" t="n"/>
      <c r="GS62" s="106" t="n"/>
      <c r="GT62" s="197" t="n"/>
      <c r="GU62" s="192" t="n"/>
      <c r="GV62" s="193" t="n"/>
      <c r="GW62" s="106" t="n"/>
      <c r="GX62" s="234" t="n"/>
      <c r="GY62" s="201" t="n"/>
      <c r="GZ62" s="197" t="n"/>
      <c r="HA62" s="106" t="n"/>
      <c r="HB62" s="165" t="n"/>
      <c r="HC62" s="385" t="n"/>
      <c r="HD62" s="31" t="n"/>
      <c r="HE62" s="384">
        <f>SUM(HE42:HE58)</f>
        <v/>
      </c>
      <c r="HF62" s="384">
        <f>SUM(HF42:HF58)</f>
        <v/>
      </c>
      <c r="HG62" s="106" t="n"/>
      <c r="HH62" s="35" t="n"/>
      <c r="HI62" s="44" t="n"/>
      <c r="HJ62" s="35" t="n"/>
      <c r="HK62" s="51" t="n"/>
      <c r="HL62" s="35" t="n"/>
      <c r="HM62" s="32" t="n"/>
      <c r="HN62" s="31" t="n"/>
      <c r="HO62" s="106" t="n"/>
      <c r="HP62" s="31" t="n"/>
      <c r="HQ62" s="32" t="n"/>
      <c r="HR62" s="31" t="n"/>
      <c r="HS62" s="106" t="n"/>
      <c r="HT62" s="31" t="n"/>
      <c r="HU62" s="32" t="n"/>
      <c r="HV62" s="31" t="n"/>
      <c r="HW62" s="106" t="n"/>
      <c r="HX62" s="31" t="n"/>
      <c r="HY62" s="32" t="n"/>
      <c r="HZ62" s="31" t="n"/>
      <c r="IA62" s="113" t="n"/>
      <c r="IB62" s="197" t="n"/>
      <c r="IC62" s="192" t="n"/>
      <c r="ID62" s="193" t="n"/>
      <c r="IE62" s="113" t="n"/>
      <c r="IF62" s="197" t="n"/>
      <c r="IG62" s="199" t="n"/>
      <c r="IH62" s="197" t="n"/>
      <c r="II62" s="113" t="n"/>
      <c r="IJ62" s="197" t="n"/>
      <c r="IK62" s="199" t="n"/>
      <c r="IL62" s="197" t="n"/>
      <c r="IM62" s="113" t="n"/>
      <c r="IN62" s="197" t="n"/>
      <c r="IO62" s="199" t="n"/>
      <c r="IP62" s="197" t="n"/>
      <c r="IQ62" s="106" t="n"/>
      <c r="IR62" s="197" t="n"/>
      <c r="IS62" s="192" t="n"/>
      <c r="IT62" s="193" t="n"/>
      <c r="IU62" s="106" t="n"/>
      <c r="IV62" s="234" t="n"/>
      <c r="IW62" s="201" t="n"/>
      <c r="IX62" s="197" t="n"/>
      <c r="IY62" s="106" t="n"/>
      <c r="IZ62" s="165" t="n"/>
      <c r="JA62" s="385" t="n"/>
      <c r="JB62" s="31" t="n"/>
      <c r="JC62" s="384">
        <f>SUM(JC42:JC58)</f>
        <v/>
      </c>
      <c r="JD62" s="384">
        <f>SUM(JD42:JD58)</f>
        <v/>
      </c>
    </row>
    <row r="63" ht="12" customHeight="1">
      <c r="A63" s="115" t="n"/>
      <c r="B63" s="115" t="n"/>
      <c r="C63" s="115" t="n"/>
      <c r="D63" s="115" t="n"/>
      <c r="E63" s="116" t="n"/>
      <c r="F63" s="116" t="n"/>
      <c r="G63" s="117" t="n"/>
      <c r="H63" s="117" t="n"/>
      <c r="I63" s="235" t="n"/>
      <c r="J63" s="119" t="n"/>
      <c r="K63" s="119" t="n"/>
      <c r="L63" s="119" t="n"/>
      <c r="M63" s="119" t="n"/>
      <c r="N63" s="119" t="n"/>
      <c r="O63" s="120" t="n"/>
      <c r="P63" s="120" t="n"/>
      <c r="Q63" s="120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  <c r="AA63" s="121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2" t="n"/>
      <c r="AK63" s="123" t="n"/>
      <c r="AL63" s="123" t="n"/>
      <c r="AM63" s="123" t="n"/>
      <c r="AN63" s="123" t="n"/>
      <c r="AO63" s="123" t="n"/>
      <c r="AP63" s="123" t="n"/>
      <c r="AQ63" s="123" t="n"/>
      <c r="AR63" s="124" t="n"/>
      <c r="AS63" s="123" t="n"/>
      <c r="AT63" s="123" t="n"/>
      <c r="AU63" s="123" t="n"/>
      <c r="AV63" s="123" t="n"/>
      <c r="AW63" s="123" t="n"/>
      <c r="AX63" s="123" t="n"/>
      <c r="AY63" s="123" t="n"/>
      <c r="AZ63" s="123" t="n"/>
      <c r="BA63" s="125" t="n"/>
      <c r="BB63" s="126" t="n"/>
      <c r="BC63" s="125" t="n"/>
      <c r="BD63" s="125" t="n"/>
      <c r="BE63" s="127" t="n"/>
      <c r="BF63" s="126" t="n"/>
      <c r="BG63" s="127" t="n"/>
      <c r="BH63" s="127" t="n"/>
      <c r="BI63" s="161" t="n"/>
      <c r="BJ63" s="126" t="n"/>
      <c r="BK63" s="236" t="n"/>
      <c r="BL63" s="237" t="n"/>
      <c r="BM63" s="129" t="n"/>
      <c r="BN63" s="120" t="n"/>
      <c r="BO63" s="120" t="n"/>
      <c r="BP63" s="120" t="n"/>
      <c r="BQ63" s="130" t="n"/>
      <c r="BR63" s="120" t="n"/>
      <c r="BS63" s="120" t="n"/>
      <c r="BT63" s="120" t="n"/>
      <c r="BU63" s="130" t="n"/>
      <c r="BV63" s="120" t="n"/>
      <c r="BW63" s="120" t="n"/>
      <c r="BX63" s="120" t="n"/>
      <c r="BY63" s="130" t="n"/>
      <c r="BZ63" s="120" t="n"/>
      <c r="CA63" s="120" t="n"/>
      <c r="CB63" s="121" t="n"/>
      <c r="CC63" s="130" t="n"/>
      <c r="CD63" s="121" t="n"/>
      <c r="CE63" s="121" t="n"/>
      <c r="CF63" s="121" t="n"/>
      <c r="CG63" s="130" t="n"/>
      <c r="CH63" s="122" t="n"/>
      <c r="CI63" s="123" t="n"/>
      <c r="CJ63" s="123" t="n"/>
      <c r="CK63" s="131" t="n"/>
      <c r="CL63" s="123" t="n"/>
      <c r="CM63" s="123" t="n"/>
      <c r="CN63" s="123" t="n"/>
      <c r="CO63" s="131" t="n"/>
      <c r="CP63" s="124" t="n"/>
      <c r="CQ63" s="123" t="n"/>
      <c r="CR63" s="123" t="n"/>
      <c r="CS63" s="131" t="n"/>
      <c r="CT63" s="123" t="n"/>
      <c r="CU63" s="123" t="n"/>
      <c r="CV63" s="123" t="n"/>
      <c r="CW63" s="131" t="n"/>
      <c r="CX63" s="123" t="n"/>
      <c r="CY63" s="125" t="n"/>
      <c r="CZ63" s="123" t="n"/>
      <c r="DA63" s="132" t="n"/>
      <c r="DB63" s="125" t="n"/>
      <c r="DC63" s="127" t="n"/>
      <c r="DD63" s="123" t="n"/>
      <c r="DE63" s="132" t="n"/>
      <c r="DF63" s="127" t="n"/>
      <c r="DG63" s="161" t="n"/>
      <c r="DH63" s="123" t="n"/>
      <c r="DI63" s="236" t="n"/>
      <c r="DJ63" s="237" t="n"/>
      <c r="DK63" s="129" t="n"/>
      <c r="DL63" s="120" t="n"/>
      <c r="DM63" s="120" t="n"/>
      <c r="DN63" s="120" t="n"/>
      <c r="DO63" s="130" t="n"/>
      <c r="DP63" s="120" t="n"/>
      <c r="DQ63" s="120" t="n"/>
      <c r="DR63" s="120" t="n"/>
      <c r="DS63" s="130" t="n"/>
      <c r="DT63" s="120" t="n"/>
      <c r="DU63" s="120" t="n"/>
      <c r="DV63" s="120" t="n"/>
      <c r="DW63" s="130" t="n"/>
      <c r="DX63" s="120" t="n"/>
      <c r="DY63" s="120" t="n"/>
      <c r="DZ63" s="121" t="n"/>
      <c r="EA63" s="130" t="n"/>
      <c r="EB63" s="121" t="n"/>
      <c r="EC63" s="121" t="n"/>
      <c r="ED63" s="121" t="n"/>
      <c r="EE63" s="130" t="n"/>
      <c r="EF63" s="122" t="n"/>
      <c r="EG63" s="123" t="n"/>
      <c r="EH63" s="123" t="n"/>
      <c r="EI63" s="131" t="n"/>
      <c r="EJ63" s="123" t="n"/>
      <c r="EK63" s="123" t="n"/>
      <c r="EL63" s="123" t="n"/>
      <c r="EM63" s="131" t="n"/>
      <c r="EN63" s="124" t="n"/>
      <c r="EO63" s="123" t="n"/>
      <c r="EP63" s="123" t="n"/>
      <c r="EQ63" s="131" t="n"/>
      <c r="ER63" s="123" t="n"/>
      <c r="ES63" s="123" t="n"/>
      <c r="ET63" s="123" t="n"/>
      <c r="EU63" s="131" t="n"/>
      <c r="EV63" s="123" t="n"/>
      <c r="EW63" s="125" t="n"/>
      <c r="EX63" s="123" t="n"/>
      <c r="EY63" s="132" t="n"/>
      <c r="EZ63" s="125" t="n"/>
      <c r="FA63" s="127" t="n"/>
      <c r="FB63" s="123" t="n"/>
      <c r="FC63" s="132" t="n"/>
      <c r="FD63" s="127" t="n"/>
      <c r="FE63" s="161" t="n"/>
      <c r="FF63" s="123" t="n"/>
      <c r="FG63" s="236" t="n"/>
      <c r="FH63" s="237" t="n"/>
      <c r="FI63" s="129" t="n"/>
      <c r="FJ63" s="120" t="n"/>
      <c r="FK63" s="120" t="n"/>
      <c r="FL63" s="120" t="n"/>
      <c r="FM63" s="130" t="n"/>
      <c r="FN63" s="120" t="n"/>
      <c r="FO63" s="120" t="n"/>
      <c r="FP63" s="120" t="n"/>
      <c r="FQ63" s="130" t="n"/>
      <c r="FR63" s="120" t="n"/>
      <c r="FS63" s="120" t="n"/>
      <c r="FT63" s="120" t="n"/>
      <c r="FU63" s="130" t="n"/>
      <c r="FV63" s="120" t="n"/>
      <c r="FW63" s="120" t="n"/>
      <c r="FX63" s="121" t="n"/>
      <c r="FY63" s="130" t="n"/>
      <c r="FZ63" s="121" t="n"/>
      <c r="GA63" s="121" t="n"/>
      <c r="GB63" s="121" t="n"/>
      <c r="GC63" s="130" t="n"/>
      <c r="GD63" s="122" t="n"/>
      <c r="GE63" s="123" t="n"/>
      <c r="GF63" s="123" t="n"/>
      <c r="GG63" s="131" t="n"/>
      <c r="GH63" s="123" t="n"/>
      <c r="GI63" s="123" t="n"/>
      <c r="GJ63" s="123" t="n"/>
      <c r="GK63" s="131" t="n"/>
      <c r="GL63" s="124" t="n"/>
      <c r="GM63" s="123" t="n"/>
      <c r="GN63" s="123" t="n"/>
      <c r="GO63" s="131" t="n"/>
      <c r="GP63" s="123" t="n"/>
      <c r="GQ63" s="123" t="n"/>
      <c r="GR63" s="123" t="n"/>
      <c r="GS63" s="131" t="n"/>
      <c r="GT63" s="123" t="n"/>
      <c r="GU63" s="125" t="n"/>
      <c r="GV63" s="123" t="n"/>
      <c r="GW63" s="132" t="n"/>
      <c r="GX63" s="125" t="n"/>
      <c r="GY63" s="127" t="n"/>
      <c r="GZ63" s="123" t="n"/>
      <c r="HA63" s="132" t="n"/>
      <c r="HB63" s="127" t="n"/>
      <c r="HC63" s="161" t="n"/>
      <c r="HD63" s="123" t="n"/>
      <c r="HE63" s="236" t="n"/>
      <c r="HF63" s="237" t="n"/>
      <c r="HG63" s="129" t="n"/>
      <c r="HH63" s="120" t="n"/>
      <c r="HI63" s="120" t="n"/>
      <c r="HJ63" s="120" t="n"/>
      <c r="HK63" s="130" t="n"/>
      <c r="HL63" s="120" t="n"/>
      <c r="HM63" s="120" t="n"/>
      <c r="HN63" s="120" t="n"/>
      <c r="HO63" s="130" t="n"/>
      <c r="HP63" s="120" t="n"/>
      <c r="HQ63" s="120" t="n"/>
      <c r="HR63" s="120" t="n"/>
      <c r="HS63" s="130" t="n"/>
      <c r="HT63" s="120" t="n"/>
      <c r="HU63" s="120" t="n"/>
      <c r="HV63" s="121" t="n"/>
      <c r="HW63" s="130" t="n"/>
      <c r="HX63" s="121" t="n"/>
      <c r="HY63" s="121" t="n"/>
      <c r="HZ63" s="121" t="n"/>
      <c r="IA63" s="130" t="n"/>
      <c r="IB63" s="122" t="n"/>
      <c r="IC63" s="123" t="n"/>
      <c r="ID63" s="123" t="n"/>
      <c r="IE63" s="131" t="n"/>
      <c r="IF63" s="123" t="n"/>
      <c r="IG63" s="123" t="n"/>
      <c r="IH63" s="123" t="n"/>
      <c r="II63" s="131" t="n"/>
      <c r="IJ63" s="124" t="n"/>
      <c r="IK63" s="123" t="n"/>
      <c r="IL63" s="123" t="n"/>
      <c r="IM63" s="131" t="n"/>
      <c r="IN63" s="123" t="n"/>
      <c r="IO63" s="123" t="n"/>
      <c r="IP63" s="123" t="n"/>
      <c r="IQ63" s="131" t="n"/>
      <c r="IR63" s="123" t="n"/>
      <c r="IS63" s="125" t="n"/>
      <c r="IT63" s="123" t="n"/>
      <c r="IU63" s="132" t="n"/>
      <c r="IV63" s="125" t="n"/>
      <c r="IW63" s="127" t="n"/>
      <c r="IX63" s="123" t="n"/>
      <c r="IY63" s="132" t="n"/>
      <c r="IZ63" s="127" t="n"/>
      <c r="JA63" s="161" t="n"/>
      <c r="JB63" s="123" t="n"/>
      <c r="JC63" s="236" t="n"/>
      <c r="JD63" s="237" t="n"/>
    </row>
    <row r="64" ht="42" customHeight="1">
      <c r="A64" s="312" t="inlineStr">
        <is>
          <t>ВОМЗ АО</t>
        </is>
      </c>
      <c r="B64" s="314" t="inlineStr">
        <is>
          <t>предоплата</t>
        </is>
      </c>
      <c r="C64" s="316" t="inlineStr">
        <is>
          <t>ВБК РУС</t>
        </is>
      </c>
      <c r="D64" s="316" t="inlineStr">
        <is>
          <t>Александр Хорошевский</t>
        </is>
      </c>
      <c r="E64" s="25" t="n">
        <v>1</v>
      </c>
      <c r="F64" s="25" t="n">
        <v>1</v>
      </c>
      <c r="G64" s="26" t="n">
        <v>4630840310</v>
      </c>
      <c r="H64" s="138" t="inlineStr">
        <is>
          <t>Клапан подъема оси (ТСР)</t>
        </is>
      </c>
      <c r="I64" s="162" t="n">
        <v>586</v>
      </c>
      <c r="J64" s="164" t="n">
        <v>586</v>
      </c>
      <c r="K64" s="164" t="n">
        <v>586</v>
      </c>
      <c r="L64" s="164" t="n">
        <v>586</v>
      </c>
      <c r="M64" s="164" t="n"/>
      <c r="N64" s="164" t="n"/>
      <c r="O64" s="30" t="n"/>
      <c r="P64" s="31" t="n"/>
      <c r="Q64" s="32" t="n">
        <v>0</v>
      </c>
      <c r="R64" s="31" t="n"/>
      <c r="S64" s="30" t="n"/>
      <c r="T64" s="31" t="n">
        <v>100</v>
      </c>
      <c r="U64" s="32" t="n">
        <v>100</v>
      </c>
      <c r="V64" s="31" t="n"/>
      <c r="W64" s="30" t="n"/>
      <c r="X64" s="31" t="n">
        <v>60</v>
      </c>
      <c r="Y64" s="32" t="n">
        <v>50</v>
      </c>
      <c r="Z64" s="31" t="n"/>
      <c r="AA64" s="30" t="n"/>
      <c r="AB64" s="134" t="n">
        <v>0</v>
      </c>
      <c r="AC64" s="32" t="n">
        <v>0</v>
      </c>
      <c r="AD64" s="31" t="inlineStr">
        <is>
          <t>Уменьшение заказов на полуприцепы с двумя подъемными осями</t>
        </is>
      </c>
      <c r="AE64" s="30" t="n"/>
      <c r="AF64" s="31" t="n">
        <v>50</v>
      </c>
      <c r="AG64" s="32" t="n">
        <v>50</v>
      </c>
      <c r="AH64" s="31" t="inlineStr">
        <is>
          <t>Уменьшение заказов на полуприцепы с двумя подъемными осями</t>
        </is>
      </c>
      <c r="AI64" s="30" t="n"/>
      <c r="AJ64" s="35" t="n">
        <v>50</v>
      </c>
      <c r="AK64" s="32" t="n">
        <v>0</v>
      </c>
      <c r="AL64" s="31" t="inlineStr">
        <is>
          <t>Уменьшение заказов на полуприцепы с двумя подъемными осями</t>
        </is>
      </c>
      <c r="AM64" s="30" t="n"/>
      <c r="AN64" s="31" t="n">
        <v>50</v>
      </c>
      <c r="AO64" s="32" t="n">
        <v>0</v>
      </c>
      <c r="AP64" s="31" t="inlineStr">
        <is>
          <t>Уменьшение заказов на полуприцепы с двумя подъемными осями</t>
        </is>
      </c>
      <c r="AQ64" s="30" t="n"/>
      <c r="AR64" s="37" t="n">
        <v>0</v>
      </c>
      <c r="AS64" s="32" t="n">
        <v>0</v>
      </c>
      <c r="AT64" s="31" t="inlineStr">
        <is>
          <t>Нет заказов на полуприцепы</t>
        </is>
      </c>
      <c r="AU64" s="30" t="n"/>
      <c r="AV64" s="31" t="n">
        <v>0</v>
      </c>
      <c r="AW64" s="32" t="n">
        <v>0</v>
      </c>
      <c r="AX64" s="31" t="inlineStr">
        <is>
          <t>Нет заказов на полуприцепы</t>
        </is>
      </c>
      <c r="AY64" s="30" t="n"/>
      <c r="AZ64" s="31" t="n">
        <v>0</v>
      </c>
      <c r="BA64" s="32" t="n">
        <v>0</v>
      </c>
      <c r="BB64" s="34" t="inlineStr">
        <is>
          <t>Нет заказов на полуприцепы</t>
        </is>
      </c>
      <c r="BC64" s="30" t="n"/>
      <c r="BD64" s="238" t="n">
        <v>0</v>
      </c>
      <c r="BE64" s="155" t="n">
        <v>0</v>
      </c>
      <c r="BF64" s="34" t="n"/>
      <c r="BG64" s="30" t="n"/>
      <c r="BH64" s="239" t="n">
        <v>0</v>
      </c>
      <c r="BI64" s="136" t="n">
        <v>0</v>
      </c>
      <c r="BJ64" s="34" t="n"/>
      <c r="BK64" s="381">
        <f>O64+S64+W64+AA64+AE64+AI64+AM64+AQ64+AU64+AY64+BC64+BG64</f>
        <v/>
      </c>
      <c r="BL64" s="386">
        <f>BK64*$I64</f>
        <v/>
      </c>
      <c r="BM64" s="41" t="n">
        <v>0</v>
      </c>
      <c r="BN64" s="240" t="n">
        <v>0</v>
      </c>
      <c r="BO64" s="32" t="n">
        <v>0</v>
      </c>
      <c r="BP64" s="31" t="n"/>
      <c r="BQ64" s="41" t="n">
        <v>0</v>
      </c>
      <c r="BR64" s="240" t="n">
        <v>0</v>
      </c>
      <c r="BS64" s="32" t="n">
        <v>0</v>
      </c>
      <c r="BT64" s="31" t="n"/>
      <c r="BU64" s="41" t="n">
        <v>0</v>
      </c>
      <c r="BV64" s="31" t="n">
        <v>0</v>
      </c>
      <c r="BW64" s="32" t="n"/>
      <c r="BX64" s="31" t="n"/>
      <c r="BY64" s="41" t="n"/>
      <c r="BZ64" s="31" t="n"/>
      <c r="CA64" s="32" t="n">
        <v>0</v>
      </c>
      <c r="CB64" s="31" t="n"/>
      <c r="CC64" s="41" t="n"/>
      <c r="CD64" s="31" t="n"/>
      <c r="CE64" s="32" t="n">
        <v>0</v>
      </c>
      <c r="CF64" s="31" t="n"/>
      <c r="CG64" s="41" t="n"/>
      <c r="CH64" s="35" t="n"/>
      <c r="CI64" s="32" t="n">
        <v>0</v>
      </c>
      <c r="CJ64" s="31" t="n"/>
      <c r="CK64" s="41" t="n"/>
      <c r="CL64" s="31" t="n"/>
      <c r="CM64" s="32" t="n">
        <v>0</v>
      </c>
      <c r="CN64" s="31" t="n"/>
      <c r="CO64" s="41" t="n"/>
      <c r="CP64" s="35" t="n"/>
      <c r="CQ64" s="32" t="n">
        <v>0</v>
      </c>
      <c r="CR64" s="31" t="n"/>
      <c r="CS64" s="41" t="n"/>
      <c r="CT64" s="31" t="n"/>
      <c r="CU64" s="32" t="n">
        <v>0</v>
      </c>
      <c r="CV64" s="31" t="n"/>
      <c r="CW64" s="41" t="n"/>
      <c r="CX64" s="31" t="n"/>
      <c r="CY64" s="32" t="n"/>
      <c r="CZ64" s="31" t="n"/>
      <c r="DA64" s="41" t="n"/>
      <c r="DB64" s="234" t="n"/>
      <c r="DC64" s="155" t="n">
        <v>0</v>
      </c>
      <c r="DD64" s="31" t="n"/>
      <c r="DE64" s="41" t="n"/>
      <c r="DF64" s="165" t="n"/>
      <c r="DG64" s="136" t="n">
        <v>0</v>
      </c>
      <c r="DH64" s="31" t="n"/>
      <c r="DI64" s="381">
        <f>BM64+BQ64+BU64+BY64+CC64+CG64+CK64+CO64+CS64+CW64+DA64+DE64</f>
        <v/>
      </c>
      <c r="DJ64" s="386">
        <f>DI64*$I64</f>
        <v/>
      </c>
      <c r="DK64" s="41" t="n"/>
      <c r="DL64" s="240" t="n"/>
      <c r="DM64" s="32" t="n">
        <v>0</v>
      </c>
      <c r="DN64" s="31" t="n"/>
      <c r="DO64" s="41" t="n"/>
      <c r="DP64" s="240" t="n"/>
      <c r="DQ64" s="32" t="n">
        <v>0</v>
      </c>
      <c r="DR64" s="31" t="n"/>
      <c r="DS64" s="41" t="n"/>
      <c r="DT64" s="31" t="n"/>
      <c r="DU64" s="32" t="n"/>
      <c r="DV64" s="31" t="n"/>
      <c r="DW64" s="41" t="n"/>
      <c r="DX64" s="31" t="n"/>
      <c r="DY64" s="32" t="n">
        <v>0</v>
      </c>
      <c r="DZ64" s="31" t="n"/>
      <c r="EA64" s="41" t="n"/>
      <c r="EB64" s="31" t="n"/>
      <c r="EC64" s="32" t="n">
        <v>0</v>
      </c>
      <c r="ED64" s="31" t="n"/>
      <c r="EE64" s="41" t="n"/>
      <c r="EF64" s="35" t="n"/>
      <c r="EG64" s="32" t="n"/>
      <c r="EH64" s="31" t="n"/>
      <c r="EI64" s="41" t="n"/>
      <c r="EJ64" s="31" t="n"/>
      <c r="EK64" s="32" t="n"/>
      <c r="EL64" s="31" t="n"/>
      <c r="EM64" s="41" t="n"/>
      <c r="EN64" s="35" t="n"/>
      <c r="EO64" s="32" t="n"/>
      <c r="EP64" s="31" t="n"/>
      <c r="EQ64" s="41" t="n"/>
      <c r="ER64" s="31" t="n"/>
      <c r="ES64" s="32" t="n"/>
      <c r="ET64" s="31" t="n"/>
      <c r="EU64" s="41" t="n"/>
      <c r="EV64" s="31" t="n"/>
      <c r="EW64" s="32" t="n"/>
      <c r="EX64" s="31" t="n"/>
      <c r="EY64" s="41" t="n"/>
      <c r="EZ64" s="234" t="n"/>
      <c r="FA64" s="155" t="n"/>
      <c r="FB64" s="31" t="n"/>
      <c r="FC64" s="41" t="n"/>
      <c r="FD64" s="165" t="n"/>
      <c r="FE64" s="385" t="n"/>
      <c r="FF64" s="31" t="n"/>
      <c r="FG64" s="381">
        <f>DK64+DO64+DS64+DW64+EA64+EE64+EI64+EM64+EQ64+EU64+EY64+FC64</f>
        <v/>
      </c>
      <c r="FH64" s="386">
        <f>FG64*$I64</f>
        <v/>
      </c>
      <c r="FI64" s="41" t="n"/>
      <c r="FJ64" s="240" t="n"/>
      <c r="FK64" s="32" t="n"/>
      <c r="FL64" s="31" t="n"/>
      <c r="FM64" s="41" t="n"/>
      <c r="FN64" s="240" t="n"/>
      <c r="FO64" s="32" t="n"/>
      <c r="FP64" s="31" t="n"/>
      <c r="FQ64" s="41" t="n"/>
      <c r="FR64" s="31" t="n"/>
      <c r="FS64" s="32" t="n"/>
      <c r="FT64" s="31" t="n"/>
      <c r="FU64" s="41" t="n"/>
      <c r="FV64" s="31" t="n"/>
      <c r="FW64" s="32" t="n"/>
      <c r="FX64" s="31" t="n"/>
      <c r="FY64" s="41" t="n"/>
      <c r="FZ64" s="31" t="n"/>
      <c r="GA64" s="32" t="n"/>
      <c r="GB64" s="31" t="n"/>
      <c r="GC64" s="41" t="n"/>
      <c r="GD64" s="35" t="n"/>
      <c r="GE64" s="32" t="n"/>
      <c r="GF64" s="31" t="n"/>
      <c r="GG64" s="41" t="n"/>
      <c r="GH64" s="31" t="n"/>
      <c r="GI64" s="32" t="n"/>
      <c r="GJ64" s="31" t="n"/>
      <c r="GK64" s="41" t="n"/>
      <c r="GL64" s="35" t="n"/>
      <c r="GM64" s="32" t="n"/>
      <c r="GN64" s="31" t="n"/>
      <c r="GO64" s="41" t="n"/>
      <c r="GP64" s="31" t="n"/>
      <c r="GQ64" s="32" t="n"/>
      <c r="GR64" s="31" t="n"/>
      <c r="GS64" s="41" t="n"/>
      <c r="GT64" s="31" t="n"/>
      <c r="GU64" s="32" t="n"/>
      <c r="GV64" s="31" t="n"/>
      <c r="GW64" s="41" t="n"/>
      <c r="GX64" s="234" t="n"/>
      <c r="GY64" s="155" t="n"/>
      <c r="GZ64" s="31" t="n"/>
      <c r="HA64" s="41" t="n"/>
      <c r="HB64" s="165" t="n"/>
      <c r="HC64" s="385" t="n"/>
      <c r="HD64" s="31" t="n"/>
      <c r="HE64" s="381">
        <f>FI64+FM64+FQ64+FU64+FY64+GC64+GG64+GK64+GO64+GS64+GW64+HA64</f>
        <v/>
      </c>
      <c r="HF64" s="386">
        <f>HE64*$I64</f>
        <v/>
      </c>
      <c r="HG64" s="41" t="n"/>
      <c r="HH64" s="240" t="n"/>
      <c r="HI64" s="32" t="n"/>
      <c r="HJ64" s="31" t="n"/>
      <c r="HK64" s="41" t="n"/>
      <c r="HL64" s="240" t="n"/>
      <c r="HM64" s="32" t="n"/>
      <c r="HN64" s="31" t="n"/>
      <c r="HO64" s="41" t="n"/>
      <c r="HP64" s="31" t="n"/>
      <c r="HQ64" s="32" t="n"/>
      <c r="HR64" s="31" t="n"/>
      <c r="HS64" s="41" t="n"/>
      <c r="HT64" s="31" t="n"/>
      <c r="HU64" s="32" t="n"/>
      <c r="HV64" s="31" t="n"/>
      <c r="HW64" s="41" t="n"/>
      <c r="HX64" s="31" t="n"/>
      <c r="HY64" s="32" t="n"/>
      <c r="HZ64" s="31" t="n"/>
      <c r="IA64" s="41" t="n"/>
      <c r="IB64" s="35" t="n"/>
      <c r="IC64" s="32" t="n"/>
      <c r="ID64" s="31" t="n"/>
      <c r="IE64" s="41" t="n"/>
      <c r="IF64" s="31" t="n"/>
      <c r="IG64" s="32" t="n"/>
      <c r="IH64" s="31" t="n"/>
      <c r="II64" s="41" t="n"/>
      <c r="IJ64" s="35" t="n"/>
      <c r="IK64" s="32" t="n"/>
      <c r="IL64" s="31" t="n"/>
      <c r="IM64" s="41" t="n"/>
      <c r="IN64" s="31" t="n"/>
      <c r="IO64" s="32" t="n"/>
      <c r="IP64" s="31" t="n"/>
      <c r="IQ64" s="41" t="n"/>
      <c r="IR64" s="31" t="n"/>
      <c r="IS64" s="32" t="n"/>
      <c r="IT64" s="31" t="n"/>
      <c r="IU64" s="41" t="n"/>
      <c r="IV64" s="234" t="n"/>
      <c r="IW64" s="155" t="n"/>
      <c r="IX64" s="31" t="n"/>
      <c r="IY64" s="41" t="n"/>
      <c r="IZ64" s="165" t="n"/>
      <c r="JA64" s="385" t="n"/>
      <c r="JB64" s="31" t="n"/>
      <c r="JC64" s="381">
        <f>HG64+HK64+HO64+HS64+HW64+IA64+IE64+II64+IM64+IQ64+IU64+IY64</f>
        <v/>
      </c>
      <c r="JD64" s="386">
        <f>JC64*$I64</f>
        <v/>
      </c>
    </row>
    <row r="65">
      <c r="A65" s="355" t="n"/>
      <c r="B65" s="314" t="n"/>
      <c r="C65" s="316" t="n"/>
      <c r="D65" s="316" t="n"/>
      <c r="E65" s="25" t="n"/>
      <c r="F65" s="25" t="n"/>
      <c r="G65" s="232" t="n"/>
      <c r="H65" s="233" t="inlineStr">
        <is>
          <t>Итого</t>
        </is>
      </c>
      <c r="I65" s="162" t="n"/>
      <c r="J65" s="164" t="n"/>
      <c r="K65" s="164" t="n"/>
      <c r="L65" s="164" t="n"/>
      <c r="M65" s="164" t="n"/>
      <c r="N65" s="164" t="n"/>
      <c r="O65" s="30" t="n"/>
      <c r="P65" s="31" t="n"/>
      <c r="Q65" s="32" t="n"/>
      <c r="R65" s="31" t="n"/>
      <c r="S65" s="30" t="n"/>
      <c r="T65" s="31" t="n"/>
      <c r="U65" s="32" t="n"/>
      <c r="V65" s="31" t="n"/>
      <c r="W65" s="30" t="n"/>
      <c r="X65" s="31" t="n"/>
      <c r="Y65" s="32" t="n"/>
      <c r="Z65" s="31" t="n"/>
      <c r="AA65" s="30" t="n"/>
      <c r="AB65" s="31" t="n"/>
      <c r="AC65" s="32" t="n"/>
      <c r="AD65" s="31" t="n"/>
      <c r="AE65" s="30" t="n"/>
      <c r="AF65" s="31" t="n"/>
      <c r="AG65" s="32" t="n"/>
      <c r="AH65" s="31" t="inlineStr">
        <is>
          <t>Новый клиент</t>
        </is>
      </c>
      <c r="AI65" s="30" t="n"/>
      <c r="AJ65" s="197" t="n"/>
      <c r="AK65" s="192" t="n"/>
      <c r="AL65" s="193" t="n"/>
      <c r="AM65" s="194" t="n"/>
      <c r="AN65" s="193" t="n"/>
      <c r="AO65" s="192" t="n"/>
      <c r="AP65" s="193" t="n"/>
      <c r="AQ65" s="194" t="n"/>
      <c r="AR65" s="197" t="n"/>
      <c r="AS65" s="192" t="n"/>
      <c r="AT65" s="193" t="n"/>
      <c r="AU65" s="194" t="n"/>
      <c r="AV65" s="193" t="n"/>
      <c r="AW65" s="192" t="n"/>
      <c r="AX65" s="193" t="n"/>
      <c r="AY65" s="194" t="n"/>
      <c r="AZ65" s="193" t="n"/>
      <c r="BA65" s="192" t="n"/>
      <c r="BB65" s="196" t="n"/>
      <c r="BC65" s="194" t="n"/>
      <c r="BD65" s="234" t="n"/>
      <c r="BE65" s="201" t="n"/>
      <c r="BF65" s="196" t="n"/>
      <c r="BG65" s="194" t="n"/>
      <c r="BH65" s="165" t="n"/>
      <c r="BI65" s="385" t="n"/>
      <c r="BJ65" s="34" t="n"/>
      <c r="BK65" s="384">
        <f>SUM(BK64:BK64)</f>
        <v/>
      </c>
      <c r="BL65" s="384">
        <f>SUM(BL64)</f>
        <v/>
      </c>
      <c r="BM65" s="106" t="n"/>
      <c r="BN65" s="31" t="n"/>
      <c r="BO65" s="32" t="n"/>
      <c r="BP65" s="31" t="n"/>
      <c r="BQ65" s="106" t="n"/>
      <c r="BR65" s="31" t="n"/>
      <c r="BS65" s="32" t="n"/>
      <c r="BT65" s="31" t="n"/>
      <c r="BU65" s="106" t="n"/>
      <c r="BV65" s="31" t="n"/>
      <c r="BW65" s="32" t="n"/>
      <c r="BX65" s="31" t="n"/>
      <c r="BY65" s="106" t="n"/>
      <c r="BZ65" s="31" t="n"/>
      <c r="CA65" s="32" t="n"/>
      <c r="CB65" s="31" t="n"/>
      <c r="CC65" s="106" t="n"/>
      <c r="CD65" s="31" t="n"/>
      <c r="CE65" s="32" t="n"/>
      <c r="CF65" s="31" t="n"/>
      <c r="CG65" s="113" t="n"/>
      <c r="CH65" s="197" t="n"/>
      <c r="CI65" s="192" t="n"/>
      <c r="CJ65" s="193" t="n"/>
      <c r="CK65" s="113" t="n"/>
      <c r="CL65" s="193" t="n"/>
      <c r="CM65" s="192" t="n"/>
      <c r="CN65" s="193" t="n"/>
      <c r="CO65" s="113" t="n"/>
      <c r="CP65" s="197" t="n"/>
      <c r="CQ65" s="192" t="n"/>
      <c r="CR65" s="193" t="n"/>
      <c r="CS65" s="113" t="n"/>
      <c r="CT65" s="193" t="n"/>
      <c r="CU65" s="192" t="n"/>
      <c r="CV65" s="193" t="n"/>
      <c r="CW65" s="106" t="n"/>
      <c r="CX65" s="193" t="n"/>
      <c r="CY65" s="192" t="n"/>
      <c r="CZ65" s="193" t="n"/>
      <c r="DA65" s="106" t="n"/>
      <c r="DB65" s="234" t="n"/>
      <c r="DC65" s="201" t="n"/>
      <c r="DD65" s="193" t="n"/>
      <c r="DE65" s="106" t="n"/>
      <c r="DF65" s="165" t="n"/>
      <c r="DG65" s="385" t="n"/>
      <c r="DH65" s="31" t="n"/>
      <c r="DI65" s="384">
        <f>SUM(DI64:DI64)</f>
        <v/>
      </c>
      <c r="DJ65" s="384">
        <f>SUM(DJ64:DJ64)</f>
        <v/>
      </c>
      <c r="DK65" s="106" t="n"/>
      <c r="DL65" s="31" t="n"/>
      <c r="DM65" s="32" t="n"/>
      <c r="DN65" s="31" t="n"/>
      <c r="DO65" s="106" t="n"/>
      <c r="DP65" s="31" t="n"/>
      <c r="DQ65" s="32" t="n"/>
      <c r="DR65" s="31" t="n"/>
      <c r="DS65" s="106" t="n"/>
      <c r="DT65" s="31" t="n"/>
      <c r="DU65" s="32" t="n"/>
      <c r="DV65" s="31" t="n"/>
      <c r="DW65" s="106" t="n"/>
      <c r="DX65" s="31" t="n"/>
      <c r="DY65" s="32" t="n"/>
      <c r="DZ65" s="31" t="n"/>
      <c r="EA65" s="106" t="n"/>
      <c r="EB65" s="31" t="n"/>
      <c r="EC65" s="32" t="n"/>
      <c r="ED65" s="31" t="n"/>
      <c r="EE65" s="113" t="n"/>
      <c r="EF65" s="197" t="n"/>
      <c r="EG65" s="192" t="n"/>
      <c r="EH65" s="193" t="n"/>
      <c r="EI65" s="113" t="n"/>
      <c r="EJ65" s="193" t="n"/>
      <c r="EK65" s="192" t="n"/>
      <c r="EL65" s="193" t="n"/>
      <c r="EM65" s="113" t="n"/>
      <c r="EN65" s="197" t="n"/>
      <c r="EO65" s="192" t="n"/>
      <c r="EP65" s="193" t="n"/>
      <c r="EQ65" s="113" t="n"/>
      <c r="ER65" s="193" t="n"/>
      <c r="ES65" s="192" t="n"/>
      <c r="ET65" s="193" t="n"/>
      <c r="EU65" s="106" t="n"/>
      <c r="EV65" s="193" t="n"/>
      <c r="EW65" s="192" t="n"/>
      <c r="EX65" s="193" t="n"/>
      <c r="EY65" s="106" t="n"/>
      <c r="EZ65" s="234" t="n"/>
      <c r="FA65" s="201" t="n"/>
      <c r="FB65" s="193" t="n"/>
      <c r="FC65" s="106" t="n"/>
      <c r="FD65" s="165" t="n"/>
      <c r="FE65" s="385" t="n"/>
      <c r="FF65" s="31" t="n"/>
      <c r="FG65" s="384">
        <f>SUM(FG64:FG64)</f>
        <v/>
      </c>
      <c r="FH65" s="384">
        <f>SUM(FH64:FH64)</f>
        <v/>
      </c>
      <c r="FI65" s="106" t="n"/>
      <c r="FJ65" s="31" t="n"/>
      <c r="FK65" s="32" t="n"/>
      <c r="FL65" s="31" t="n"/>
      <c r="FM65" s="106" t="n"/>
      <c r="FN65" s="31" t="n"/>
      <c r="FO65" s="32" t="n"/>
      <c r="FP65" s="31" t="n"/>
      <c r="FQ65" s="106" t="n"/>
      <c r="FR65" s="31" t="n"/>
      <c r="FS65" s="32" t="n"/>
      <c r="FT65" s="31" t="n"/>
      <c r="FU65" s="106" t="n"/>
      <c r="FV65" s="31" t="n"/>
      <c r="FW65" s="32" t="n"/>
      <c r="FX65" s="31" t="n"/>
      <c r="FY65" s="106" t="n"/>
      <c r="FZ65" s="31" t="n"/>
      <c r="GA65" s="32" t="n"/>
      <c r="GB65" s="31" t="n"/>
      <c r="GC65" s="113" t="n"/>
      <c r="GD65" s="197" t="n"/>
      <c r="GE65" s="192" t="n"/>
      <c r="GF65" s="193" t="n"/>
      <c r="GG65" s="113" t="n"/>
      <c r="GH65" s="193" t="n"/>
      <c r="GI65" s="192" t="n"/>
      <c r="GJ65" s="193" t="n"/>
      <c r="GK65" s="113" t="n"/>
      <c r="GL65" s="197" t="n"/>
      <c r="GM65" s="192" t="n"/>
      <c r="GN65" s="193" t="n"/>
      <c r="GO65" s="113" t="n"/>
      <c r="GP65" s="193" t="n"/>
      <c r="GQ65" s="192" t="n"/>
      <c r="GR65" s="193" t="n"/>
      <c r="GS65" s="106" t="n"/>
      <c r="GT65" s="193" t="n"/>
      <c r="GU65" s="192" t="n"/>
      <c r="GV65" s="193" t="n"/>
      <c r="GW65" s="106" t="n"/>
      <c r="GX65" s="234" t="n"/>
      <c r="GY65" s="201" t="n"/>
      <c r="GZ65" s="193" t="n"/>
      <c r="HA65" s="106" t="n"/>
      <c r="HB65" s="165" t="n"/>
      <c r="HC65" s="385" t="n"/>
      <c r="HD65" s="31" t="n"/>
      <c r="HE65" s="384">
        <f>SUM(HE64:HE64)</f>
        <v/>
      </c>
      <c r="HF65" s="384">
        <f>SUM(HF64:HF64)</f>
        <v/>
      </c>
      <c r="HG65" s="106" t="n"/>
      <c r="HH65" s="31" t="n"/>
      <c r="HI65" s="32" t="n"/>
      <c r="HJ65" s="31" t="n"/>
      <c r="HK65" s="106" t="n"/>
      <c r="HL65" s="31" t="n"/>
      <c r="HM65" s="32" t="n"/>
      <c r="HN65" s="31" t="n"/>
      <c r="HO65" s="106" t="n"/>
      <c r="HP65" s="31" t="n"/>
      <c r="HQ65" s="32" t="n"/>
      <c r="HR65" s="31" t="n"/>
      <c r="HS65" s="106" t="n"/>
      <c r="HT65" s="31" t="n"/>
      <c r="HU65" s="32" t="n"/>
      <c r="HV65" s="31" t="n"/>
      <c r="HW65" s="106" t="n"/>
      <c r="HX65" s="31" t="n"/>
      <c r="HY65" s="32" t="n"/>
      <c r="HZ65" s="31" t="n"/>
      <c r="IA65" s="113" t="n"/>
      <c r="IB65" s="197" t="n"/>
      <c r="IC65" s="192" t="n"/>
      <c r="ID65" s="193" t="n"/>
      <c r="IE65" s="113" t="n"/>
      <c r="IF65" s="193" t="n"/>
      <c r="IG65" s="192" t="n"/>
      <c r="IH65" s="193" t="n"/>
      <c r="II65" s="113" t="n"/>
      <c r="IJ65" s="197" t="n"/>
      <c r="IK65" s="192" t="n"/>
      <c r="IL65" s="193" t="n"/>
      <c r="IM65" s="113" t="n"/>
      <c r="IN65" s="193" t="n"/>
      <c r="IO65" s="192" t="n"/>
      <c r="IP65" s="193" t="n"/>
      <c r="IQ65" s="106" t="n"/>
      <c r="IR65" s="193" t="n"/>
      <c r="IS65" s="192" t="n"/>
      <c r="IT65" s="193" t="n"/>
      <c r="IU65" s="106" t="n"/>
      <c r="IV65" s="234" t="n"/>
      <c r="IW65" s="201" t="n"/>
      <c r="IX65" s="193" t="n"/>
      <c r="IY65" s="106" t="n"/>
      <c r="IZ65" s="165" t="n"/>
      <c r="JA65" s="385" t="n"/>
      <c r="JB65" s="31" t="n"/>
      <c r="JC65" s="384">
        <f>SUM(JC64:JC64)</f>
        <v/>
      </c>
      <c r="JD65" s="384">
        <f>SUM(JD64:JD64)</f>
        <v/>
      </c>
    </row>
    <row r="66">
      <c r="A66" s="115" t="n"/>
      <c r="B66" s="115" t="n"/>
      <c r="C66" s="115" t="n"/>
      <c r="D66" s="115" t="n"/>
      <c r="E66" s="116" t="n"/>
      <c r="F66" s="116" t="n"/>
      <c r="G66" s="117" t="n"/>
      <c r="H66" s="117" t="n"/>
      <c r="I66" s="119" t="n"/>
      <c r="J66" s="119" t="n"/>
      <c r="K66" s="119" t="n"/>
      <c r="L66" s="119" t="n"/>
      <c r="M66" s="119" t="n"/>
      <c r="N66" s="119" t="n"/>
      <c r="O66" s="120" t="n"/>
      <c r="P66" s="120" t="n"/>
      <c r="Q66" s="120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  <c r="AA66" s="121" t="n"/>
      <c r="AB66" s="121" t="n"/>
      <c r="AC66" s="121" t="n"/>
      <c r="AD66" s="121" t="n"/>
      <c r="AE66" s="121" t="n"/>
      <c r="AF66" s="121" t="n"/>
      <c r="AG66" s="121" t="n"/>
      <c r="AH66" s="121" t="n"/>
      <c r="AI66" s="121" t="n"/>
      <c r="AJ66" s="122" t="n"/>
      <c r="AK66" s="123" t="n"/>
      <c r="AL66" s="123" t="n"/>
      <c r="AM66" s="123" t="n"/>
      <c r="AN66" s="123" t="n"/>
      <c r="AO66" s="123" t="n"/>
      <c r="AP66" s="123" t="n"/>
      <c r="AQ66" s="123" t="n"/>
      <c r="AR66" s="124" t="n"/>
      <c r="AS66" s="123" t="n"/>
      <c r="AT66" s="123" t="n"/>
      <c r="AU66" s="123" t="n"/>
      <c r="AV66" s="123" t="n"/>
      <c r="AW66" s="123" t="n"/>
      <c r="AX66" s="123" t="n"/>
      <c r="AY66" s="123" t="n"/>
      <c r="AZ66" s="123" t="n"/>
      <c r="BA66" s="125" t="n"/>
      <c r="BB66" s="126" t="n"/>
      <c r="BC66" s="125" t="n"/>
      <c r="BD66" s="125" t="n"/>
      <c r="BE66" s="127" t="n"/>
      <c r="BF66" s="126" t="n"/>
      <c r="BG66" s="127" t="n"/>
      <c r="BH66" s="127" t="n"/>
      <c r="BI66" s="161" t="n"/>
      <c r="BJ66" s="126" t="n"/>
      <c r="BK66" s="161" t="n"/>
      <c r="BL66" s="161" t="n"/>
      <c r="BM66" s="129" t="n"/>
      <c r="BN66" s="121" t="n"/>
      <c r="BO66" s="121" t="n"/>
      <c r="BP66" s="121" t="n"/>
      <c r="BQ66" s="130" t="n"/>
      <c r="BR66" s="121" t="n"/>
      <c r="BS66" s="121" t="n"/>
      <c r="BT66" s="121" t="n"/>
      <c r="BU66" s="130" t="n"/>
      <c r="BV66" s="121" t="n"/>
      <c r="BW66" s="121" t="n"/>
      <c r="BX66" s="121" t="n"/>
      <c r="BY66" s="130" t="n"/>
      <c r="BZ66" s="121" t="n"/>
      <c r="CA66" s="121" t="n"/>
      <c r="CB66" s="121" t="n"/>
      <c r="CC66" s="130" t="n"/>
      <c r="CD66" s="121" t="n"/>
      <c r="CE66" s="121" t="n"/>
      <c r="CF66" s="121" t="n"/>
      <c r="CG66" s="130" t="n"/>
      <c r="CH66" s="122" t="n"/>
      <c r="CI66" s="123" t="n"/>
      <c r="CJ66" s="123" t="n"/>
      <c r="CK66" s="131" t="n"/>
      <c r="CL66" s="123" t="n"/>
      <c r="CM66" s="123" t="n"/>
      <c r="CN66" s="123" t="n"/>
      <c r="CO66" s="131" t="n"/>
      <c r="CP66" s="124" t="n"/>
      <c r="CQ66" s="123" t="n"/>
      <c r="CR66" s="123" t="n"/>
      <c r="CS66" s="131" t="n"/>
      <c r="CT66" s="123" t="n"/>
      <c r="CU66" s="123" t="n"/>
      <c r="CV66" s="123" t="n"/>
      <c r="CW66" s="131" t="n"/>
      <c r="CX66" s="123" t="n"/>
      <c r="CY66" s="125" t="n"/>
      <c r="CZ66" s="123" t="n"/>
      <c r="DA66" s="132" t="n"/>
      <c r="DB66" s="125" t="n"/>
      <c r="DC66" s="127" t="n"/>
      <c r="DD66" s="123" t="n"/>
      <c r="DE66" s="132" t="n"/>
      <c r="DF66" s="127" t="n"/>
      <c r="DG66" s="161" t="n"/>
      <c r="DH66" s="123" t="n"/>
      <c r="DI66" s="161" t="n"/>
      <c r="DJ66" s="161" t="n"/>
      <c r="DK66" s="129" t="n"/>
      <c r="DL66" s="121" t="n"/>
      <c r="DM66" s="121" t="n"/>
      <c r="DN66" s="121" t="n"/>
      <c r="DO66" s="130" t="n"/>
      <c r="DP66" s="121" t="n"/>
      <c r="DQ66" s="121" t="n"/>
      <c r="DR66" s="121" t="n"/>
      <c r="DS66" s="130" t="n"/>
      <c r="DT66" s="121" t="n"/>
      <c r="DU66" s="121" t="n"/>
      <c r="DV66" s="121" t="n"/>
      <c r="DW66" s="130" t="n"/>
      <c r="DX66" s="121" t="n"/>
      <c r="DY66" s="121" t="n"/>
      <c r="DZ66" s="121" t="n"/>
      <c r="EA66" s="130" t="n"/>
      <c r="EB66" s="121" t="n"/>
      <c r="EC66" s="121" t="n"/>
      <c r="ED66" s="121" t="n"/>
      <c r="EE66" s="130" t="n"/>
      <c r="EF66" s="122" t="n"/>
      <c r="EG66" s="123" t="n"/>
      <c r="EH66" s="123" t="n"/>
      <c r="EI66" s="131" t="n"/>
      <c r="EJ66" s="123" t="n"/>
      <c r="EK66" s="123" t="n"/>
      <c r="EL66" s="123" t="n"/>
      <c r="EM66" s="131" t="n"/>
      <c r="EN66" s="124" t="n"/>
      <c r="EO66" s="123" t="n"/>
      <c r="EP66" s="123" t="n"/>
      <c r="EQ66" s="131" t="n"/>
      <c r="ER66" s="123" t="n"/>
      <c r="ES66" s="123" t="n"/>
      <c r="ET66" s="123" t="n"/>
      <c r="EU66" s="131" t="n"/>
      <c r="EV66" s="123" t="n"/>
      <c r="EW66" s="125" t="n"/>
      <c r="EX66" s="123" t="n"/>
      <c r="EY66" s="132" t="n"/>
      <c r="EZ66" s="125" t="n"/>
      <c r="FA66" s="127" t="n"/>
      <c r="FB66" s="123" t="n"/>
      <c r="FC66" s="132" t="n"/>
      <c r="FD66" s="127" t="n"/>
      <c r="FE66" s="161" t="n"/>
      <c r="FF66" s="123" t="n"/>
      <c r="FG66" s="161" t="n"/>
      <c r="FH66" s="161" t="n"/>
      <c r="FI66" s="129" t="n"/>
      <c r="FJ66" s="121" t="n"/>
      <c r="FK66" s="121" t="n"/>
      <c r="FL66" s="121" t="n"/>
      <c r="FM66" s="130" t="n"/>
      <c r="FN66" s="121" t="n"/>
      <c r="FO66" s="121" t="n"/>
      <c r="FP66" s="121" t="n"/>
      <c r="FQ66" s="130" t="n"/>
      <c r="FR66" s="121" t="n"/>
      <c r="FS66" s="121" t="n"/>
      <c r="FT66" s="121" t="n"/>
      <c r="FU66" s="130" t="n"/>
      <c r="FV66" s="121" t="n"/>
      <c r="FW66" s="121" t="n"/>
      <c r="FX66" s="121" t="n"/>
      <c r="FY66" s="130" t="n"/>
      <c r="FZ66" s="121" t="n"/>
      <c r="GA66" s="121" t="n"/>
      <c r="GB66" s="121" t="n"/>
      <c r="GC66" s="130" t="n"/>
      <c r="GD66" s="122" t="n"/>
      <c r="GE66" s="123" t="n"/>
      <c r="GF66" s="123" t="n"/>
      <c r="GG66" s="131" t="n"/>
      <c r="GH66" s="123" t="n"/>
      <c r="GI66" s="123" t="n"/>
      <c r="GJ66" s="123" t="n"/>
      <c r="GK66" s="131" t="n"/>
      <c r="GL66" s="124" t="n"/>
      <c r="GM66" s="123" t="n"/>
      <c r="GN66" s="123" t="n"/>
      <c r="GO66" s="131" t="n"/>
      <c r="GP66" s="123" t="n"/>
      <c r="GQ66" s="123" t="n"/>
      <c r="GR66" s="123" t="n"/>
      <c r="GS66" s="131" t="n"/>
      <c r="GT66" s="123" t="n"/>
      <c r="GU66" s="125" t="n"/>
      <c r="GV66" s="123" t="n"/>
      <c r="GW66" s="132" t="n"/>
      <c r="GX66" s="125" t="n"/>
      <c r="GY66" s="127" t="n"/>
      <c r="GZ66" s="123" t="n"/>
      <c r="HA66" s="132" t="n"/>
      <c r="HB66" s="127" t="n"/>
      <c r="HC66" s="161" t="n"/>
      <c r="HD66" s="123" t="n"/>
      <c r="HE66" s="161" t="n"/>
      <c r="HF66" s="161" t="n"/>
      <c r="HG66" s="129" t="n"/>
      <c r="HH66" s="121" t="n"/>
      <c r="HI66" s="121" t="n"/>
      <c r="HJ66" s="121" t="n"/>
      <c r="HK66" s="130" t="n"/>
      <c r="HL66" s="121" t="n"/>
      <c r="HM66" s="121" t="n"/>
      <c r="HN66" s="121" t="n"/>
      <c r="HO66" s="130" t="n"/>
      <c r="HP66" s="121" t="n"/>
      <c r="HQ66" s="121" t="n"/>
      <c r="HR66" s="121" t="n"/>
      <c r="HS66" s="130" t="n"/>
      <c r="HT66" s="121" t="n"/>
      <c r="HU66" s="121" t="n"/>
      <c r="HV66" s="121" t="n"/>
      <c r="HW66" s="130" t="n"/>
      <c r="HX66" s="121" t="n"/>
      <c r="HY66" s="121" t="n"/>
      <c r="HZ66" s="121" t="n"/>
      <c r="IA66" s="130" t="n"/>
      <c r="IB66" s="122" t="n"/>
      <c r="IC66" s="123" t="n"/>
      <c r="ID66" s="123" t="n"/>
      <c r="IE66" s="131" t="n"/>
      <c r="IF66" s="123" t="n"/>
      <c r="IG66" s="123" t="n"/>
      <c r="IH66" s="123" t="n"/>
      <c r="II66" s="131" t="n"/>
      <c r="IJ66" s="124" t="n"/>
      <c r="IK66" s="123" t="n"/>
      <c r="IL66" s="123" t="n"/>
      <c r="IM66" s="131" t="n"/>
      <c r="IN66" s="123" t="n"/>
      <c r="IO66" s="123" t="n"/>
      <c r="IP66" s="123" t="n"/>
      <c r="IQ66" s="131" t="n"/>
      <c r="IR66" s="123" t="n"/>
      <c r="IS66" s="125" t="n"/>
      <c r="IT66" s="123" t="n"/>
      <c r="IU66" s="132" t="n"/>
      <c r="IV66" s="125" t="n"/>
      <c r="IW66" s="127" t="n"/>
      <c r="IX66" s="123" t="n"/>
      <c r="IY66" s="132" t="n"/>
      <c r="IZ66" s="127" t="n"/>
      <c r="JA66" s="161" t="n"/>
      <c r="JB66" s="123" t="n"/>
      <c r="JC66" s="161" t="n"/>
      <c r="JD66" s="161" t="n"/>
    </row>
    <row r="67" ht="14.7" customHeight="1">
      <c r="A67" s="312" t="inlineStr">
        <is>
          <t>БОНУМ ТРАСТ ООО</t>
        </is>
      </c>
      <c r="B67" s="314" t="inlineStr">
        <is>
          <t>отсрочка 30 дней</t>
        </is>
      </c>
      <c r="C67" s="316" t="inlineStr">
        <is>
          <t>ВБК Восток</t>
        </is>
      </c>
      <c r="D67" s="317" t="inlineStr">
        <is>
          <t>Александр Хорошевский</t>
        </is>
      </c>
      <c r="E67" s="25" t="n">
        <v>1</v>
      </c>
      <c r="F67" s="25" t="n">
        <v>1</v>
      </c>
      <c r="G67" s="26" t="n">
        <v>9522010010</v>
      </c>
      <c r="H67" s="27" t="inlineStr">
        <is>
          <t>Соединительная головка + маг. Фильтр</t>
        </is>
      </c>
      <c r="I67" s="28" t="n">
        <v>45.35</v>
      </c>
      <c r="J67" s="29" t="n">
        <v>45.35</v>
      </c>
      <c r="K67" s="297" t="n">
        <v>44.26</v>
      </c>
      <c r="L67" s="297" t="n">
        <v>44.26</v>
      </c>
      <c r="M67" s="29" t="n"/>
      <c r="N67" s="29" t="n"/>
      <c r="O67" s="30" t="n">
        <v>0</v>
      </c>
      <c r="P67" s="31" t="n">
        <v>0</v>
      </c>
      <c r="Q67" s="32" t="n">
        <v>0</v>
      </c>
      <c r="R67" s="31" t="n"/>
      <c r="S67" s="30" t="n">
        <v>0</v>
      </c>
      <c r="T67" s="31" t="n">
        <v>0</v>
      </c>
      <c r="U67" s="32" t="n">
        <v>0</v>
      </c>
      <c r="V67" s="33" t="n"/>
      <c r="W67" s="30" t="n">
        <v>0</v>
      </c>
      <c r="X67" s="31" t="n">
        <v>0</v>
      </c>
      <c r="Y67" s="32" t="n">
        <v>0</v>
      </c>
      <c r="Z67" s="34" t="n"/>
      <c r="AA67" s="30" t="n">
        <v>0</v>
      </c>
      <c r="AB67" s="31" t="n">
        <v>0</v>
      </c>
      <c r="AC67" s="32" t="n">
        <v>0</v>
      </c>
      <c r="AD67" s="36" t="n"/>
      <c r="AE67" s="30" t="n">
        <v>0</v>
      </c>
      <c r="AF67" s="31" t="n">
        <v>0</v>
      </c>
      <c r="AG67" s="32" t="n">
        <v>0</v>
      </c>
      <c r="AH67" s="36" t="n"/>
      <c r="AI67" s="30" t="n">
        <v>0</v>
      </c>
      <c r="AJ67" s="31" t="n">
        <v>0</v>
      </c>
      <c r="AK67" s="32" t="n">
        <v>0</v>
      </c>
      <c r="AL67" s="31" t="n"/>
      <c r="AM67" s="30" t="n">
        <v>0</v>
      </c>
      <c r="AN67" s="31" t="n">
        <v>0</v>
      </c>
      <c r="AO67" s="32" t="n">
        <v>0</v>
      </c>
      <c r="AP67" s="31" t="n"/>
      <c r="AQ67" s="30" t="n"/>
      <c r="AR67" s="31" t="n"/>
      <c r="AS67" s="32" t="n"/>
      <c r="AT67" s="31" t="n"/>
      <c r="AU67" s="30" t="n">
        <v>0</v>
      </c>
      <c r="AV67" s="37" t="n">
        <v>0</v>
      </c>
      <c r="AW67" s="32" t="n">
        <v>0</v>
      </c>
      <c r="AX67" s="31" t="n"/>
      <c r="AY67" s="30" t="n">
        <v>0</v>
      </c>
      <c r="AZ67" s="38" t="n">
        <v>0</v>
      </c>
      <c r="BA67" s="32" t="n">
        <v>0</v>
      </c>
      <c r="BB67" s="34" t="n"/>
      <c r="BC67" s="30" t="n">
        <v>0</v>
      </c>
      <c r="BD67" s="39" t="n">
        <v>40</v>
      </c>
      <c r="BE67" s="241" t="n">
        <v>40</v>
      </c>
      <c r="BF67" s="34" t="n"/>
      <c r="BG67" s="41" t="n">
        <v>0</v>
      </c>
      <c r="BH67" s="39" t="n">
        <v>40</v>
      </c>
      <c r="BI67" s="385" t="n">
        <v>50</v>
      </c>
      <c r="BJ67" s="34" t="n"/>
      <c r="BK67" s="381">
        <f>O67+S67+W67+AA67+AE67+AI67+AM67+AQ67+AU67+AY67+BC67+BG67</f>
        <v/>
      </c>
      <c r="BL67" s="381">
        <f>BK67*$I67</f>
        <v/>
      </c>
      <c r="BM67" s="41" t="n">
        <v>40</v>
      </c>
      <c r="BN67" s="47" t="n">
        <v>40</v>
      </c>
      <c r="BO67" s="32" t="n">
        <v>0</v>
      </c>
      <c r="BP67" s="31" t="n"/>
      <c r="BQ67" s="45" t="n">
        <v>40</v>
      </c>
      <c r="BR67" s="47" t="n">
        <v>0</v>
      </c>
      <c r="BS67" s="32" t="n">
        <v>0</v>
      </c>
      <c r="BT67" s="33" t="n"/>
      <c r="BU67" s="51" t="n">
        <v>40</v>
      </c>
      <c r="BV67" s="47" t="n">
        <v>40</v>
      </c>
      <c r="BW67" s="32" t="n">
        <v>0</v>
      </c>
      <c r="BX67" s="34" t="n"/>
      <c r="BY67" s="45" t="n">
        <v>40</v>
      </c>
      <c r="BZ67" s="47" t="n">
        <v>0</v>
      </c>
      <c r="CA67" s="32" t="n">
        <v>0</v>
      </c>
      <c r="CB67" s="36" t="n"/>
      <c r="CC67" s="45" t="n">
        <v>40</v>
      </c>
      <c r="CD67" s="47" t="n">
        <v>40</v>
      </c>
      <c r="CE67" s="44" t="n">
        <v>0</v>
      </c>
      <c r="CF67" s="36" t="n"/>
      <c r="CG67" s="45" t="n">
        <v>40</v>
      </c>
      <c r="CH67" s="242" t="n">
        <v>0</v>
      </c>
      <c r="CI67" s="44" t="n">
        <v>50</v>
      </c>
      <c r="CJ67" s="35" t="n"/>
      <c r="CK67" s="45" t="n">
        <v>40</v>
      </c>
      <c r="CL67" s="47" t="n">
        <v>40</v>
      </c>
      <c r="CM67" s="44" t="n">
        <v>0</v>
      </c>
      <c r="CN67" s="35" t="n"/>
      <c r="CO67" s="45" t="n">
        <v>40</v>
      </c>
      <c r="CP67" s="47" t="n">
        <v>40</v>
      </c>
      <c r="CQ67" s="44" t="n">
        <v>50</v>
      </c>
      <c r="CR67" s="35" t="n"/>
      <c r="CS67" s="45" t="n">
        <v>40</v>
      </c>
      <c r="CT67" s="47" t="n">
        <v>40</v>
      </c>
      <c r="CU67" s="44" t="n">
        <v>50</v>
      </c>
      <c r="CV67" s="35" t="n"/>
      <c r="CW67" s="51" t="n">
        <v>40</v>
      </c>
      <c r="CX67" s="47" t="n">
        <v>40</v>
      </c>
      <c r="CY67" s="44" t="n">
        <v>50</v>
      </c>
      <c r="CZ67" s="35" t="n"/>
      <c r="DA67" s="51" t="n">
        <v>40</v>
      </c>
      <c r="DB67" s="47" t="n">
        <v>40</v>
      </c>
      <c r="DC67" s="155" t="n">
        <v>70</v>
      </c>
      <c r="DD67" s="35" t="n"/>
      <c r="DE67" s="51" t="n">
        <v>40</v>
      </c>
      <c r="DF67" s="47" t="n">
        <v>40</v>
      </c>
      <c r="DG67" s="380" t="n">
        <v>100</v>
      </c>
      <c r="DH67" s="35" t="n"/>
      <c r="DI67" s="379">
        <f>BM67+BQ67+BU67+BY67+CC67+CG67+CK67+CO67+CS67+CW67+DA67+DE67</f>
        <v/>
      </c>
      <c r="DJ67" s="379">
        <f>DI67*$I67</f>
        <v/>
      </c>
      <c r="DK67" s="82" t="n">
        <v>40</v>
      </c>
      <c r="DL67" s="35" t="n">
        <v>100</v>
      </c>
      <c r="DM67" s="44" t="n">
        <v>100</v>
      </c>
      <c r="DN67" s="35" t="n"/>
      <c r="DO67" s="82" t="n">
        <v>40</v>
      </c>
      <c r="DP67" s="282" t="n">
        <v>0</v>
      </c>
      <c r="DQ67" s="44" t="n">
        <v>0</v>
      </c>
      <c r="DR67" s="35" t="n"/>
      <c r="DS67" s="82" t="n">
        <v>40</v>
      </c>
      <c r="DT67" s="303" t="n">
        <v>0</v>
      </c>
      <c r="DU67" s="44" t="n">
        <v>0</v>
      </c>
      <c r="DV67" s="35" t="n"/>
      <c r="DW67" s="82" t="n">
        <v>40</v>
      </c>
      <c r="DX67" s="281" t="n">
        <v>0</v>
      </c>
      <c r="DY67" s="44" t="n">
        <v>0</v>
      </c>
      <c r="DZ67" s="36" t="n"/>
      <c r="EA67" s="82" t="n">
        <v>40</v>
      </c>
      <c r="EB67" s="47" t="n">
        <v>50</v>
      </c>
      <c r="EC67" s="44" t="n">
        <v>0</v>
      </c>
      <c r="ED67" s="36" t="n"/>
      <c r="EE67" s="82" t="n">
        <v>40</v>
      </c>
      <c r="EF67" s="47" t="n">
        <v>50</v>
      </c>
      <c r="EG67" s="44" t="n">
        <v>0</v>
      </c>
      <c r="EH67" s="35" t="n"/>
      <c r="EI67" s="82" t="n">
        <v>40</v>
      </c>
      <c r="EJ67" s="35" t="n">
        <v>40</v>
      </c>
      <c r="EK67" s="44" t="n">
        <v>0</v>
      </c>
      <c r="EL67" s="35" t="n"/>
      <c r="EM67" s="82" t="n">
        <v>40</v>
      </c>
      <c r="EN67" s="35" t="n">
        <v>40</v>
      </c>
      <c r="EO67" s="44" t="n">
        <v>0</v>
      </c>
      <c r="EP67" s="35" t="n"/>
      <c r="EQ67" s="82" t="n">
        <v>40</v>
      </c>
      <c r="ER67" s="91" t="n">
        <v>40</v>
      </c>
      <c r="ES67" s="44" t="n">
        <v>0</v>
      </c>
      <c r="ET67" s="35" t="n"/>
      <c r="EU67" s="82" t="n">
        <v>40</v>
      </c>
      <c r="EV67" s="91" t="n">
        <v>40</v>
      </c>
      <c r="EW67" s="44" t="n">
        <v>0</v>
      </c>
      <c r="EX67" s="35" t="n"/>
      <c r="EY67" s="82" t="n">
        <v>40</v>
      </c>
      <c r="EZ67" s="53" t="n">
        <v>40</v>
      </c>
      <c r="FA67" s="288" t="n">
        <v>0</v>
      </c>
      <c r="FB67" s="35" t="n"/>
      <c r="FC67" s="82" t="n">
        <v>40</v>
      </c>
      <c r="FD67" s="92" t="n">
        <v>40</v>
      </c>
      <c r="FE67" s="380" t="n">
        <v>0</v>
      </c>
      <c r="FF67" s="35" t="n"/>
      <c r="FG67" s="379">
        <f>DK67+DO67+DS67+DW67+EA67+EE67+EI67+EM67+EQ67+EU67+EY67+FC67</f>
        <v/>
      </c>
      <c r="FH67" s="379">
        <f>FG67*$I67</f>
        <v/>
      </c>
      <c r="FI67" s="47" t="n">
        <v>40</v>
      </c>
      <c r="FJ67" s="47" t="n"/>
      <c r="FK67" s="44" t="n">
        <v>0</v>
      </c>
      <c r="FL67" s="35" t="n"/>
      <c r="FM67" s="51" t="n">
        <v>50</v>
      </c>
      <c r="FN67" s="47" t="n"/>
      <c r="FO67" s="44" t="n">
        <v>0</v>
      </c>
      <c r="FP67" s="35" t="n"/>
      <c r="FQ67" s="51" t="n">
        <v>50</v>
      </c>
      <c r="FR67" s="47" t="n"/>
      <c r="FS67" s="44" t="n">
        <v>0</v>
      </c>
      <c r="FT67" s="36" t="n"/>
      <c r="FU67" s="51" t="n">
        <v>50</v>
      </c>
      <c r="FV67" s="47" t="n"/>
      <c r="FW67" s="44" t="n">
        <v>0</v>
      </c>
      <c r="FX67" s="36" t="n"/>
      <c r="FY67" s="51" t="n">
        <v>50</v>
      </c>
      <c r="FZ67" s="47" t="n"/>
      <c r="GA67" s="44" t="n">
        <v>0</v>
      </c>
      <c r="GB67" s="36" t="n"/>
      <c r="GC67" s="51" t="n">
        <v>50</v>
      </c>
      <c r="GD67" s="47" t="n"/>
      <c r="GE67" s="44" t="n">
        <v>0</v>
      </c>
      <c r="GF67" s="35" t="n"/>
      <c r="GG67" s="51" t="n">
        <v>50</v>
      </c>
      <c r="GH67" s="47" t="n"/>
      <c r="GI67" s="44" t="n">
        <v>0</v>
      </c>
      <c r="GJ67" s="35" t="n"/>
      <c r="GK67" s="51" t="n">
        <v>80</v>
      </c>
      <c r="GL67" s="47" t="n"/>
      <c r="GM67" s="44" t="n">
        <v>0</v>
      </c>
      <c r="GN67" s="35" t="n"/>
      <c r="GO67" s="51" t="n">
        <v>80</v>
      </c>
      <c r="GP67" s="47" t="n"/>
      <c r="GQ67" s="44" t="n">
        <v>0</v>
      </c>
      <c r="GR67" s="35" t="n"/>
      <c r="GS67" s="51" t="n">
        <v>80</v>
      </c>
      <c r="GT67" s="47" t="n"/>
      <c r="GU67" s="44" t="n">
        <v>0</v>
      </c>
      <c r="GV67" s="35" t="n"/>
      <c r="GW67" s="51" t="n">
        <v>80</v>
      </c>
      <c r="GX67" s="47" t="n"/>
      <c r="GY67" s="49" t="n">
        <v>0</v>
      </c>
      <c r="GZ67" s="35" t="n"/>
      <c r="HA67" s="51" t="n">
        <v>80</v>
      </c>
      <c r="HB67" s="47" t="n"/>
      <c r="HC67" s="380" t="n">
        <v>0</v>
      </c>
      <c r="HD67" s="35" t="n"/>
      <c r="HE67" s="379">
        <f>FI67+FM67+FQ67+FU67+FY67+GC67+GG67+GK67+GO67+GS67+GW67+HA67</f>
        <v/>
      </c>
      <c r="HF67" s="379">
        <f>HE67*$I67</f>
        <v/>
      </c>
      <c r="HG67" s="51" t="n">
        <v>80</v>
      </c>
      <c r="HH67" s="47" t="n"/>
      <c r="HI67" s="44" t="n">
        <v>0</v>
      </c>
      <c r="HJ67" s="35" t="n"/>
      <c r="HK67" s="51" t="n">
        <v>80</v>
      </c>
      <c r="HL67" s="47" t="n"/>
      <c r="HM67" s="44" t="n">
        <v>0</v>
      </c>
      <c r="HN67" s="35" t="n"/>
      <c r="HO67" s="51" t="n">
        <v>80</v>
      </c>
      <c r="HP67" s="47" t="n"/>
      <c r="HQ67" s="44" t="n">
        <v>0</v>
      </c>
      <c r="HR67" s="36" t="n"/>
      <c r="HS67" s="51" t="n">
        <v>100</v>
      </c>
      <c r="HT67" s="47" t="n"/>
      <c r="HU67" s="44" t="n">
        <v>0</v>
      </c>
      <c r="HV67" s="36" t="n"/>
      <c r="HW67" s="51" t="n">
        <v>100</v>
      </c>
      <c r="HX67" s="47" t="n"/>
      <c r="HY67" s="44" t="n">
        <v>0</v>
      </c>
      <c r="HZ67" s="36" t="n"/>
      <c r="IA67" s="51" t="n">
        <v>100</v>
      </c>
      <c r="IB67" s="47" t="n"/>
      <c r="IC67" s="44" t="n">
        <v>0</v>
      </c>
      <c r="ID67" s="35" t="n"/>
      <c r="IE67" s="51" t="n">
        <v>100</v>
      </c>
      <c r="IF67" s="47" t="n"/>
      <c r="IG67" s="44" t="n">
        <v>0</v>
      </c>
      <c r="IH67" s="35" t="n"/>
      <c r="II67" s="51" t="n">
        <v>100</v>
      </c>
      <c r="IJ67" s="47" t="n"/>
      <c r="IK67" s="44" t="n">
        <v>0</v>
      </c>
      <c r="IL67" s="35" t="n"/>
      <c r="IM67" s="51" t="n">
        <v>100</v>
      </c>
      <c r="IN67" s="47" t="n"/>
      <c r="IO67" s="44" t="n">
        <v>0</v>
      </c>
      <c r="IP67" s="35" t="n"/>
      <c r="IQ67" s="51" t="n">
        <v>100</v>
      </c>
      <c r="IR67" s="47" t="n"/>
      <c r="IS67" s="44" t="n">
        <v>0</v>
      </c>
      <c r="IT67" s="35" t="n"/>
      <c r="IU67" s="51" t="n">
        <v>100</v>
      </c>
      <c r="IV67" s="47" t="n"/>
      <c r="IW67" s="49" t="n">
        <v>0</v>
      </c>
      <c r="IX67" s="35" t="n"/>
      <c r="IY67" s="51" t="n">
        <v>100</v>
      </c>
      <c r="IZ67" s="47" t="n"/>
      <c r="JA67" s="380" t="n">
        <v>0</v>
      </c>
      <c r="JB67" s="35" t="n"/>
      <c r="JC67" s="381">
        <f>HG67+HK67+HO67+HS67+HW67+IA67+IE67+II67+IM67+IQ67+IU67+IY67</f>
        <v/>
      </c>
      <c r="JD67" s="381">
        <f>JC67*$I67</f>
        <v/>
      </c>
    </row>
    <row r="68">
      <c r="A68" s="382" t="n"/>
      <c r="B68" s="382" t="n"/>
      <c r="C68" s="382" t="n"/>
      <c r="D68" s="382" t="n"/>
      <c r="E68" s="25" t="n">
        <v>2</v>
      </c>
      <c r="F68" s="25" t="n">
        <v>1</v>
      </c>
      <c r="G68" s="26" t="n">
        <v>9522010020</v>
      </c>
      <c r="H68" s="27" t="inlineStr">
        <is>
          <t>Соединительная головка + маг. Фильтр</t>
        </is>
      </c>
      <c r="I68" s="28" t="n">
        <v>45.35</v>
      </c>
      <c r="J68" s="29" t="n">
        <v>45.35</v>
      </c>
      <c r="K68" s="297" t="n">
        <v>44.26</v>
      </c>
      <c r="L68" s="297" t="n">
        <v>44.26</v>
      </c>
      <c r="M68" s="29" t="n"/>
      <c r="N68" s="29" t="n"/>
      <c r="O68" s="30" t="n">
        <v>0</v>
      </c>
      <c r="P68" s="31" t="n">
        <v>0</v>
      </c>
      <c r="Q68" s="32" t="n">
        <v>0</v>
      </c>
      <c r="R68" s="31" t="n"/>
      <c r="S68" s="30" t="n">
        <v>0</v>
      </c>
      <c r="T68" s="31" t="n">
        <v>0</v>
      </c>
      <c r="U68" s="32" t="n">
        <v>0</v>
      </c>
      <c r="V68" s="31" t="n"/>
      <c r="W68" s="30" t="n">
        <v>0</v>
      </c>
      <c r="X68" s="31" t="n">
        <v>0</v>
      </c>
      <c r="Y68" s="32" t="n">
        <v>0</v>
      </c>
      <c r="Z68" s="34" t="n"/>
      <c r="AA68" s="30" t="n">
        <v>0</v>
      </c>
      <c r="AB68" s="31" t="n">
        <v>0</v>
      </c>
      <c r="AC68" s="32" t="n">
        <v>0</v>
      </c>
      <c r="AD68" s="36" t="n"/>
      <c r="AE68" s="30" t="n">
        <v>0</v>
      </c>
      <c r="AF68" s="31" t="n">
        <v>0</v>
      </c>
      <c r="AG68" s="32" t="n">
        <v>0</v>
      </c>
      <c r="AH68" s="36" t="n"/>
      <c r="AI68" s="30" t="n">
        <v>0</v>
      </c>
      <c r="AJ68" s="31" t="n">
        <v>0</v>
      </c>
      <c r="AK68" s="32" t="n">
        <v>0</v>
      </c>
      <c r="AL68" s="31" t="n"/>
      <c r="AM68" s="30" t="n">
        <v>0</v>
      </c>
      <c r="AN68" s="31" t="n">
        <v>0</v>
      </c>
      <c r="AO68" s="32" t="n">
        <v>0</v>
      </c>
      <c r="AP68" s="31" t="n"/>
      <c r="AQ68" s="30" t="n">
        <v>0</v>
      </c>
      <c r="AR68" s="31" t="n">
        <v>0</v>
      </c>
      <c r="AS68" s="32" t="n">
        <v>0</v>
      </c>
      <c r="AT68" s="31" t="n"/>
      <c r="AU68" s="30" t="n">
        <v>0</v>
      </c>
      <c r="AV68" s="37" t="n">
        <v>0</v>
      </c>
      <c r="AW68" s="32" t="n">
        <v>0</v>
      </c>
      <c r="AX68" s="31" t="n"/>
      <c r="AY68" s="30" t="n">
        <v>0</v>
      </c>
      <c r="AZ68" s="38" t="n">
        <v>0</v>
      </c>
      <c r="BA68" s="32" t="n">
        <v>0</v>
      </c>
      <c r="BB68" s="34" t="n"/>
      <c r="BC68" s="30" t="n">
        <v>0</v>
      </c>
      <c r="BD68" s="39" t="n">
        <v>40</v>
      </c>
      <c r="BE68" s="40" t="n">
        <v>40</v>
      </c>
      <c r="BF68" s="34" t="n"/>
      <c r="BG68" s="41" t="n">
        <v>0</v>
      </c>
      <c r="BH68" s="39" t="n">
        <v>40</v>
      </c>
      <c r="BI68" s="385" t="n">
        <v>50</v>
      </c>
      <c r="BJ68" s="34" t="n"/>
      <c r="BK68" s="381">
        <f>O68+S68+W68+AA68+AE68+AI68+AM68+AQ68+AU68+AY68+BC68+BG68</f>
        <v/>
      </c>
      <c r="BL68" s="381">
        <f>BK68*$I68</f>
        <v/>
      </c>
      <c r="BM68" s="41" t="n">
        <v>40</v>
      </c>
      <c r="BN68" s="47" t="n">
        <v>40</v>
      </c>
      <c r="BO68" s="32" t="n">
        <v>0</v>
      </c>
      <c r="BP68" s="31" t="n"/>
      <c r="BQ68" s="45" t="n">
        <v>40</v>
      </c>
      <c r="BR68" s="47" t="n">
        <v>0</v>
      </c>
      <c r="BS68" s="32" t="n">
        <v>0</v>
      </c>
      <c r="BT68" s="31" t="n"/>
      <c r="BU68" s="45" t="n">
        <v>40</v>
      </c>
      <c r="BV68" s="47" t="n">
        <v>40</v>
      </c>
      <c r="BW68" s="32" t="n">
        <v>0</v>
      </c>
      <c r="BX68" s="34" t="n"/>
      <c r="BY68" s="45" t="n">
        <v>40</v>
      </c>
      <c r="BZ68" s="47" t="n">
        <v>0</v>
      </c>
      <c r="CA68" s="32" t="n">
        <v>0</v>
      </c>
      <c r="CB68" s="36" t="n"/>
      <c r="CC68" s="45" t="n">
        <v>40</v>
      </c>
      <c r="CD68" s="47" t="n">
        <v>40</v>
      </c>
      <c r="CE68" s="44" t="n">
        <v>0</v>
      </c>
      <c r="CF68" s="36" t="n"/>
      <c r="CG68" s="45" t="n">
        <v>40</v>
      </c>
      <c r="CH68" s="242" t="n">
        <v>0</v>
      </c>
      <c r="CI68" s="44" t="n">
        <v>50</v>
      </c>
      <c r="CJ68" s="35" t="n"/>
      <c r="CK68" s="45" t="n">
        <v>40</v>
      </c>
      <c r="CL68" s="47" t="n">
        <v>40</v>
      </c>
      <c r="CM68" s="44" t="n">
        <v>0</v>
      </c>
      <c r="CN68" s="35" t="n"/>
      <c r="CO68" s="45" t="n">
        <v>40</v>
      </c>
      <c r="CP68" s="47" t="n">
        <v>40</v>
      </c>
      <c r="CQ68" s="56" t="n">
        <v>50</v>
      </c>
      <c r="CR68" s="35" t="n"/>
      <c r="CS68" s="45" t="n">
        <v>40</v>
      </c>
      <c r="CT68" s="47" t="n">
        <v>40</v>
      </c>
      <c r="CU68" s="44" t="n">
        <v>50</v>
      </c>
      <c r="CV68" s="35" t="n"/>
      <c r="CW68" s="51" t="n">
        <v>40</v>
      </c>
      <c r="CX68" s="47" t="n">
        <v>40</v>
      </c>
      <c r="CY68" s="56" t="n">
        <v>50</v>
      </c>
      <c r="CZ68" s="35" t="n"/>
      <c r="DA68" s="51" t="n">
        <v>40</v>
      </c>
      <c r="DB68" s="47" t="n">
        <v>40</v>
      </c>
      <c r="DC68" s="155" t="n">
        <v>70</v>
      </c>
      <c r="DD68" s="35" t="n"/>
      <c r="DE68" s="51" t="n">
        <v>40</v>
      </c>
      <c r="DF68" s="47" t="n">
        <v>40</v>
      </c>
      <c r="DG68" s="380" t="n">
        <v>100</v>
      </c>
      <c r="DH68" s="35" t="n"/>
      <c r="DI68" s="379">
        <f>BM68+BQ68+BU68+BY68+CC68+CG68+CK68+CO68+CS68+CW68+DA68+DE68</f>
        <v/>
      </c>
      <c r="DJ68" s="379">
        <f>DI68*$I68</f>
        <v/>
      </c>
      <c r="DK68" s="82" t="n">
        <v>40</v>
      </c>
      <c r="DL68" s="35" t="n">
        <v>100</v>
      </c>
      <c r="DM68" s="44" t="n">
        <v>100</v>
      </c>
      <c r="DN68" s="35" t="n"/>
      <c r="DO68" s="82" t="n">
        <v>40</v>
      </c>
      <c r="DP68" s="282" t="n">
        <v>0</v>
      </c>
      <c r="DQ68" s="44" t="n">
        <v>0</v>
      </c>
      <c r="DR68" s="35" t="n"/>
      <c r="DS68" s="82" t="n">
        <v>40</v>
      </c>
      <c r="DT68" s="303" t="n">
        <v>0</v>
      </c>
      <c r="DU68" s="44" t="n">
        <v>0</v>
      </c>
      <c r="DV68" s="35" t="n"/>
      <c r="DW68" s="82" t="n">
        <v>40</v>
      </c>
      <c r="DX68" s="281" t="n">
        <v>0</v>
      </c>
      <c r="DY68" s="44" t="n">
        <v>0</v>
      </c>
      <c r="DZ68" s="36" t="n"/>
      <c r="EA68" s="82" t="n">
        <v>40</v>
      </c>
      <c r="EB68" s="47" t="n">
        <v>50</v>
      </c>
      <c r="EC68" s="44" t="n">
        <v>0</v>
      </c>
      <c r="ED68" s="36" t="n"/>
      <c r="EE68" s="82" t="n">
        <v>40</v>
      </c>
      <c r="EF68" s="47" t="n">
        <v>50</v>
      </c>
      <c r="EG68" s="44" t="n">
        <v>0</v>
      </c>
      <c r="EH68" s="35" t="n"/>
      <c r="EI68" s="82" t="n">
        <v>40</v>
      </c>
      <c r="EJ68" s="35" t="n">
        <v>40</v>
      </c>
      <c r="EK68" s="44" t="n">
        <v>0</v>
      </c>
      <c r="EL68" s="35" t="n"/>
      <c r="EM68" s="82" t="n">
        <v>40</v>
      </c>
      <c r="EN68" s="35" t="n">
        <v>40</v>
      </c>
      <c r="EO68" s="44" t="n">
        <v>0</v>
      </c>
      <c r="EP68" s="35" t="n"/>
      <c r="EQ68" s="82" t="n">
        <v>40</v>
      </c>
      <c r="ER68" s="91" t="n">
        <v>40</v>
      </c>
      <c r="ES68" s="44" t="n">
        <v>0</v>
      </c>
      <c r="ET68" s="35" t="n"/>
      <c r="EU68" s="82" t="n">
        <v>40</v>
      </c>
      <c r="EV68" s="91" t="n">
        <v>40</v>
      </c>
      <c r="EW68" s="44" t="n">
        <v>0</v>
      </c>
      <c r="EX68" s="35" t="n"/>
      <c r="EY68" s="82" t="n">
        <v>40</v>
      </c>
      <c r="EZ68" s="53" t="n">
        <v>40</v>
      </c>
      <c r="FA68" s="288" t="n">
        <v>0</v>
      </c>
      <c r="FB68" s="35" t="n"/>
      <c r="FC68" s="82" t="n">
        <v>40</v>
      </c>
      <c r="FD68" s="92" t="n">
        <v>40</v>
      </c>
      <c r="FE68" s="380" t="n">
        <v>0</v>
      </c>
      <c r="FF68" s="35" t="n"/>
      <c r="FG68" s="379">
        <f>DK68+DO68+DS68+DW68+EA68+EE68+EI68+EM68+EQ68+EU68+EY68+FC68</f>
        <v/>
      </c>
      <c r="FH68" s="379">
        <f>FG68*$I68</f>
        <v/>
      </c>
      <c r="FI68" s="47" t="n">
        <v>40</v>
      </c>
      <c r="FJ68" s="47" t="n"/>
      <c r="FK68" s="44" t="n">
        <v>0</v>
      </c>
      <c r="FL68" s="35" t="n"/>
      <c r="FM68" s="51" t="n">
        <v>50</v>
      </c>
      <c r="FN68" s="47" t="n"/>
      <c r="FO68" s="44" t="n">
        <v>0</v>
      </c>
      <c r="FP68" s="35" t="n"/>
      <c r="FQ68" s="51" t="n">
        <v>50</v>
      </c>
      <c r="FR68" s="47" t="n"/>
      <c r="FS68" s="44" t="n">
        <v>0</v>
      </c>
      <c r="FT68" s="36" t="n"/>
      <c r="FU68" s="51" t="n">
        <v>50</v>
      </c>
      <c r="FV68" s="47" t="n"/>
      <c r="FW68" s="44" t="n">
        <v>0</v>
      </c>
      <c r="FX68" s="36" t="n"/>
      <c r="FY68" s="51" t="n">
        <v>50</v>
      </c>
      <c r="FZ68" s="47" t="n"/>
      <c r="GA68" s="44" t="n">
        <v>0</v>
      </c>
      <c r="GB68" s="36" t="n"/>
      <c r="GC68" s="51" t="n">
        <v>50</v>
      </c>
      <c r="GD68" s="47" t="n"/>
      <c r="GE68" s="44" t="n">
        <v>0</v>
      </c>
      <c r="GF68" s="35" t="n"/>
      <c r="GG68" s="51" t="n">
        <v>50</v>
      </c>
      <c r="GH68" s="47" t="n"/>
      <c r="GI68" s="44" t="n">
        <v>0</v>
      </c>
      <c r="GJ68" s="35" t="n"/>
      <c r="GK68" s="51" t="n">
        <v>80</v>
      </c>
      <c r="GL68" s="47" t="n"/>
      <c r="GM68" s="44" t="n">
        <v>0</v>
      </c>
      <c r="GN68" s="35" t="n"/>
      <c r="GO68" s="51" t="n">
        <v>80</v>
      </c>
      <c r="GP68" s="47" t="n"/>
      <c r="GQ68" s="44" t="n">
        <v>0</v>
      </c>
      <c r="GR68" s="35" t="n"/>
      <c r="GS68" s="51" t="n">
        <v>80</v>
      </c>
      <c r="GT68" s="47" t="n"/>
      <c r="GU68" s="44" t="n">
        <v>0</v>
      </c>
      <c r="GV68" s="35" t="n"/>
      <c r="GW68" s="51" t="n">
        <v>80</v>
      </c>
      <c r="GX68" s="47" t="n"/>
      <c r="GY68" s="49" t="n">
        <v>0</v>
      </c>
      <c r="GZ68" s="35" t="n"/>
      <c r="HA68" s="51" t="n">
        <v>80</v>
      </c>
      <c r="HB68" s="47" t="n"/>
      <c r="HC68" s="380" t="n">
        <v>0</v>
      </c>
      <c r="HD68" s="35" t="n"/>
      <c r="HE68" s="379">
        <f>FI68+FM68+FQ68+FU68+FY68+GC68+GG68+GK68+GO68+GS68+GW68+HA68</f>
        <v/>
      </c>
      <c r="HF68" s="379">
        <f>HE68*$I68</f>
        <v/>
      </c>
      <c r="HG68" s="51" t="n">
        <v>80</v>
      </c>
      <c r="HH68" s="47" t="n"/>
      <c r="HI68" s="44" t="n">
        <v>0</v>
      </c>
      <c r="HJ68" s="35" t="n"/>
      <c r="HK68" s="51" t="n">
        <v>80</v>
      </c>
      <c r="HL68" s="47" t="n"/>
      <c r="HM68" s="44" t="n">
        <v>0</v>
      </c>
      <c r="HN68" s="35" t="n"/>
      <c r="HO68" s="51" t="n">
        <v>80</v>
      </c>
      <c r="HP68" s="47" t="n"/>
      <c r="HQ68" s="44" t="n">
        <v>0</v>
      </c>
      <c r="HR68" s="36" t="n"/>
      <c r="HS68" s="51" t="n">
        <v>100</v>
      </c>
      <c r="HT68" s="47" t="n"/>
      <c r="HU68" s="44" t="n">
        <v>0</v>
      </c>
      <c r="HV68" s="36" t="n"/>
      <c r="HW68" s="51" t="n">
        <v>100</v>
      </c>
      <c r="HX68" s="47" t="n"/>
      <c r="HY68" s="44" t="n">
        <v>0</v>
      </c>
      <c r="HZ68" s="36" t="n"/>
      <c r="IA68" s="51" t="n">
        <v>100</v>
      </c>
      <c r="IB68" s="47" t="n"/>
      <c r="IC68" s="44" t="n">
        <v>0</v>
      </c>
      <c r="ID68" s="35" t="n"/>
      <c r="IE68" s="51" t="n">
        <v>100</v>
      </c>
      <c r="IF68" s="47" t="n"/>
      <c r="IG68" s="44" t="n">
        <v>0</v>
      </c>
      <c r="IH68" s="35" t="n"/>
      <c r="II68" s="51" t="n">
        <v>100</v>
      </c>
      <c r="IJ68" s="47" t="n"/>
      <c r="IK68" s="44" t="n">
        <v>0</v>
      </c>
      <c r="IL68" s="35" t="n"/>
      <c r="IM68" s="51" t="n">
        <v>100</v>
      </c>
      <c r="IN68" s="47" t="n"/>
      <c r="IO68" s="44" t="n">
        <v>0</v>
      </c>
      <c r="IP68" s="35" t="n"/>
      <c r="IQ68" s="51" t="n">
        <v>100</v>
      </c>
      <c r="IR68" s="47" t="n"/>
      <c r="IS68" s="44" t="n">
        <v>0</v>
      </c>
      <c r="IT68" s="35" t="n"/>
      <c r="IU68" s="51" t="n">
        <v>100</v>
      </c>
      <c r="IV68" s="47" t="n"/>
      <c r="IW68" s="49" t="n">
        <v>0</v>
      </c>
      <c r="IX68" s="35" t="n"/>
      <c r="IY68" s="51" t="n">
        <v>100</v>
      </c>
      <c r="IZ68" s="47" t="n"/>
      <c r="JA68" s="380" t="n">
        <v>0</v>
      </c>
      <c r="JB68" s="35" t="n"/>
      <c r="JC68" s="381">
        <f>HG68+HK68+HO68+HS68+HW68+IA68+IE68+II68+IM68+IQ68+IU68+IY68</f>
        <v/>
      </c>
      <c r="JD68" s="381">
        <f>JC68*$I68</f>
        <v/>
      </c>
    </row>
    <row r="69">
      <c r="A69" s="382" t="n"/>
      <c r="B69" s="382" t="n"/>
      <c r="C69" s="382" t="n"/>
      <c r="D69" s="382" t="n"/>
      <c r="E69" s="25" t="n">
        <v>3</v>
      </c>
      <c r="F69" s="25" t="n">
        <v>1</v>
      </c>
      <c r="G69" s="26" t="n">
        <v>9710029000</v>
      </c>
      <c r="H69" s="27" t="inlineStr">
        <is>
          <t>PREV</t>
        </is>
      </c>
      <c r="I69" s="28" t="n">
        <v>354.67</v>
      </c>
      <c r="J69" s="29" t="n">
        <v>354.67</v>
      </c>
      <c r="K69" s="297" t="n">
        <v>349.18</v>
      </c>
      <c r="L69" s="297" t="n">
        <v>349.18</v>
      </c>
      <c r="M69" s="29" t="n"/>
      <c r="N69" s="29" t="n"/>
      <c r="O69" s="30" t="n">
        <v>0</v>
      </c>
      <c r="P69" s="31" t="n">
        <v>0</v>
      </c>
      <c r="Q69" s="32" t="n">
        <v>0</v>
      </c>
      <c r="R69" s="31" t="n"/>
      <c r="S69" s="30" t="n">
        <v>0</v>
      </c>
      <c r="T69" s="31" t="n">
        <v>0</v>
      </c>
      <c r="U69" s="32" t="n">
        <v>0</v>
      </c>
      <c r="V69" s="31" t="n"/>
      <c r="W69" s="30" t="n">
        <v>0</v>
      </c>
      <c r="X69" s="31" t="n">
        <v>0</v>
      </c>
      <c r="Y69" s="32" t="n">
        <v>0</v>
      </c>
      <c r="Z69" s="34" t="n"/>
      <c r="AA69" s="30" t="n">
        <v>0</v>
      </c>
      <c r="AB69" s="31" t="n">
        <v>0</v>
      </c>
      <c r="AC69" s="32" t="n">
        <v>0</v>
      </c>
      <c r="AD69" s="36" t="n"/>
      <c r="AE69" s="30" t="n">
        <v>0</v>
      </c>
      <c r="AF69" s="31" t="n">
        <v>0</v>
      </c>
      <c r="AG69" s="32" t="n">
        <v>0</v>
      </c>
      <c r="AH69" s="36" t="n"/>
      <c r="AI69" s="30" t="n">
        <v>0</v>
      </c>
      <c r="AJ69" s="31" t="n">
        <v>0</v>
      </c>
      <c r="AK69" s="32" t="n">
        <v>0</v>
      </c>
      <c r="AL69" s="31" t="n"/>
      <c r="AM69" s="30" t="n">
        <v>0</v>
      </c>
      <c r="AN69" s="31" t="n">
        <v>0</v>
      </c>
      <c r="AO69" s="32" t="n">
        <v>0</v>
      </c>
      <c r="AP69" s="31" t="n"/>
      <c r="AQ69" s="30" t="n">
        <v>0</v>
      </c>
      <c r="AR69" s="31" t="n">
        <v>0</v>
      </c>
      <c r="AS69" s="32" t="n">
        <v>0</v>
      </c>
      <c r="AT69" s="31" t="n"/>
      <c r="AU69" s="30" t="n">
        <v>0</v>
      </c>
      <c r="AV69" s="37" t="n">
        <v>0</v>
      </c>
      <c r="AW69" s="32" t="n">
        <v>0</v>
      </c>
      <c r="AX69" s="31" t="n"/>
      <c r="AY69" s="30" t="n">
        <v>0</v>
      </c>
      <c r="AZ69" s="38" t="n">
        <v>0</v>
      </c>
      <c r="BA69" s="32" t="n">
        <v>0</v>
      </c>
      <c r="BB69" s="34" t="n"/>
      <c r="BC69" s="30" t="n">
        <v>0</v>
      </c>
      <c r="BD69" s="39" t="n">
        <v>40</v>
      </c>
      <c r="BE69" s="241" t="n">
        <v>40</v>
      </c>
      <c r="BF69" s="34" t="n"/>
      <c r="BG69" s="41" t="n">
        <v>0</v>
      </c>
      <c r="BH69" s="39" t="n">
        <v>40</v>
      </c>
      <c r="BI69" s="385" t="n">
        <v>50</v>
      </c>
      <c r="BJ69" s="34" t="n"/>
      <c r="BK69" s="381">
        <f>O69+S69+W69+AA69+AE69+AI69+AM69+AQ69+AU69+AY69+BC69+BG69</f>
        <v/>
      </c>
      <c r="BL69" s="381">
        <f>BK69*$I69</f>
        <v/>
      </c>
      <c r="BM69" s="41" t="n">
        <v>40</v>
      </c>
      <c r="BN69" s="47" t="n">
        <v>40</v>
      </c>
      <c r="BO69" s="32" t="n">
        <v>0</v>
      </c>
      <c r="BP69" s="31" t="n"/>
      <c r="BQ69" s="45" t="n">
        <v>40</v>
      </c>
      <c r="BR69" s="47" t="n">
        <v>0</v>
      </c>
      <c r="BS69" s="32" t="n">
        <v>0</v>
      </c>
      <c r="BT69" s="31" t="n"/>
      <c r="BU69" s="45" t="n">
        <v>40</v>
      </c>
      <c r="BV69" s="47" t="n">
        <v>40</v>
      </c>
      <c r="BW69" s="32" t="n">
        <v>0</v>
      </c>
      <c r="BX69" s="34" t="n"/>
      <c r="BY69" s="45" t="n">
        <v>40</v>
      </c>
      <c r="BZ69" s="47" t="n">
        <v>0</v>
      </c>
      <c r="CA69" s="32" t="n">
        <v>0</v>
      </c>
      <c r="CB69" s="36" t="n"/>
      <c r="CC69" s="45" t="n">
        <v>40</v>
      </c>
      <c r="CD69" s="47" t="n">
        <v>40</v>
      </c>
      <c r="CE69" s="44" t="n">
        <v>0</v>
      </c>
      <c r="CF69" s="36" t="n"/>
      <c r="CG69" s="45" t="n">
        <v>40</v>
      </c>
      <c r="CH69" s="242" t="n">
        <v>0</v>
      </c>
      <c r="CI69" s="44" t="n">
        <v>50</v>
      </c>
      <c r="CJ69" s="35" t="n"/>
      <c r="CK69" s="45" t="n">
        <v>40</v>
      </c>
      <c r="CL69" s="47" t="n">
        <v>40</v>
      </c>
      <c r="CM69" s="44" t="n">
        <v>0</v>
      </c>
      <c r="CN69" s="35" t="n"/>
      <c r="CO69" s="45" t="n">
        <v>40</v>
      </c>
      <c r="CP69" s="47" t="n">
        <v>40</v>
      </c>
      <c r="CQ69" s="44" t="n">
        <v>50</v>
      </c>
      <c r="CR69" s="35" t="n"/>
      <c r="CS69" s="45" t="n">
        <v>40</v>
      </c>
      <c r="CT69" s="47" t="n">
        <v>40</v>
      </c>
      <c r="CU69" s="44" t="n">
        <v>50</v>
      </c>
      <c r="CV69" s="35" t="n"/>
      <c r="CW69" s="51" t="n">
        <v>40</v>
      </c>
      <c r="CX69" s="47" t="n">
        <v>40</v>
      </c>
      <c r="CY69" s="44" t="n">
        <v>50</v>
      </c>
      <c r="CZ69" s="35" t="n"/>
      <c r="DA69" s="51" t="n">
        <v>40</v>
      </c>
      <c r="DB69" s="47" t="n">
        <v>40</v>
      </c>
      <c r="DC69" s="155" t="n">
        <v>70</v>
      </c>
      <c r="DD69" s="35" t="n"/>
      <c r="DE69" s="51" t="n">
        <v>40</v>
      </c>
      <c r="DF69" s="47" t="n">
        <v>40</v>
      </c>
      <c r="DG69" s="380" t="n">
        <v>100</v>
      </c>
      <c r="DH69" s="35" t="n"/>
      <c r="DI69" s="379">
        <f>BM69+BQ69+BU69+BY69+CC69+CG69+CK69+CO69+CS69+CW69+DA69+DE69</f>
        <v/>
      </c>
      <c r="DJ69" s="379">
        <f>DI69*$I69</f>
        <v/>
      </c>
      <c r="DK69" s="82" t="n">
        <v>40</v>
      </c>
      <c r="DL69" s="35" t="n">
        <v>100</v>
      </c>
      <c r="DM69" s="44" t="n">
        <v>100</v>
      </c>
      <c r="DN69" s="35" t="n"/>
      <c r="DO69" s="82" t="n">
        <v>40</v>
      </c>
      <c r="DP69" s="282" t="n">
        <v>0</v>
      </c>
      <c r="DQ69" s="44" t="n">
        <v>0</v>
      </c>
      <c r="DR69" s="35" t="n"/>
      <c r="DS69" s="82" t="n">
        <v>40</v>
      </c>
      <c r="DT69" s="303" t="n">
        <v>0</v>
      </c>
      <c r="DU69" s="44" t="n">
        <v>0</v>
      </c>
      <c r="DV69" s="35" t="n"/>
      <c r="DW69" s="82" t="n">
        <v>40</v>
      </c>
      <c r="DX69" s="281" t="n">
        <v>0</v>
      </c>
      <c r="DY69" s="44" t="n">
        <v>0</v>
      </c>
      <c r="DZ69" s="36" t="n"/>
      <c r="EA69" s="82" t="n">
        <v>40</v>
      </c>
      <c r="EB69" s="47" t="n">
        <v>50</v>
      </c>
      <c r="EC69" s="44" t="n">
        <v>0</v>
      </c>
      <c r="ED69" s="36" t="n"/>
      <c r="EE69" s="82" t="n">
        <v>40</v>
      </c>
      <c r="EF69" s="47" t="n">
        <v>50</v>
      </c>
      <c r="EG69" s="44" t="n">
        <v>0</v>
      </c>
      <c r="EH69" s="35" t="n"/>
      <c r="EI69" s="82" t="n">
        <v>40</v>
      </c>
      <c r="EJ69" s="35" t="n">
        <v>40</v>
      </c>
      <c r="EK69" s="44" t="n">
        <v>0</v>
      </c>
      <c r="EL69" s="35" t="n"/>
      <c r="EM69" s="82" t="n">
        <v>40</v>
      </c>
      <c r="EN69" s="35" t="n">
        <v>40</v>
      </c>
      <c r="EO69" s="44" t="n">
        <v>0</v>
      </c>
      <c r="EP69" s="35" t="n"/>
      <c r="EQ69" s="82" t="n">
        <v>40</v>
      </c>
      <c r="ER69" s="91" t="n">
        <v>40</v>
      </c>
      <c r="ES69" s="44" t="n">
        <v>0</v>
      </c>
      <c r="ET69" s="35" t="n"/>
      <c r="EU69" s="82" t="n">
        <v>40</v>
      </c>
      <c r="EV69" s="91" t="n">
        <v>40</v>
      </c>
      <c r="EW69" s="44" t="n">
        <v>0</v>
      </c>
      <c r="EX69" s="35" t="n"/>
      <c r="EY69" s="82" t="n">
        <v>40</v>
      </c>
      <c r="EZ69" s="53" t="n">
        <v>40</v>
      </c>
      <c r="FA69" s="288" t="n">
        <v>0</v>
      </c>
      <c r="FB69" s="35" t="n"/>
      <c r="FC69" s="82" t="n">
        <v>40</v>
      </c>
      <c r="FD69" s="92" t="n">
        <v>40</v>
      </c>
      <c r="FE69" s="380" t="n">
        <v>0</v>
      </c>
      <c r="FF69" s="35" t="n"/>
      <c r="FG69" s="379">
        <f>DK69+DO69+DS69+DW69+EA69+EE69+EI69+EM69+EQ69+EU69+EY69+FC69</f>
        <v/>
      </c>
      <c r="FH69" s="379">
        <f>FG69*$I69</f>
        <v/>
      </c>
      <c r="FI69" s="47" t="n">
        <v>40</v>
      </c>
      <c r="FJ69" s="47" t="n"/>
      <c r="FK69" s="44" t="n">
        <v>0</v>
      </c>
      <c r="FL69" s="35" t="n"/>
      <c r="FM69" s="51" t="n">
        <v>50</v>
      </c>
      <c r="FN69" s="47" t="n"/>
      <c r="FO69" s="44" t="n">
        <v>0</v>
      </c>
      <c r="FP69" s="35" t="n"/>
      <c r="FQ69" s="51" t="n">
        <v>50</v>
      </c>
      <c r="FR69" s="47" t="n"/>
      <c r="FS69" s="44" t="n">
        <v>0</v>
      </c>
      <c r="FT69" s="36" t="n"/>
      <c r="FU69" s="51" t="n">
        <v>50</v>
      </c>
      <c r="FV69" s="47" t="n"/>
      <c r="FW69" s="44" t="n">
        <v>0</v>
      </c>
      <c r="FX69" s="36" t="n"/>
      <c r="FY69" s="51" t="n">
        <v>50</v>
      </c>
      <c r="FZ69" s="47" t="n"/>
      <c r="GA69" s="44" t="n">
        <v>0</v>
      </c>
      <c r="GB69" s="36" t="n"/>
      <c r="GC69" s="51" t="n">
        <v>50</v>
      </c>
      <c r="GD69" s="47" t="n"/>
      <c r="GE69" s="44" t="n">
        <v>0</v>
      </c>
      <c r="GF69" s="35" t="n"/>
      <c r="GG69" s="51" t="n">
        <v>50</v>
      </c>
      <c r="GH69" s="47" t="n"/>
      <c r="GI69" s="44" t="n">
        <v>0</v>
      </c>
      <c r="GJ69" s="35" t="n"/>
      <c r="GK69" s="51" t="n">
        <v>80</v>
      </c>
      <c r="GL69" s="47" t="n"/>
      <c r="GM69" s="44" t="n">
        <v>0</v>
      </c>
      <c r="GN69" s="35" t="n"/>
      <c r="GO69" s="51" t="n">
        <v>80</v>
      </c>
      <c r="GP69" s="47" t="n"/>
      <c r="GQ69" s="44" t="n">
        <v>0</v>
      </c>
      <c r="GR69" s="35" t="n"/>
      <c r="GS69" s="51" t="n">
        <v>80</v>
      </c>
      <c r="GT69" s="47" t="n"/>
      <c r="GU69" s="44" t="n">
        <v>0</v>
      </c>
      <c r="GV69" s="35" t="n"/>
      <c r="GW69" s="51" t="n">
        <v>80</v>
      </c>
      <c r="GX69" s="47" t="n"/>
      <c r="GY69" s="49" t="n">
        <v>0</v>
      </c>
      <c r="GZ69" s="35" t="n"/>
      <c r="HA69" s="51" t="n">
        <v>80</v>
      </c>
      <c r="HB69" s="47" t="n"/>
      <c r="HC69" s="380" t="n">
        <v>0</v>
      </c>
      <c r="HD69" s="35" t="n"/>
      <c r="HE69" s="379">
        <f>FI69+FM69+FQ69+FU69+FY69+GC69+GG69+GK69+GO69+GS69+GW69+HA69</f>
        <v/>
      </c>
      <c r="HF69" s="379">
        <f>HE69*$I69</f>
        <v/>
      </c>
      <c r="HG69" s="51" t="n">
        <v>80</v>
      </c>
      <c r="HH69" s="47" t="n"/>
      <c r="HI69" s="44" t="n">
        <v>0</v>
      </c>
      <c r="HJ69" s="35" t="n"/>
      <c r="HK69" s="51" t="n">
        <v>80</v>
      </c>
      <c r="HL69" s="47" t="n"/>
      <c r="HM69" s="44" t="n">
        <v>0</v>
      </c>
      <c r="HN69" s="35" t="n"/>
      <c r="HO69" s="51" t="n">
        <v>80</v>
      </c>
      <c r="HP69" s="47" t="n"/>
      <c r="HQ69" s="44" t="n">
        <v>0</v>
      </c>
      <c r="HR69" s="36" t="n"/>
      <c r="HS69" s="51" t="n">
        <v>100</v>
      </c>
      <c r="HT69" s="47" t="n"/>
      <c r="HU69" s="44" t="n">
        <v>0</v>
      </c>
      <c r="HV69" s="36" t="n"/>
      <c r="HW69" s="51" t="n">
        <v>100</v>
      </c>
      <c r="HX69" s="47" t="n"/>
      <c r="HY69" s="44" t="n">
        <v>0</v>
      </c>
      <c r="HZ69" s="36" t="n"/>
      <c r="IA69" s="51" t="n">
        <v>100</v>
      </c>
      <c r="IB69" s="47" t="n"/>
      <c r="IC69" s="44" t="n">
        <v>0</v>
      </c>
      <c r="ID69" s="35" t="n"/>
      <c r="IE69" s="51" t="n">
        <v>100</v>
      </c>
      <c r="IF69" s="47" t="n"/>
      <c r="IG69" s="44" t="n">
        <v>0</v>
      </c>
      <c r="IH69" s="35" t="n"/>
      <c r="II69" s="51" t="n">
        <v>100</v>
      </c>
      <c r="IJ69" s="47" t="n"/>
      <c r="IK69" s="44" t="n">
        <v>0</v>
      </c>
      <c r="IL69" s="35" t="n"/>
      <c r="IM69" s="51" t="n">
        <v>100</v>
      </c>
      <c r="IN69" s="47" t="n"/>
      <c r="IO69" s="44" t="n">
        <v>0</v>
      </c>
      <c r="IP69" s="35" t="n"/>
      <c r="IQ69" s="51" t="n">
        <v>100</v>
      </c>
      <c r="IR69" s="47" t="n"/>
      <c r="IS69" s="44" t="n">
        <v>0</v>
      </c>
      <c r="IT69" s="35" t="n"/>
      <c r="IU69" s="51" t="n">
        <v>100</v>
      </c>
      <c r="IV69" s="47" t="n"/>
      <c r="IW69" s="49" t="n">
        <v>0</v>
      </c>
      <c r="IX69" s="35" t="n"/>
      <c r="IY69" s="51" t="n">
        <v>100</v>
      </c>
      <c r="IZ69" s="47" t="n"/>
      <c r="JA69" s="380" t="n">
        <v>0</v>
      </c>
      <c r="JB69" s="35" t="n"/>
      <c r="JC69" s="381">
        <f>HG69+HK69+HO69+HS69+HW69+IA69+IE69+II69+IM69+IQ69+IU69+IY69</f>
        <v/>
      </c>
      <c r="JD69" s="381">
        <f>JC69*$I69</f>
        <v/>
      </c>
    </row>
    <row r="70">
      <c r="A70" s="382" t="n"/>
      <c r="B70" s="382" t="n"/>
      <c r="C70" s="382" t="n"/>
      <c r="D70" s="382" t="n"/>
      <c r="E70" s="25" t="n">
        <v>4</v>
      </c>
      <c r="F70" s="25" t="n">
        <v>1</v>
      </c>
      <c r="G70" s="26" t="n">
        <v>4801020640</v>
      </c>
      <c r="H70" s="27" t="inlineStr">
        <is>
          <t xml:space="preserve">Блок TEBS-E Premium + PEM </t>
        </is>
      </c>
      <c r="I70" s="28" t="n">
        <v>3408.56</v>
      </c>
      <c r="J70" s="57" t="n">
        <v>3613.55</v>
      </c>
      <c r="K70" s="297" t="n">
        <v>4057.89</v>
      </c>
      <c r="L70" s="297" t="n">
        <v>4057.89</v>
      </c>
      <c r="M70" s="57" t="n"/>
      <c r="N70" s="57" t="n"/>
      <c r="O70" s="30" t="n">
        <v>0</v>
      </c>
      <c r="P70" s="31" t="n">
        <v>0</v>
      </c>
      <c r="Q70" s="32" t="n">
        <v>0</v>
      </c>
      <c r="R70" s="31" t="n"/>
      <c r="S70" s="30" t="n">
        <v>0</v>
      </c>
      <c r="T70" s="31" t="n">
        <v>0</v>
      </c>
      <c r="U70" s="32" t="n">
        <v>0</v>
      </c>
      <c r="V70" s="31" t="n"/>
      <c r="W70" s="30" t="n">
        <v>0</v>
      </c>
      <c r="X70" s="31" t="n">
        <v>0</v>
      </c>
      <c r="Y70" s="32" t="n">
        <v>0</v>
      </c>
      <c r="Z70" s="34" t="n"/>
      <c r="AA70" s="30" t="n">
        <v>0</v>
      </c>
      <c r="AB70" s="31" t="n">
        <v>0</v>
      </c>
      <c r="AC70" s="32" t="n">
        <v>0</v>
      </c>
      <c r="AD70" s="36" t="n"/>
      <c r="AE70" s="30" t="n">
        <v>0</v>
      </c>
      <c r="AF70" s="31" t="n">
        <v>0</v>
      </c>
      <c r="AG70" s="32" t="n">
        <v>0</v>
      </c>
      <c r="AH70" s="36" t="n"/>
      <c r="AI70" s="30" t="n">
        <v>0</v>
      </c>
      <c r="AJ70" s="31" t="n">
        <v>0</v>
      </c>
      <c r="AK70" s="32" t="n">
        <v>0</v>
      </c>
      <c r="AL70" s="31" t="n"/>
      <c r="AM70" s="30" t="n">
        <v>0</v>
      </c>
      <c r="AN70" s="31" t="n">
        <v>0</v>
      </c>
      <c r="AO70" s="32" t="n">
        <v>0</v>
      </c>
      <c r="AP70" s="31" t="n"/>
      <c r="AQ70" s="30" t="n">
        <v>0</v>
      </c>
      <c r="AR70" s="31" t="n">
        <v>0</v>
      </c>
      <c r="AS70" s="32" t="n">
        <v>0</v>
      </c>
      <c r="AT70" s="31" t="n"/>
      <c r="AU70" s="30" t="n">
        <v>0</v>
      </c>
      <c r="AV70" s="37" t="n">
        <v>0</v>
      </c>
      <c r="AW70" s="32" t="n">
        <v>0</v>
      </c>
      <c r="AX70" s="31" t="n"/>
      <c r="AY70" s="30" t="n">
        <v>0</v>
      </c>
      <c r="AZ70" s="38" t="n">
        <v>0</v>
      </c>
      <c r="BA70" s="32" t="n">
        <v>0</v>
      </c>
      <c r="BB70" s="34" t="n"/>
      <c r="BC70" s="30" t="n">
        <v>0</v>
      </c>
      <c r="BD70" s="39" t="n">
        <v>40</v>
      </c>
      <c r="BE70" s="40" t="n">
        <v>40</v>
      </c>
      <c r="BF70" s="34" t="n"/>
      <c r="BG70" s="41" t="n">
        <v>0</v>
      </c>
      <c r="BH70" s="39" t="n">
        <v>40</v>
      </c>
      <c r="BI70" s="385" t="n">
        <v>50</v>
      </c>
      <c r="BJ70" s="34" t="n"/>
      <c r="BK70" s="381">
        <f>O70+S70+W70+AA70+AE70+AI70+AM70+AQ70+AU70+AY70+BC70+BG70</f>
        <v/>
      </c>
      <c r="BL70" s="381">
        <f>BK70*$I70</f>
        <v/>
      </c>
      <c r="BM70" s="41" t="n">
        <v>40</v>
      </c>
      <c r="BN70" s="47" t="n">
        <v>40</v>
      </c>
      <c r="BO70" s="32" t="n">
        <v>0</v>
      </c>
      <c r="BP70" s="31" t="n"/>
      <c r="BQ70" s="45" t="n">
        <v>40</v>
      </c>
      <c r="BR70" s="47" t="n">
        <v>0</v>
      </c>
      <c r="BS70" s="32" t="n">
        <v>0</v>
      </c>
      <c r="BT70" s="31" t="n"/>
      <c r="BU70" s="45" t="n">
        <v>40</v>
      </c>
      <c r="BV70" s="47" t="n">
        <v>40</v>
      </c>
      <c r="BW70" s="32" t="n">
        <v>0</v>
      </c>
      <c r="BX70" s="34" t="n"/>
      <c r="BY70" s="45" t="n">
        <v>40</v>
      </c>
      <c r="BZ70" s="47" t="n">
        <v>0</v>
      </c>
      <c r="CA70" s="32" t="n">
        <v>0</v>
      </c>
      <c r="CB70" s="36" t="n"/>
      <c r="CC70" s="45" t="n">
        <v>40</v>
      </c>
      <c r="CD70" s="47" t="n">
        <v>40</v>
      </c>
      <c r="CE70" s="44" t="n">
        <v>0</v>
      </c>
      <c r="CF70" s="36" t="n"/>
      <c r="CG70" s="45" t="n">
        <v>40</v>
      </c>
      <c r="CH70" s="242" t="n">
        <v>0</v>
      </c>
      <c r="CI70" s="44" t="n">
        <v>50</v>
      </c>
      <c r="CJ70" s="35" t="n"/>
      <c r="CK70" s="45" t="n">
        <v>40</v>
      </c>
      <c r="CL70" s="47" t="n">
        <v>40</v>
      </c>
      <c r="CM70" s="44" t="n">
        <v>0</v>
      </c>
      <c r="CN70" s="35" t="n"/>
      <c r="CO70" s="45" t="n">
        <v>40</v>
      </c>
      <c r="CP70" s="47" t="n">
        <v>40</v>
      </c>
      <c r="CQ70" s="56" t="n">
        <v>50</v>
      </c>
      <c r="CR70" s="35" t="n"/>
      <c r="CS70" s="45" t="n">
        <v>40</v>
      </c>
      <c r="CT70" s="47" t="n">
        <v>40</v>
      </c>
      <c r="CU70" s="44" t="n">
        <v>50</v>
      </c>
      <c r="CV70" s="35" t="n"/>
      <c r="CW70" s="51" t="n">
        <v>40</v>
      </c>
      <c r="CX70" s="47" t="n">
        <v>40</v>
      </c>
      <c r="CY70" s="56" t="n">
        <v>50</v>
      </c>
      <c r="CZ70" s="35" t="n"/>
      <c r="DA70" s="51" t="n">
        <v>40</v>
      </c>
      <c r="DB70" s="47" t="n">
        <v>40</v>
      </c>
      <c r="DC70" s="155" t="n">
        <v>70</v>
      </c>
      <c r="DD70" s="35" t="n"/>
      <c r="DE70" s="51" t="n">
        <v>40</v>
      </c>
      <c r="DF70" s="47" t="n">
        <v>40</v>
      </c>
      <c r="DG70" s="380" t="n">
        <v>100</v>
      </c>
      <c r="DH70" s="35" t="n"/>
      <c r="DI70" s="379">
        <f>BM70+BQ70+BU70+BY70+CC70+CG70+CK70+CO70+CS70+CW70+DA70+DE70</f>
        <v/>
      </c>
      <c r="DJ70" s="379">
        <f>DI70*$I70</f>
        <v/>
      </c>
      <c r="DK70" s="82" t="n">
        <v>40</v>
      </c>
      <c r="DL70" s="35" t="n">
        <v>100</v>
      </c>
      <c r="DM70" s="44" t="n">
        <v>100</v>
      </c>
      <c r="DN70" s="35" t="n"/>
      <c r="DO70" s="82" t="n">
        <v>40</v>
      </c>
      <c r="DP70" s="282" t="n">
        <v>0</v>
      </c>
      <c r="DQ70" s="44" t="n">
        <v>0</v>
      </c>
      <c r="DR70" s="35" t="n"/>
      <c r="DS70" s="82" t="n">
        <v>40</v>
      </c>
      <c r="DT70" s="303" t="n">
        <v>0</v>
      </c>
      <c r="DU70" s="44" t="n">
        <v>0</v>
      </c>
      <c r="DV70" s="35" t="n"/>
      <c r="DW70" s="82" t="n">
        <v>40</v>
      </c>
      <c r="DX70" s="281" t="n">
        <v>0</v>
      </c>
      <c r="DY70" s="44" t="n">
        <v>0</v>
      </c>
      <c r="DZ70" s="36" t="n"/>
      <c r="EA70" s="82" t="n">
        <v>40</v>
      </c>
      <c r="EB70" s="47" t="n">
        <v>50</v>
      </c>
      <c r="EC70" s="44" t="n">
        <v>0</v>
      </c>
      <c r="ED70" s="36" t="n"/>
      <c r="EE70" s="82" t="n">
        <v>40</v>
      </c>
      <c r="EF70" s="47" t="n">
        <v>50</v>
      </c>
      <c r="EG70" s="44" t="n">
        <v>0</v>
      </c>
      <c r="EH70" s="35" t="n"/>
      <c r="EI70" s="82" t="n">
        <v>40</v>
      </c>
      <c r="EJ70" s="35" t="n">
        <v>40</v>
      </c>
      <c r="EK70" s="44" t="n">
        <v>0</v>
      </c>
      <c r="EL70" s="35" t="n"/>
      <c r="EM70" s="82" t="n">
        <v>40</v>
      </c>
      <c r="EN70" s="35" t="n">
        <v>40</v>
      </c>
      <c r="EO70" s="44" t="n">
        <v>0</v>
      </c>
      <c r="EP70" s="35" t="n"/>
      <c r="EQ70" s="82" t="n">
        <v>40</v>
      </c>
      <c r="ER70" s="91" t="n">
        <v>40</v>
      </c>
      <c r="ES70" s="44" t="n">
        <v>0</v>
      </c>
      <c r="ET70" s="35" t="n"/>
      <c r="EU70" s="82" t="n">
        <v>40</v>
      </c>
      <c r="EV70" s="91" t="n">
        <v>40</v>
      </c>
      <c r="EW70" s="44" t="n">
        <v>0</v>
      </c>
      <c r="EX70" s="35" t="n"/>
      <c r="EY70" s="82" t="n">
        <v>40</v>
      </c>
      <c r="EZ70" s="53" t="n">
        <v>40</v>
      </c>
      <c r="FA70" s="288" t="n">
        <v>0</v>
      </c>
      <c r="FB70" s="35" t="n"/>
      <c r="FC70" s="82" t="n">
        <v>40</v>
      </c>
      <c r="FD70" s="92" t="n">
        <v>40</v>
      </c>
      <c r="FE70" s="380" t="n">
        <v>0</v>
      </c>
      <c r="FF70" s="35" t="n"/>
      <c r="FG70" s="379">
        <f>DK70+DO70+DS70+DW70+EA70+EE70+EI70+EM70+EQ70+EU70+EY70+FC70</f>
        <v/>
      </c>
      <c r="FH70" s="379">
        <f>FG70*$I70</f>
        <v/>
      </c>
      <c r="FI70" s="47" t="n">
        <v>40</v>
      </c>
      <c r="FJ70" s="47" t="n"/>
      <c r="FK70" s="44" t="n">
        <v>0</v>
      </c>
      <c r="FL70" s="35" t="n"/>
      <c r="FM70" s="51" t="n">
        <v>50</v>
      </c>
      <c r="FN70" s="47" t="n"/>
      <c r="FO70" s="44" t="n">
        <v>0</v>
      </c>
      <c r="FP70" s="35" t="n"/>
      <c r="FQ70" s="51" t="n">
        <v>50</v>
      </c>
      <c r="FR70" s="47" t="n"/>
      <c r="FS70" s="44" t="n">
        <v>0</v>
      </c>
      <c r="FT70" s="36" t="n"/>
      <c r="FU70" s="51" t="n">
        <v>50</v>
      </c>
      <c r="FV70" s="47" t="n"/>
      <c r="FW70" s="44" t="n">
        <v>0</v>
      </c>
      <c r="FX70" s="36" t="n"/>
      <c r="FY70" s="51" t="n">
        <v>50</v>
      </c>
      <c r="FZ70" s="47" t="n"/>
      <c r="GA70" s="44" t="n">
        <v>0</v>
      </c>
      <c r="GB70" s="36" t="n"/>
      <c r="GC70" s="51" t="n">
        <v>50</v>
      </c>
      <c r="GD70" s="47" t="n"/>
      <c r="GE70" s="44" t="n">
        <v>0</v>
      </c>
      <c r="GF70" s="35" t="n"/>
      <c r="GG70" s="51" t="n">
        <v>50</v>
      </c>
      <c r="GH70" s="47" t="n"/>
      <c r="GI70" s="44" t="n">
        <v>0</v>
      </c>
      <c r="GJ70" s="35" t="n"/>
      <c r="GK70" s="51" t="n">
        <v>80</v>
      </c>
      <c r="GL70" s="47" t="n"/>
      <c r="GM70" s="44" t="n">
        <v>0</v>
      </c>
      <c r="GN70" s="35" t="n"/>
      <c r="GO70" s="51" t="n">
        <v>80</v>
      </c>
      <c r="GP70" s="47" t="n"/>
      <c r="GQ70" s="44" t="n">
        <v>0</v>
      </c>
      <c r="GR70" s="35" t="n"/>
      <c r="GS70" s="51" t="n">
        <v>80</v>
      </c>
      <c r="GT70" s="47" t="n"/>
      <c r="GU70" s="44" t="n">
        <v>0</v>
      </c>
      <c r="GV70" s="35" t="n"/>
      <c r="GW70" s="51" t="n">
        <v>80</v>
      </c>
      <c r="GX70" s="47" t="n"/>
      <c r="GY70" s="49" t="n">
        <v>0</v>
      </c>
      <c r="GZ70" s="35" t="n"/>
      <c r="HA70" s="51" t="n">
        <v>80</v>
      </c>
      <c r="HB70" s="47" t="n"/>
      <c r="HC70" s="380" t="n">
        <v>0</v>
      </c>
      <c r="HD70" s="35" t="n"/>
      <c r="HE70" s="379">
        <f>FI70+FM70+FQ70+FU70+FY70+GC70+GG70+GK70+GO70+GS70+GW70+HA70</f>
        <v/>
      </c>
      <c r="HF70" s="379">
        <f>HE70*$I70</f>
        <v/>
      </c>
      <c r="HG70" s="51" t="n">
        <v>80</v>
      </c>
      <c r="HH70" s="47" t="n"/>
      <c r="HI70" s="44" t="n">
        <v>0</v>
      </c>
      <c r="HJ70" s="35" t="n"/>
      <c r="HK70" s="51" t="n">
        <v>80</v>
      </c>
      <c r="HL70" s="47" t="n"/>
      <c r="HM70" s="44" t="n">
        <v>0</v>
      </c>
      <c r="HN70" s="35" t="n"/>
      <c r="HO70" s="51" t="n">
        <v>80</v>
      </c>
      <c r="HP70" s="47" t="n"/>
      <c r="HQ70" s="44" t="n">
        <v>0</v>
      </c>
      <c r="HR70" s="36" t="n"/>
      <c r="HS70" s="51" t="n">
        <v>100</v>
      </c>
      <c r="HT70" s="47" t="n"/>
      <c r="HU70" s="44" t="n">
        <v>0</v>
      </c>
      <c r="HV70" s="36" t="n"/>
      <c r="HW70" s="51" t="n">
        <v>100</v>
      </c>
      <c r="HX70" s="47" t="n"/>
      <c r="HY70" s="44" t="n">
        <v>0</v>
      </c>
      <c r="HZ70" s="36" t="n"/>
      <c r="IA70" s="51" t="n">
        <v>100</v>
      </c>
      <c r="IB70" s="47" t="n"/>
      <c r="IC70" s="44" t="n">
        <v>0</v>
      </c>
      <c r="ID70" s="35" t="n"/>
      <c r="IE70" s="51" t="n">
        <v>100</v>
      </c>
      <c r="IF70" s="47" t="n"/>
      <c r="IG70" s="44" t="n">
        <v>0</v>
      </c>
      <c r="IH70" s="35" t="n"/>
      <c r="II70" s="51" t="n">
        <v>100</v>
      </c>
      <c r="IJ70" s="47" t="n"/>
      <c r="IK70" s="44" t="n">
        <v>0</v>
      </c>
      <c r="IL70" s="35" t="n"/>
      <c r="IM70" s="51" t="n">
        <v>100</v>
      </c>
      <c r="IN70" s="47" t="n"/>
      <c r="IO70" s="44" t="n">
        <v>0</v>
      </c>
      <c r="IP70" s="35" t="n"/>
      <c r="IQ70" s="51" t="n">
        <v>100</v>
      </c>
      <c r="IR70" s="47" t="n"/>
      <c r="IS70" s="44" t="n">
        <v>0</v>
      </c>
      <c r="IT70" s="35" t="n"/>
      <c r="IU70" s="51" t="n">
        <v>100</v>
      </c>
      <c r="IV70" s="47" t="n"/>
      <c r="IW70" s="49" t="n">
        <v>0</v>
      </c>
      <c r="IX70" s="35" t="n"/>
      <c r="IY70" s="51" t="n">
        <v>100</v>
      </c>
      <c r="IZ70" s="47" t="n"/>
      <c r="JA70" s="380" t="n">
        <v>0</v>
      </c>
      <c r="JB70" s="35" t="n"/>
      <c r="JC70" s="381">
        <f>HG70+HK70+HO70+HS70+HW70+IA70+IE70+II70+IM70+IQ70+IU70+IY70</f>
        <v/>
      </c>
      <c r="JD70" s="381">
        <f>JC70*$I70</f>
        <v/>
      </c>
    </row>
    <row r="71">
      <c r="A71" s="382" t="n"/>
      <c r="B71" s="382" t="n"/>
      <c r="C71" s="382" t="n"/>
      <c r="D71" s="382" t="n"/>
      <c r="E71" s="25" t="n">
        <v>5</v>
      </c>
      <c r="F71" s="25" t="n">
        <v>1</v>
      </c>
      <c r="G71" s="26" t="n">
        <v>4491731200</v>
      </c>
      <c r="H71" s="27" t="inlineStr">
        <is>
          <t>Кабель питания для п/п 12 м</t>
        </is>
      </c>
      <c r="I71" s="28" t="n">
        <v>639.55</v>
      </c>
      <c r="J71" s="29" t="n">
        <v>639.55</v>
      </c>
      <c r="K71" s="297" t="n">
        <v>656.17</v>
      </c>
      <c r="L71" s="297" t="n">
        <v>656.17</v>
      </c>
      <c r="M71" s="29" t="n"/>
      <c r="N71" s="29" t="n"/>
      <c r="O71" s="30" t="n">
        <v>0</v>
      </c>
      <c r="P71" s="31" t="n">
        <v>0</v>
      </c>
      <c r="Q71" s="32" t="n">
        <v>0</v>
      </c>
      <c r="R71" s="31" t="n"/>
      <c r="S71" s="30" t="n">
        <v>0</v>
      </c>
      <c r="T71" s="31" t="n">
        <v>0</v>
      </c>
      <c r="U71" s="32" t="n">
        <v>0</v>
      </c>
      <c r="V71" s="31" t="n"/>
      <c r="W71" s="30" t="n">
        <v>0</v>
      </c>
      <c r="X71" s="31" t="n">
        <v>0</v>
      </c>
      <c r="Y71" s="32" t="n">
        <v>0</v>
      </c>
      <c r="Z71" s="34" t="n"/>
      <c r="AA71" s="30" t="n">
        <v>0</v>
      </c>
      <c r="AB71" s="31" t="n">
        <v>0</v>
      </c>
      <c r="AC71" s="32" t="n">
        <v>0</v>
      </c>
      <c r="AD71" s="36" t="n"/>
      <c r="AE71" s="30" t="n">
        <v>0</v>
      </c>
      <c r="AF71" s="31" t="n">
        <v>0</v>
      </c>
      <c r="AG71" s="32" t="n">
        <v>0</v>
      </c>
      <c r="AH71" s="36" t="n"/>
      <c r="AI71" s="30" t="n">
        <v>0</v>
      </c>
      <c r="AJ71" s="31" t="n">
        <v>0</v>
      </c>
      <c r="AK71" s="32" t="n">
        <v>0</v>
      </c>
      <c r="AL71" s="31" t="n"/>
      <c r="AM71" s="30" t="n">
        <v>0</v>
      </c>
      <c r="AN71" s="31" t="n">
        <v>0</v>
      </c>
      <c r="AO71" s="32" t="n">
        <v>0</v>
      </c>
      <c r="AP71" s="31" t="n"/>
      <c r="AQ71" s="30" t="n">
        <v>0</v>
      </c>
      <c r="AR71" s="31" t="n">
        <v>0</v>
      </c>
      <c r="AS71" s="32" t="n">
        <v>0</v>
      </c>
      <c r="AT71" s="31" t="n"/>
      <c r="AU71" s="30" t="n">
        <v>0</v>
      </c>
      <c r="AV71" s="37" t="n">
        <v>0</v>
      </c>
      <c r="AW71" s="32" t="n">
        <v>0</v>
      </c>
      <c r="AX71" s="31" t="n"/>
      <c r="AY71" s="30" t="n">
        <v>0</v>
      </c>
      <c r="AZ71" s="38" t="n">
        <v>0</v>
      </c>
      <c r="BA71" s="32" t="n">
        <v>0</v>
      </c>
      <c r="BB71" s="34" t="n"/>
      <c r="BC71" s="30" t="n">
        <v>0</v>
      </c>
      <c r="BD71" s="39" t="n">
        <v>40</v>
      </c>
      <c r="BE71" s="241" t="n">
        <v>40</v>
      </c>
      <c r="BF71" s="34" t="n"/>
      <c r="BG71" s="41" t="n">
        <v>0</v>
      </c>
      <c r="BH71" s="39" t="n">
        <v>40</v>
      </c>
      <c r="BI71" s="385" t="n">
        <v>50</v>
      </c>
      <c r="BJ71" s="34" t="n"/>
      <c r="BK71" s="381">
        <f>O71+S71+W71+AA71+AE71+AI71+AM71+AQ71+AU71+AY71+BC71+BG71</f>
        <v/>
      </c>
      <c r="BL71" s="381">
        <f>BK71*$I71</f>
        <v/>
      </c>
      <c r="BM71" s="41" t="n">
        <v>40</v>
      </c>
      <c r="BN71" s="47" t="n">
        <v>40</v>
      </c>
      <c r="BO71" s="32" t="n">
        <v>0</v>
      </c>
      <c r="BP71" s="31" t="n"/>
      <c r="BQ71" s="45" t="n">
        <v>40</v>
      </c>
      <c r="BR71" s="47" t="n">
        <v>0</v>
      </c>
      <c r="BS71" s="32" t="n">
        <v>0</v>
      </c>
      <c r="BT71" s="31" t="n"/>
      <c r="BU71" s="45" t="n">
        <v>40</v>
      </c>
      <c r="BV71" s="47" t="n">
        <v>40</v>
      </c>
      <c r="BW71" s="32" t="n">
        <v>0</v>
      </c>
      <c r="BX71" s="34" t="n"/>
      <c r="BY71" s="45" t="n">
        <v>40</v>
      </c>
      <c r="BZ71" s="47" t="n">
        <v>0</v>
      </c>
      <c r="CA71" s="32" t="n">
        <v>0</v>
      </c>
      <c r="CB71" s="36" t="n"/>
      <c r="CC71" s="45" t="n">
        <v>40</v>
      </c>
      <c r="CD71" s="47" t="n">
        <v>40</v>
      </c>
      <c r="CE71" s="44" t="n">
        <v>0</v>
      </c>
      <c r="CF71" s="36" t="n"/>
      <c r="CG71" s="45" t="n">
        <v>40</v>
      </c>
      <c r="CH71" s="242" t="n">
        <v>0</v>
      </c>
      <c r="CI71" s="44" t="n">
        <v>50</v>
      </c>
      <c r="CJ71" s="35" t="n"/>
      <c r="CK71" s="45" t="n">
        <v>40</v>
      </c>
      <c r="CL71" s="47" t="n">
        <v>40</v>
      </c>
      <c r="CM71" s="44" t="n">
        <v>0</v>
      </c>
      <c r="CN71" s="35" t="n"/>
      <c r="CO71" s="45" t="n">
        <v>40</v>
      </c>
      <c r="CP71" s="47" t="n">
        <v>40</v>
      </c>
      <c r="CQ71" s="44" t="n">
        <v>50</v>
      </c>
      <c r="CR71" s="35" t="n"/>
      <c r="CS71" s="45" t="n">
        <v>40</v>
      </c>
      <c r="CT71" s="47" t="n">
        <v>40</v>
      </c>
      <c r="CU71" s="44" t="n">
        <v>50</v>
      </c>
      <c r="CV71" s="35" t="n"/>
      <c r="CW71" s="51" t="n">
        <v>40</v>
      </c>
      <c r="CX71" s="47" t="n">
        <v>40</v>
      </c>
      <c r="CY71" s="44" t="n">
        <v>50</v>
      </c>
      <c r="CZ71" s="35" t="n"/>
      <c r="DA71" s="51" t="n">
        <v>40</v>
      </c>
      <c r="DB71" s="47" t="n">
        <v>40</v>
      </c>
      <c r="DC71" s="155" t="n">
        <v>70</v>
      </c>
      <c r="DD71" s="35" t="n"/>
      <c r="DE71" s="51" t="n">
        <v>40</v>
      </c>
      <c r="DF71" s="47" t="n">
        <v>40</v>
      </c>
      <c r="DG71" s="380" t="n">
        <v>100</v>
      </c>
      <c r="DH71" s="35" t="n"/>
      <c r="DI71" s="379">
        <f>BM71+BQ71+BU71+BY71+CC71+CG71+CK71+CO71+CS71+CW71+DA71+DE71</f>
        <v/>
      </c>
      <c r="DJ71" s="379">
        <f>DI71*$I71</f>
        <v/>
      </c>
      <c r="DK71" s="82" t="n">
        <v>40</v>
      </c>
      <c r="DL71" s="35" t="n">
        <v>100</v>
      </c>
      <c r="DM71" s="44" t="n">
        <v>100</v>
      </c>
      <c r="DN71" s="35" t="n"/>
      <c r="DO71" s="82" t="n">
        <v>40</v>
      </c>
      <c r="DP71" s="282" t="n">
        <v>0</v>
      </c>
      <c r="DQ71" s="44" t="n">
        <v>0</v>
      </c>
      <c r="DR71" s="35" t="n"/>
      <c r="DS71" s="82" t="n">
        <v>40</v>
      </c>
      <c r="DT71" s="303" t="n">
        <v>0</v>
      </c>
      <c r="DU71" s="44" t="n">
        <v>0</v>
      </c>
      <c r="DV71" s="35" t="n"/>
      <c r="DW71" s="82" t="n">
        <v>40</v>
      </c>
      <c r="DX71" s="281" t="n">
        <v>0</v>
      </c>
      <c r="DY71" s="44" t="n">
        <v>0</v>
      </c>
      <c r="DZ71" s="36" t="n"/>
      <c r="EA71" s="82" t="n">
        <v>40</v>
      </c>
      <c r="EB71" s="47" t="n">
        <v>50</v>
      </c>
      <c r="EC71" s="44" t="n">
        <v>0</v>
      </c>
      <c r="ED71" s="36" t="n"/>
      <c r="EE71" s="82" t="n">
        <v>40</v>
      </c>
      <c r="EF71" s="47" t="n">
        <v>50</v>
      </c>
      <c r="EG71" s="44" t="n">
        <v>0</v>
      </c>
      <c r="EH71" s="35" t="n"/>
      <c r="EI71" s="82" t="n">
        <v>40</v>
      </c>
      <c r="EJ71" s="35" t="n">
        <v>40</v>
      </c>
      <c r="EK71" s="44" t="n">
        <v>0</v>
      </c>
      <c r="EL71" s="35" t="n"/>
      <c r="EM71" s="82" t="n">
        <v>40</v>
      </c>
      <c r="EN71" s="35" t="n">
        <v>40</v>
      </c>
      <c r="EO71" s="44" t="n">
        <v>0</v>
      </c>
      <c r="EP71" s="35" t="n"/>
      <c r="EQ71" s="82" t="n">
        <v>40</v>
      </c>
      <c r="ER71" s="91" t="n">
        <v>40</v>
      </c>
      <c r="ES71" s="44" t="n">
        <v>0</v>
      </c>
      <c r="ET71" s="35" t="n"/>
      <c r="EU71" s="82" t="n">
        <v>40</v>
      </c>
      <c r="EV71" s="91" t="n">
        <v>40</v>
      </c>
      <c r="EW71" s="44" t="n">
        <v>0</v>
      </c>
      <c r="EX71" s="35" t="n"/>
      <c r="EY71" s="82" t="n">
        <v>40</v>
      </c>
      <c r="EZ71" s="53" t="n">
        <v>40</v>
      </c>
      <c r="FA71" s="288" t="n">
        <v>0</v>
      </c>
      <c r="FB71" s="35" t="n"/>
      <c r="FC71" s="82" t="n">
        <v>40</v>
      </c>
      <c r="FD71" s="92" t="n">
        <v>40</v>
      </c>
      <c r="FE71" s="380" t="n">
        <v>0</v>
      </c>
      <c r="FF71" s="35" t="n"/>
      <c r="FG71" s="379">
        <f>DK71+DO71+DS71+DW71+EA71+EE71+EI71+EM71+EQ71+EU71+EY71+FC71</f>
        <v/>
      </c>
      <c r="FH71" s="379">
        <f>FG71*$I71</f>
        <v/>
      </c>
      <c r="FI71" s="47" t="n">
        <v>40</v>
      </c>
      <c r="FJ71" s="47" t="n"/>
      <c r="FK71" s="44" t="n">
        <v>0</v>
      </c>
      <c r="FL71" s="35" t="n"/>
      <c r="FM71" s="51" t="n">
        <v>50</v>
      </c>
      <c r="FN71" s="47" t="n"/>
      <c r="FO71" s="44" t="n">
        <v>0</v>
      </c>
      <c r="FP71" s="35" t="n"/>
      <c r="FQ71" s="51" t="n">
        <v>50</v>
      </c>
      <c r="FR71" s="47" t="n"/>
      <c r="FS71" s="44" t="n">
        <v>0</v>
      </c>
      <c r="FT71" s="36" t="n"/>
      <c r="FU71" s="51" t="n">
        <v>50</v>
      </c>
      <c r="FV71" s="47" t="n"/>
      <c r="FW71" s="44" t="n">
        <v>0</v>
      </c>
      <c r="FX71" s="36" t="n"/>
      <c r="FY71" s="51" t="n">
        <v>50</v>
      </c>
      <c r="FZ71" s="47" t="n"/>
      <c r="GA71" s="44" t="n">
        <v>0</v>
      </c>
      <c r="GB71" s="36" t="n"/>
      <c r="GC71" s="51" t="n">
        <v>50</v>
      </c>
      <c r="GD71" s="47" t="n"/>
      <c r="GE71" s="44" t="n">
        <v>0</v>
      </c>
      <c r="GF71" s="35" t="n"/>
      <c r="GG71" s="51" t="n">
        <v>50</v>
      </c>
      <c r="GH71" s="47" t="n"/>
      <c r="GI71" s="44" t="n">
        <v>0</v>
      </c>
      <c r="GJ71" s="35" t="n"/>
      <c r="GK71" s="51" t="n">
        <v>80</v>
      </c>
      <c r="GL71" s="47" t="n"/>
      <c r="GM71" s="44" t="n">
        <v>0</v>
      </c>
      <c r="GN71" s="35" t="n"/>
      <c r="GO71" s="51" t="n">
        <v>80</v>
      </c>
      <c r="GP71" s="47" t="n"/>
      <c r="GQ71" s="44" t="n">
        <v>0</v>
      </c>
      <c r="GR71" s="35" t="n"/>
      <c r="GS71" s="51" t="n">
        <v>80</v>
      </c>
      <c r="GT71" s="47" t="n"/>
      <c r="GU71" s="44" t="n">
        <v>0</v>
      </c>
      <c r="GV71" s="35" t="n"/>
      <c r="GW71" s="51" t="n">
        <v>80</v>
      </c>
      <c r="GX71" s="47" t="n"/>
      <c r="GY71" s="49" t="n">
        <v>0</v>
      </c>
      <c r="GZ71" s="35" t="n"/>
      <c r="HA71" s="51" t="n">
        <v>80</v>
      </c>
      <c r="HB71" s="47" t="n"/>
      <c r="HC71" s="380" t="n">
        <v>0</v>
      </c>
      <c r="HD71" s="35" t="n"/>
      <c r="HE71" s="379">
        <f>FI71+FM71+FQ71+FU71+FY71+GC71+GG71+GK71+GO71+GS71+GW71+HA71</f>
        <v/>
      </c>
      <c r="HF71" s="379">
        <f>HE71*$I71</f>
        <v/>
      </c>
      <c r="HG71" s="51" t="n">
        <v>80</v>
      </c>
      <c r="HH71" s="47" t="n"/>
      <c r="HI71" s="44" t="n">
        <v>0</v>
      </c>
      <c r="HJ71" s="35" t="n"/>
      <c r="HK71" s="51" t="n">
        <v>80</v>
      </c>
      <c r="HL71" s="47" t="n"/>
      <c r="HM71" s="44" t="n">
        <v>0</v>
      </c>
      <c r="HN71" s="35" t="n"/>
      <c r="HO71" s="51" t="n">
        <v>80</v>
      </c>
      <c r="HP71" s="47" t="n"/>
      <c r="HQ71" s="44" t="n">
        <v>0</v>
      </c>
      <c r="HR71" s="36" t="n"/>
      <c r="HS71" s="51" t="n">
        <v>100</v>
      </c>
      <c r="HT71" s="47" t="n"/>
      <c r="HU71" s="44" t="n">
        <v>0</v>
      </c>
      <c r="HV71" s="36" t="n"/>
      <c r="HW71" s="51" t="n">
        <v>100</v>
      </c>
      <c r="HX71" s="47" t="n"/>
      <c r="HY71" s="44" t="n">
        <v>0</v>
      </c>
      <c r="HZ71" s="36" t="n"/>
      <c r="IA71" s="51" t="n">
        <v>100</v>
      </c>
      <c r="IB71" s="47" t="n"/>
      <c r="IC71" s="44" t="n">
        <v>0</v>
      </c>
      <c r="ID71" s="35" t="n"/>
      <c r="IE71" s="51" t="n">
        <v>100</v>
      </c>
      <c r="IF71" s="47" t="n"/>
      <c r="IG71" s="44" t="n">
        <v>0</v>
      </c>
      <c r="IH71" s="35" t="n"/>
      <c r="II71" s="51" t="n">
        <v>100</v>
      </c>
      <c r="IJ71" s="47" t="n"/>
      <c r="IK71" s="44" t="n">
        <v>0</v>
      </c>
      <c r="IL71" s="35" t="n"/>
      <c r="IM71" s="51" t="n">
        <v>100</v>
      </c>
      <c r="IN71" s="47" t="n"/>
      <c r="IO71" s="44" t="n">
        <v>0</v>
      </c>
      <c r="IP71" s="35" t="n"/>
      <c r="IQ71" s="51" t="n">
        <v>100</v>
      </c>
      <c r="IR71" s="47" t="n"/>
      <c r="IS71" s="44" t="n">
        <v>0</v>
      </c>
      <c r="IT71" s="35" t="n"/>
      <c r="IU71" s="51" t="n">
        <v>100</v>
      </c>
      <c r="IV71" s="47" t="n"/>
      <c r="IW71" s="49" t="n">
        <v>0</v>
      </c>
      <c r="IX71" s="35" t="n"/>
      <c r="IY71" s="51" t="n">
        <v>100</v>
      </c>
      <c r="IZ71" s="47" t="n"/>
      <c r="JA71" s="380" t="n">
        <v>0</v>
      </c>
      <c r="JB71" s="35" t="n"/>
      <c r="JC71" s="381">
        <f>HG71+HK71+HO71+HS71+HW71+IA71+IE71+II71+IM71+IQ71+IU71+IY71</f>
        <v/>
      </c>
      <c r="JD71" s="381">
        <f>JC71*$I71</f>
        <v/>
      </c>
    </row>
    <row r="72" ht="16.2" customHeight="1">
      <c r="A72" s="382" t="n"/>
      <c r="B72" s="382" t="n"/>
      <c r="C72" s="382" t="n"/>
      <c r="D72" s="382" t="n"/>
      <c r="E72" s="25" t="n">
        <v>6</v>
      </c>
      <c r="F72" s="25" t="n">
        <v>1</v>
      </c>
      <c r="G72" s="26" t="n">
        <v>4491731400</v>
      </c>
      <c r="H72" s="27" t="inlineStr">
        <is>
          <t>Кабель питания для п/п 14 м</t>
        </is>
      </c>
      <c r="I72" s="28" t="n">
        <v>729.96</v>
      </c>
      <c r="J72" s="29" t="n">
        <v>729.96</v>
      </c>
      <c r="K72" s="297" t="n">
        <v>682.73</v>
      </c>
      <c r="L72" s="297" t="n">
        <v>682.73</v>
      </c>
      <c r="M72" s="29" t="n"/>
      <c r="N72" s="29" t="n"/>
      <c r="O72" s="30" t="n">
        <v>0</v>
      </c>
      <c r="P72" s="31" t="n">
        <v>0</v>
      </c>
      <c r="Q72" s="32" t="n">
        <v>0</v>
      </c>
      <c r="R72" s="31" t="n"/>
      <c r="S72" s="30" t="n"/>
      <c r="T72" s="31" t="n"/>
      <c r="U72" s="32" t="n"/>
      <c r="V72" s="31" t="n"/>
      <c r="W72" s="30" t="n"/>
      <c r="X72" s="31" t="n"/>
      <c r="Y72" s="32" t="n"/>
      <c r="Z72" s="58" t="n"/>
      <c r="AA72" s="30" t="n"/>
      <c r="AB72" s="31" t="n"/>
      <c r="AC72" s="32" t="n"/>
      <c r="AD72" s="36" t="n"/>
      <c r="AE72" s="30" t="n"/>
      <c r="AF72" s="31" t="n"/>
      <c r="AG72" s="32" t="n"/>
      <c r="AH72" s="36" t="n"/>
      <c r="AI72" s="30" t="n"/>
      <c r="AJ72" s="31" t="n"/>
      <c r="AK72" s="32" t="n"/>
      <c r="AL72" s="31" t="n"/>
      <c r="AM72" s="30" t="n"/>
      <c r="AN72" s="31" t="n"/>
      <c r="AO72" s="32" t="n"/>
      <c r="AP72" s="31" t="n"/>
      <c r="AQ72" s="30" t="n"/>
      <c r="AR72" s="31" t="n"/>
      <c r="AS72" s="32" t="n"/>
      <c r="AT72" s="31" t="n"/>
      <c r="AU72" s="30" t="n">
        <v>0</v>
      </c>
      <c r="AV72" s="37" t="n">
        <v>0</v>
      </c>
      <c r="AW72" s="32" t="n">
        <v>0</v>
      </c>
      <c r="AX72" s="31" t="n"/>
      <c r="AY72" s="30" t="n">
        <v>0</v>
      </c>
      <c r="AZ72" s="38" t="n">
        <v>0</v>
      </c>
      <c r="BA72" s="32" t="n">
        <v>0</v>
      </c>
      <c r="BB72" s="34" t="n"/>
      <c r="BC72" s="30" t="n">
        <v>0</v>
      </c>
      <c r="BD72" s="39" t="n">
        <v>0</v>
      </c>
      <c r="BE72" s="40" t="n">
        <v>0</v>
      </c>
      <c r="BF72" s="34" t="n"/>
      <c r="BG72" s="41" t="n">
        <v>0</v>
      </c>
      <c r="BH72" s="39" t="n">
        <v>0</v>
      </c>
      <c r="BI72" s="136" t="n">
        <v>0</v>
      </c>
      <c r="BJ72" s="34" t="n"/>
      <c r="BK72" s="381" t="n"/>
      <c r="BL72" s="381">
        <f>BK72*$I72</f>
        <v/>
      </c>
      <c r="BM72" s="41" t="n">
        <v>0</v>
      </c>
      <c r="BN72" s="47" t="n">
        <v>0</v>
      </c>
      <c r="BO72" s="32" t="n">
        <v>0</v>
      </c>
      <c r="BP72" s="31" t="n"/>
      <c r="BQ72" s="45" t="n">
        <v>0</v>
      </c>
      <c r="BR72" s="47" t="n">
        <v>0</v>
      </c>
      <c r="BS72" s="32" t="n">
        <v>0</v>
      </c>
      <c r="BT72" s="31" t="n"/>
      <c r="BU72" s="45" t="n">
        <v>0</v>
      </c>
      <c r="BV72" s="47" t="n">
        <v>0</v>
      </c>
      <c r="BW72" s="32" t="n"/>
      <c r="BX72" s="58" t="n"/>
      <c r="BY72" s="45" t="n">
        <v>0</v>
      </c>
      <c r="BZ72" s="47" t="n">
        <v>0</v>
      </c>
      <c r="CA72" s="32" t="n">
        <v>0</v>
      </c>
      <c r="CB72" s="36" t="n"/>
      <c r="CC72" s="45" t="n">
        <v>0</v>
      </c>
      <c r="CD72" s="47" t="n">
        <v>0</v>
      </c>
      <c r="CE72" s="44" t="n">
        <v>0</v>
      </c>
      <c r="CF72" s="36" t="n"/>
      <c r="CG72" s="45" t="n">
        <v>0</v>
      </c>
      <c r="CH72" s="47" t="n">
        <v>0</v>
      </c>
      <c r="CI72" s="44" t="n">
        <v>0</v>
      </c>
      <c r="CJ72" s="35" t="n"/>
      <c r="CK72" s="45" t="n">
        <v>0</v>
      </c>
      <c r="CL72" s="47" t="n">
        <v>0</v>
      </c>
      <c r="CM72" s="44" t="n">
        <v>0</v>
      </c>
      <c r="CN72" s="35" t="n"/>
      <c r="CO72" s="45" t="n">
        <v>0</v>
      </c>
      <c r="CP72" s="47" t="n">
        <v>0</v>
      </c>
      <c r="CQ72" s="44" t="n"/>
      <c r="CR72" s="35" t="n"/>
      <c r="CS72" s="45" t="n">
        <v>0</v>
      </c>
      <c r="CT72" s="47" t="n">
        <v>0</v>
      </c>
      <c r="CU72" s="44" t="n">
        <v>0</v>
      </c>
      <c r="CV72" s="35" t="n"/>
      <c r="CW72" s="51" t="n">
        <v>0</v>
      </c>
      <c r="CX72" s="47" t="n">
        <v>0</v>
      </c>
      <c r="CY72" s="44" t="n">
        <v>0</v>
      </c>
      <c r="CZ72" s="35" t="n"/>
      <c r="DA72" s="51" t="n">
        <v>0</v>
      </c>
      <c r="DB72" s="47" t="n">
        <v>0</v>
      </c>
      <c r="DC72" s="155" t="n"/>
      <c r="DD72" s="35" t="n"/>
      <c r="DE72" s="51" t="n">
        <v>0</v>
      </c>
      <c r="DF72" s="47" t="n">
        <v>0</v>
      </c>
      <c r="DG72" s="380" t="n"/>
      <c r="DH72" s="35" t="n"/>
      <c r="DI72" s="379">
        <f>BM72+BQ72+BU72+BY72+CC72+CG72+CK72+CO72+CS72+CW72+DA72+DE72</f>
        <v/>
      </c>
      <c r="DJ72" s="379">
        <f>DI72*$I72</f>
        <v/>
      </c>
      <c r="DK72" s="82" t="n">
        <v>0</v>
      </c>
      <c r="DL72" s="35" t="n">
        <v>0</v>
      </c>
      <c r="DM72" s="44" t="n"/>
      <c r="DN72" s="35" t="n"/>
      <c r="DO72" s="82" t="n">
        <v>0</v>
      </c>
      <c r="DP72" s="282" t="n">
        <v>0</v>
      </c>
      <c r="DQ72" s="44" t="n">
        <v>0</v>
      </c>
      <c r="DR72" s="35" t="n"/>
      <c r="DS72" s="82" t="n">
        <v>0</v>
      </c>
      <c r="DT72" s="303" t="n">
        <v>0</v>
      </c>
      <c r="DU72" s="44" t="n">
        <v>0</v>
      </c>
      <c r="DV72" s="35" t="n"/>
      <c r="DW72" s="82" t="n">
        <v>0</v>
      </c>
      <c r="DX72" s="282" t="n">
        <v>0</v>
      </c>
      <c r="DY72" s="44" t="n"/>
      <c r="DZ72" s="36" t="n"/>
      <c r="EA72" s="82" t="n">
        <v>0</v>
      </c>
      <c r="EB72" s="35" t="n">
        <v>0</v>
      </c>
      <c r="EC72" s="44" t="n">
        <v>0</v>
      </c>
      <c r="ED72" s="36" t="n"/>
      <c r="EE72" s="82" t="n">
        <v>0</v>
      </c>
      <c r="EF72" s="35" t="n">
        <v>0</v>
      </c>
      <c r="EG72" s="44" t="n"/>
      <c r="EH72" s="35" t="n"/>
      <c r="EI72" s="82" t="n">
        <v>0</v>
      </c>
      <c r="EJ72" s="35" t="n">
        <v>0</v>
      </c>
      <c r="EK72" s="44" t="n"/>
      <c r="EL72" s="35" t="n"/>
      <c r="EM72" s="82" t="n">
        <v>0</v>
      </c>
      <c r="EN72" s="35" t="n">
        <v>0</v>
      </c>
      <c r="EO72" s="44" t="n"/>
      <c r="EP72" s="35" t="n"/>
      <c r="EQ72" s="82" t="n">
        <v>0</v>
      </c>
      <c r="ER72" s="91" t="n">
        <v>0</v>
      </c>
      <c r="ES72" s="44" t="n"/>
      <c r="ET72" s="35" t="n"/>
      <c r="EU72" s="82" t="n">
        <v>0</v>
      </c>
      <c r="EV72" s="91" t="n">
        <v>0</v>
      </c>
      <c r="EW72" s="44" t="n"/>
      <c r="EX72" s="35" t="n"/>
      <c r="EY72" s="82" t="n">
        <v>0</v>
      </c>
      <c r="EZ72" s="53" t="n">
        <v>0</v>
      </c>
      <c r="FA72" s="288" t="n"/>
      <c r="FB72" s="35" t="n"/>
      <c r="FC72" s="82" t="n">
        <v>0</v>
      </c>
      <c r="FD72" s="92" t="n">
        <v>0</v>
      </c>
      <c r="FE72" s="380" t="n"/>
      <c r="FF72" s="35" t="n"/>
      <c r="FG72" s="379">
        <f>DK72+DO72+DS72+DW72+EA72+EE72+EI72+EM72+EQ72+EU72+EY72+FC72</f>
        <v/>
      </c>
      <c r="FH72" s="379">
        <f>FG72*$I72</f>
        <v/>
      </c>
      <c r="FI72" s="47" t="n">
        <v>0</v>
      </c>
      <c r="FJ72" s="47" t="n"/>
      <c r="FK72" s="44" t="n"/>
      <c r="FL72" s="35" t="n"/>
      <c r="FM72" s="51" t="n">
        <v>0</v>
      </c>
      <c r="FN72" s="47" t="n"/>
      <c r="FO72" s="44" t="n"/>
      <c r="FP72" s="35" t="n"/>
      <c r="FQ72" s="51" t="n">
        <v>0</v>
      </c>
      <c r="FR72" s="47" t="n"/>
      <c r="FS72" s="44" t="n"/>
      <c r="FT72" s="59" t="n"/>
      <c r="FU72" s="51" t="n">
        <v>0</v>
      </c>
      <c r="FV72" s="47" t="n"/>
      <c r="FW72" s="44" t="n"/>
      <c r="FX72" s="36" t="n"/>
      <c r="FY72" s="51" t="n">
        <v>0</v>
      </c>
      <c r="FZ72" s="47" t="n"/>
      <c r="GA72" s="44" t="n"/>
      <c r="GB72" s="36" t="n"/>
      <c r="GC72" s="51" t="n">
        <v>0</v>
      </c>
      <c r="GD72" s="47" t="n"/>
      <c r="GE72" s="44" t="n"/>
      <c r="GF72" s="35" t="n"/>
      <c r="GG72" s="51" t="n">
        <v>0</v>
      </c>
      <c r="GH72" s="47" t="n"/>
      <c r="GI72" s="44" t="n"/>
      <c r="GJ72" s="35" t="n"/>
      <c r="GK72" s="51" t="n">
        <v>0</v>
      </c>
      <c r="GL72" s="47" t="n"/>
      <c r="GM72" s="44" t="n"/>
      <c r="GN72" s="35" t="n"/>
      <c r="GO72" s="51" t="n">
        <v>0</v>
      </c>
      <c r="GP72" s="47" t="n"/>
      <c r="GQ72" s="44" t="n"/>
      <c r="GR72" s="35" t="n"/>
      <c r="GS72" s="51" t="n">
        <v>0</v>
      </c>
      <c r="GT72" s="47" t="n"/>
      <c r="GU72" s="44" t="n"/>
      <c r="GV72" s="35" t="n"/>
      <c r="GW72" s="51" t="n">
        <v>0</v>
      </c>
      <c r="GX72" s="47" t="n"/>
      <c r="GY72" s="49" t="n"/>
      <c r="GZ72" s="35" t="n"/>
      <c r="HA72" s="51" t="n">
        <v>0</v>
      </c>
      <c r="HB72" s="47" t="n"/>
      <c r="HC72" s="380" t="n"/>
      <c r="HD72" s="35" t="n"/>
      <c r="HE72" s="379">
        <f>FI72+FM72+FQ72+FU72+FY72+GC72+GG72+GK72+GO72+GS72+GW72+HA72</f>
        <v/>
      </c>
      <c r="HF72" s="379">
        <f>HE72*$I72</f>
        <v/>
      </c>
      <c r="HG72" s="51" t="n">
        <v>0</v>
      </c>
      <c r="HH72" s="47" t="n"/>
      <c r="HI72" s="44" t="n"/>
      <c r="HJ72" s="35" t="n"/>
      <c r="HK72" s="51" t="n">
        <v>0</v>
      </c>
      <c r="HL72" s="47" t="n"/>
      <c r="HM72" s="44" t="n"/>
      <c r="HN72" s="35" t="n"/>
      <c r="HO72" s="51" t="n">
        <v>0</v>
      </c>
      <c r="HP72" s="47" t="n"/>
      <c r="HQ72" s="44" t="n"/>
      <c r="HR72" s="59" t="n"/>
      <c r="HS72" s="51" t="n">
        <v>0</v>
      </c>
      <c r="HT72" s="47" t="n"/>
      <c r="HU72" s="44" t="n"/>
      <c r="HV72" s="36" t="n"/>
      <c r="HW72" s="51" t="n">
        <v>0</v>
      </c>
      <c r="HX72" s="47" t="n"/>
      <c r="HY72" s="44" t="n"/>
      <c r="HZ72" s="36" t="n"/>
      <c r="IA72" s="51" t="n">
        <v>0</v>
      </c>
      <c r="IB72" s="47" t="n"/>
      <c r="IC72" s="44" t="n"/>
      <c r="ID72" s="35" t="n"/>
      <c r="IE72" s="51" t="n">
        <v>0</v>
      </c>
      <c r="IF72" s="47" t="n"/>
      <c r="IG72" s="44" t="n"/>
      <c r="IH72" s="35" t="n"/>
      <c r="II72" s="51" t="n">
        <v>0</v>
      </c>
      <c r="IJ72" s="47" t="n"/>
      <c r="IK72" s="44" t="n"/>
      <c r="IL72" s="35" t="n"/>
      <c r="IM72" s="51" t="n">
        <v>0</v>
      </c>
      <c r="IN72" s="47" t="n"/>
      <c r="IO72" s="44" t="n"/>
      <c r="IP72" s="35" t="n"/>
      <c r="IQ72" s="51" t="n">
        <v>0</v>
      </c>
      <c r="IR72" s="47" t="n"/>
      <c r="IS72" s="44" t="n"/>
      <c r="IT72" s="35" t="n"/>
      <c r="IU72" s="51" t="n">
        <v>0</v>
      </c>
      <c r="IV72" s="47" t="n"/>
      <c r="IW72" s="49" t="n"/>
      <c r="IX72" s="35" t="n"/>
      <c r="IY72" s="51" t="n">
        <v>0</v>
      </c>
      <c r="IZ72" s="47" t="n"/>
      <c r="JA72" s="380" t="n"/>
      <c r="JB72" s="35" t="n"/>
      <c r="JC72" s="381">
        <f>HG72+HK72+HO72+HS72+HW72+IA72+IE72+II72+IM72+IQ72+IU72+IY72</f>
        <v/>
      </c>
      <c r="JD72" s="381">
        <f>JC72*$I72</f>
        <v/>
      </c>
    </row>
    <row r="73">
      <c r="A73" s="382" t="n"/>
      <c r="B73" s="382" t="n"/>
      <c r="C73" s="382" t="n"/>
      <c r="D73" s="382" t="n"/>
      <c r="E73" s="25" t="n">
        <v>7</v>
      </c>
      <c r="F73" s="25" t="n">
        <v>1</v>
      </c>
      <c r="G73" s="26" t="n">
        <v>4497230500</v>
      </c>
      <c r="H73" s="27" t="inlineStr">
        <is>
          <t>Кабель-удлинитель датчика АБС 5м</t>
        </is>
      </c>
      <c r="I73" s="28" t="n">
        <v>113.8</v>
      </c>
      <c r="J73" s="29" t="n">
        <v>113.8</v>
      </c>
      <c r="K73" s="297" t="n">
        <v>112.13</v>
      </c>
      <c r="L73" s="297" t="n">
        <v>112.13</v>
      </c>
      <c r="M73" s="29" t="n"/>
      <c r="N73" s="29" t="n"/>
      <c r="O73" s="30" t="n">
        <v>0</v>
      </c>
      <c r="P73" s="31" t="n">
        <v>0</v>
      </c>
      <c r="Q73" s="32" t="n">
        <v>0</v>
      </c>
      <c r="R73" s="31" t="n"/>
      <c r="S73" s="30" t="n">
        <v>0</v>
      </c>
      <c r="T73" s="31" t="n">
        <v>0</v>
      </c>
      <c r="U73" s="32" t="n">
        <v>0</v>
      </c>
      <c r="V73" s="31" t="n"/>
      <c r="W73" s="30" t="n">
        <v>0</v>
      </c>
      <c r="X73" s="31" t="n">
        <v>0</v>
      </c>
      <c r="Y73" s="32" t="n">
        <v>0</v>
      </c>
      <c r="Z73" s="34" t="n"/>
      <c r="AA73" s="30" t="n">
        <v>0</v>
      </c>
      <c r="AB73" s="31" t="n">
        <v>0</v>
      </c>
      <c r="AC73" s="32" t="n">
        <v>0</v>
      </c>
      <c r="AD73" s="36" t="n"/>
      <c r="AE73" s="30" t="n">
        <v>0</v>
      </c>
      <c r="AF73" s="31" t="n">
        <v>0</v>
      </c>
      <c r="AG73" s="32" t="n">
        <v>0</v>
      </c>
      <c r="AH73" s="36" t="n"/>
      <c r="AI73" s="30" t="n">
        <v>0</v>
      </c>
      <c r="AJ73" s="31" t="n">
        <v>0</v>
      </c>
      <c r="AK73" s="32" t="n">
        <v>0</v>
      </c>
      <c r="AL73" s="31" t="n"/>
      <c r="AM73" s="30" t="n">
        <v>0</v>
      </c>
      <c r="AN73" s="31" t="n">
        <v>0</v>
      </c>
      <c r="AO73" s="32" t="n">
        <v>0</v>
      </c>
      <c r="AP73" s="31" t="n"/>
      <c r="AQ73" s="30" t="n">
        <v>0</v>
      </c>
      <c r="AR73" s="31" t="n">
        <v>0</v>
      </c>
      <c r="AS73" s="32" t="n">
        <v>0</v>
      </c>
      <c r="AT73" s="31" t="n"/>
      <c r="AU73" s="30" t="n">
        <v>0</v>
      </c>
      <c r="AV73" s="37" t="n">
        <v>0</v>
      </c>
      <c r="AW73" s="32" t="n">
        <v>0</v>
      </c>
      <c r="AX73" s="31" t="n"/>
      <c r="AY73" s="30" t="n">
        <v>0</v>
      </c>
      <c r="AZ73" s="38" t="n">
        <v>0</v>
      </c>
      <c r="BA73" s="32" t="n">
        <v>0</v>
      </c>
      <c r="BB73" s="34" t="n"/>
      <c r="BC73" s="30" t="n">
        <v>0</v>
      </c>
      <c r="BD73" s="39" t="n">
        <v>80</v>
      </c>
      <c r="BE73" s="241" t="n">
        <v>160</v>
      </c>
      <c r="BF73" s="34" t="n"/>
      <c r="BG73" s="41" t="n">
        <v>0</v>
      </c>
      <c r="BH73" s="39" t="n">
        <v>80</v>
      </c>
      <c r="BI73" s="385" t="n">
        <v>100</v>
      </c>
      <c r="BJ73" s="34" t="n"/>
      <c r="BK73" s="381">
        <f>O73+S73+W73+AA73+AE73+AI73+AM73+AQ73+AU73+AY73+BC73+BG73</f>
        <v/>
      </c>
      <c r="BL73" s="381">
        <f>BK73*$I73</f>
        <v/>
      </c>
      <c r="BM73" s="41" t="n">
        <v>80</v>
      </c>
      <c r="BN73" s="47" t="n">
        <v>80</v>
      </c>
      <c r="BO73" s="32" t="n">
        <v>0</v>
      </c>
      <c r="BP73" s="31" t="n"/>
      <c r="BQ73" s="45" t="n">
        <v>80</v>
      </c>
      <c r="BR73" s="47" t="n">
        <v>0</v>
      </c>
      <c r="BS73" s="32" t="n">
        <v>0</v>
      </c>
      <c r="BT73" s="31" t="n"/>
      <c r="BU73" s="45" t="n">
        <v>80</v>
      </c>
      <c r="BV73" s="47" t="n">
        <v>80</v>
      </c>
      <c r="BW73" s="32" t="n">
        <v>0</v>
      </c>
      <c r="BX73" s="34" t="n"/>
      <c r="BY73" s="45" t="n">
        <v>80</v>
      </c>
      <c r="BZ73" s="47" t="n">
        <v>0</v>
      </c>
      <c r="CA73" s="32" t="n">
        <v>0</v>
      </c>
      <c r="CB73" s="36" t="n"/>
      <c r="CC73" s="45" t="n">
        <v>80</v>
      </c>
      <c r="CD73" s="47" t="n">
        <v>80</v>
      </c>
      <c r="CE73" s="44" t="n">
        <v>0</v>
      </c>
      <c r="CF73" s="36" t="n"/>
      <c r="CG73" s="45" t="n">
        <v>80</v>
      </c>
      <c r="CH73" s="242" t="n">
        <v>0</v>
      </c>
      <c r="CI73" s="44" t="n">
        <v>200</v>
      </c>
      <c r="CJ73" s="35" t="n"/>
      <c r="CK73" s="45" t="n">
        <v>80</v>
      </c>
      <c r="CL73" s="47" t="n">
        <v>80</v>
      </c>
      <c r="CM73" s="44" t="n">
        <v>0</v>
      </c>
      <c r="CN73" s="35" t="n"/>
      <c r="CO73" s="45" t="n">
        <v>80</v>
      </c>
      <c r="CP73" s="47" t="n">
        <v>80</v>
      </c>
      <c r="CQ73" s="44" t="n">
        <v>200</v>
      </c>
      <c r="CR73" s="35" t="n"/>
      <c r="CS73" s="45" t="n">
        <v>80</v>
      </c>
      <c r="CT73" s="47" t="n">
        <v>80</v>
      </c>
      <c r="CU73" s="44" t="n">
        <v>200</v>
      </c>
      <c r="CV73" s="35" t="n"/>
      <c r="CW73" s="51" t="n">
        <v>80</v>
      </c>
      <c r="CX73" s="47" t="n">
        <v>80</v>
      </c>
      <c r="CY73" s="44" t="n">
        <v>200</v>
      </c>
      <c r="CZ73" s="35" t="n"/>
      <c r="DA73" s="51" t="n">
        <v>80</v>
      </c>
      <c r="DB73" s="47" t="n">
        <v>80</v>
      </c>
      <c r="DC73" s="155" t="n">
        <v>280</v>
      </c>
      <c r="DD73" s="35" t="n"/>
      <c r="DE73" s="51" t="n">
        <v>80</v>
      </c>
      <c r="DF73" s="47" t="n">
        <v>80</v>
      </c>
      <c r="DG73" s="380" t="n">
        <v>340</v>
      </c>
      <c r="DH73" s="35" t="n"/>
      <c r="DI73" s="379">
        <f>BM73+BQ73+BU73+BY73+CC73+CG73+CK73+CO73+CS73+CW73+DA73+DE73</f>
        <v/>
      </c>
      <c r="DJ73" s="379">
        <f>DI73*$I73</f>
        <v/>
      </c>
      <c r="DK73" s="82" t="n">
        <v>80</v>
      </c>
      <c r="DL73" s="35" t="n">
        <v>340</v>
      </c>
      <c r="DM73" s="44" t="n">
        <v>340</v>
      </c>
      <c r="DN73" s="35" t="n"/>
      <c r="DO73" s="82" t="n">
        <v>80</v>
      </c>
      <c r="DP73" s="35" t="n">
        <v>0</v>
      </c>
      <c r="DQ73" s="44" t="n">
        <v>0</v>
      </c>
      <c r="DR73" s="35" t="n"/>
      <c r="DS73" s="82" t="n">
        <v>80</v>
      </c>
      <c r="DT73" s="303" t="n">
        <v>0</v>
      </c>
      <c r="DU73" s="44" t="n">
        <v>0</v>
      </c>
      <c r="DV73" s="35" t="n"/>
      <c r="DW73" s="82" t="n">
        <v>80</v>
      </c>
      <c r="DX73" s="281" t="n">
        <v>0</v>
      </c>
      <c r="DY73" s="44" t="n">
        <v>0</v>
      </c>
      <c r="DZ73" s="36" t="n"/>
      <c r="EA73" s="82" t="n">
        <v>80</v>
      </c>
      <c r="EB73" s="35" t="n">
        <v>180</v>
      </c>
      <c r="EC73" s="44" t="n">
        <v>0</v>
      </c>
      <c r="ED73" s="36" t="n"/>
      <c r="EE73" s="82" t="n">
        <v>80</v>
      </c>
      <c r="EF73" s="35" t="n">
        <v>180</v>
      </c>
      <c r="EG73" s="44" t="n">
        <v>0</v>
      </c>
      <c r="EH73" s="35" t="n"/>
      <c r="EI73" s="82" t="n">
        <v>80</v>
      </c>
      <c r="EJ73" s="35" t="n">
        <v>80</v>
      </c>
      <c r="EK73" s="44" t="n">
        <v>0</v>
      </c>
      <c r="EL73" s="35" t="n"/>
      <c r="EM73" s="82" t="n">
        <v>80</v>
      </c>
      <c r="EN73" s="35" t="n">
        <v>80</v>
      </c>
      <c r="EO73" s="44" t="n">
        <v>0</v>
      </c>
      <c r="EP73" s="35" t="n"/>
      <c r="EQ73" s="82" t="n">
        <v>80</v>
      </c>
      <c r="ER73" s="91" t="n">
        <v>80</v>
      </c>
      <c r="ES73" s="44" t="n">
        <v>0</v>
      </c>
      <c r="ET73" s="35" t="n"/>
      <c r="EU73" s="82" t="n">
        <v>80</v>
      </c>
      <c r="EV73" s="91" t="n">
        <v>80</v>
      </c>
      <c r="EW73" s="44" t="n">
        <v>0</v>
      </c>
      <c r="EX73" s="35" t="n"/>
      <c r="EY73" s="82" t="n">
        <v>80</v>
      </c>
      <c r="EZ73" s="53" t="n">
        <v>80</v>
      </c>
      <c r="FA73" s="288" t="n">
        <v>0</v>
      </c>
      <c r="FB73" s="35" t="n"/>
      <c r="FC73" s="82" t="n">
        <v>80</v>
      </c>
      <c r="FD73" s="92" t="n">
        <v>80</v>
      </c>
      <c r="FE73" s="380" t="n">
        <v>0</v>
      </c>
      <c r="FF73" s="35" t="n"/>
      <c r="FG73" s="379">
        <f>DK73+DO73+DS73+DW73+EA73+EE73+EI73+EM73+EQ73+EU73+EY73+FC73</f>
        <v/>
      </c>
      <c r="FH73" s="379">
        <f>FG73*$I73</f>
        <v/>
      </c>
      <c r="FI73" s="47" t="n">
        <v>80</v>
      </c>
      <c r="FJ73" s="47" t="n"/>
      <c r="FK73" s="44" t="n">
        <v>0</v>
      </c>
      <c r="FL73" s="35" t="n"/>
      <c r="FM73" s="51" t="n">
        <v>100</v>
      </c>
      <c r="FN73" s="47" t="n"/>
      <c r="FO73" s="44" t="n">
        <v>0</v>
      </c>
      <c r="FP73" s="35" t="n"/>
      <c r="FQ73" s="51" t="n">
        <v>100</v>
      </c>
      <c r="FR73" s="47" t="n"/>
      <c r="FS73" s="44" t="n">
        <v>0</v>
      </c>
      <c r="FT73" s="36" t="n"/>
      <c r="FU73" s="51" t="n">
        <v>100</v>
      </c>
      <c r="FV73" s="47" t="n"/>
      <c r="FW73" s="44" t="n">
        <v>0</v>
      </c>
      <c r="FX73" s="36" t="n"/>
      <c r="FY73" s="51" t="n">
        <v>100</v>
      </c>
      <c r="FZ73" s="47" t="n"/>
      <c r="GA73" s="44" t="n">
        <v>0</v>
      </c>
      <c r="GB73" s="36" t="n"/>
      <c r="GC73" s="51" t="n">
        <v>100</v>
      </c>
      <c r="GD73" s="47" t="n"/>
      <c r="GE73" s="44" t="n">
        <v>0</v>
      </c>
      <c r="GF73" s="35" t="n"/>
      <c r="GG73" s="51" t="n">
        <v>100</v>
      </c>
      <c r="GH73" s="47" t="n"/>
      <c r="GI73" s="44" t="n">
        <v>0</v>
      </c>
      <c r="GJ73" s="35" t="n"/>
      <c r="GK73" s="51" t="n">
        <v>160</v>
      </c>
      <c r="GL73" s="47" t="n"/>
      <c r="GM73" s="44" t="n">
        <v>0</v>
      </c>
      <c r="GN73" s="35" t="n"/>
      <c r="GO73" s="51" t="n">
        <v>160</v>
      </c>
      <c r="GP73" s="47" t="n"/>
      <c r="GQ73" s="44" t="n">
        <v>0</v>
      </c>
      <c r="GR73" s="35" t="n"/>
      <c r="GS73" s="51" t="n">
        <v>160</v>
      </c>
      <c r="GT73" s="47" t="n"/>
      <c r="GU73" s="44" t="n">
        <v>0</v>
      </c>
      <c r="GV73" s="35" t="n"/>
      <c r="GW73" s="51" t="n">
        <v>160</v>
      </c>
      <c r="GX73" s="47" t="n"/>
      <c r="GY73" s="49" t="n">
        <v>0</v>
      </c>
      <c r="GZ73" s="35" t="n"/>
      <c r="HA73" s="51" t="n">
        <v>160</v>
      </c>
      <c r="HB73" s="47" t="n"/>
      <c r="HC73" s="380" t="n">
        <v>0</v>
      </c>
      <c r="HD73" s="35" t="n"/>
      <c r="HE73" s="379">
        <f>FI73+FM73+FQ73+FU73+FY73+GC73+GG73+GK73+GO73+GS73+GW73+HA73</f>
        <v/>
      </c>
      <c r="HF73" s="379">
        <f>HE73*$I73</f>
        <v/>
      </c>
      <c r="HG73" s="51" t="n">
        <v>160</v>
      </c>
      <c r="HH73" s="47" t="n"/>
      <c r="HI73" s="44" t="n">
        <v>0</v>
      </c>
      <c r="HJ73" s="35" t="n"/>
      <c r="HK73" s="51" t="n">
        <v>160</v>
      </c>
      <c r="HL73" s="47" t="n"/>
      <c r="HM73" s="44" t="n">
        <v>0</v>
      </c>
      <c r="HN73" s="35" t="n"/>
      <c r="HO73" s="51" t="n">
        <v>160</v>
      </c>
      <c r="HP73" s="47" t="n"/>
      <c r="HQ73" s="44" t="n">
        <v>0</v>
      </c>
      <c r="HR73" s="36" t="n"/>
      <c r="HS73" s="51" t="n">
        <v>200</v>
      </c>
      <c r="HT73" s="47" t="n"/>
      <c r="HU73" s="44" t="n">
        <v>0</v>
      </c>
      <c r="HV73" s="36" t="n"/>
      <c r="HW73" s="51" t="n">
        <v>200</v>
      </c>
      <c r="HX73" s="47" t="n"/>
      <c r="HY73" s="44" t="n">
        <v>0</v>
      </c>
      <c r="HZ73" s="36" t="n"/>
      <c r="IA73" s="51" t="n">
        <v>200</v>
      </c>
      <c r="IB73" s="47" t="n"/>
      <c r="IC73" s="44" t="n">
        <v>0</v>
      </c>
      <c r="ID73" s="35" t="n"/>
      <c r="IE73" s="51" t="n">
        <v>200</v>
      </c>
      <c r="IF73" s="47" t="n"/>
      <c r="IG73" s="44" t="n">
        <v>0</v>
      </c>
      <c r="IH73" s="35" t="n"/>
      <c r="II73" s="51" t="n">
        <v>200</v>
      </c>
      <c r="IJ73" s="47" t="n"/>
      <c r="IK73" s="44" t="n">
        <v>0</v>
      </c>
      <c r="IL73" s="35" t="n"/>
      <c r="IM73" s="51" t="n">
        <v>200</v>
      </c>
      <c r="IN73" s="47" t="n"/>
      <c r="IO73" s="44" t="n">
        <v>0</v>
      </c>
      <c r="IP73" s="35" t="n"/>
      <c r="IQ73" s="51" t="n">
        <v>200</v>
      </c>
      <c r="IR73" s="47" t="n"/>
      <c r="IS73" s="44" t="n">
        <v>0</v>
      </c>
      <c r="IT73" s="35" t="n"/>
      <c r="IU73" s="51" t="n">
        <v>200</v>
      </c>
      <c r="IV73" s="47" t="n"/>
      <c r="IW73" s="49" t="n">
        <v>0</v>
      </c>
      <c r="IX73" s="35" t="n"/>
      <c r="IY73" s="51" t="n">
        <v>200</v>
      </c>
      <c r="IZ73" s="47" t="n"/>
      <c r="JA73" s="380" t="n">
        <v>0</v>
      </c>
      <c r="JB73" s="35" t="n"/>
      <c r="JC73" s="381">
        <f>HG73+HK73+HO73+HS73+HW73+IA73+IE73+II73+IM73+IQ73+IU73+IY73</f>
        <v/>
      </c>
      <c r="JD73" s="381">
        <f>JC73*$I73</f>
        <v/>
      </c>
    </row>
    <row r="74">
      <c r="A74" s="382" t="n"/>
      <c r="B74" s="382" t="n"/>
      <c r="C74" s="382" t="n"/>
      <c r="D74" s="382" t="n"/>
      <c r="E74" s="25" t="n">
        <v>8</v>
      </c>
      <c r="F74" s="25" t="n">
        <v>1</v>
      </c>
      <c r="G74" s="26" t="n">
        <v>4497230400</v>
      </c>
      <c r="H74" s="27" t="inlineStr">
        <is>
          <t>Кабель-удлинитель датчика АБС 4м</t>
        </is>
      </c>
      <c r="I74" s="28" t="n">
        <v>94.17</v>
      </c>
      <c r="J74" s="29" t="n">
        <v>94.17</v>
      </c>
      <c r="K74" s="29" t="n">
        <v>94.17</v>
      </c>
      <c r="L74" s="29" t="n">
        <v>94.17</v>
      </c>
      <c r="M74" s="29" t="n"/>
      <c r="N74" s="29" t="n"/>
      <c r="O74" s="30" t="n">
        <v>0</v>
      </c>
      <c r="P74" s="31" t="n">
        <v>0</v>
      </c>
      <c r="Q74" s="32" t="n">
        <v>0</v>
      </c>
      <c r="R74" s="60" t="n"/>
      <c r="S74" s="30" t="n">
        <v>0</v>
      </c>
      <c r="T74" s="31" t="n">
        <v>0</v>
      </c>
      <c r="U74" s="32" t="n">
        <v>0</v>
      </c>
      <c r="V74" s="31" t="n"/>
      <c r="W74" s="30" t="n">
        <v>0</v>
      </c>
      <c r="X74" s="31" t="n">
        <v>0</v>
      </c>
      <c r="Y74" s="32" t="n">
        <v>0</v>
      </c>
      <c r="Z74" s="34" t="n"/>
      <c r="AA74" s="30" t="n">
        <v>0</v>
      </c>
      <c r="AB74" s="31" t="n">
        <v>0</v>
      </c>
      <c r="AC74" s="32" t="n">
        <v>0</v>
      </c>
      <c r="AD74" s="36" t="n"/>
      <c r="AE74" s="30" t="n">
        <v>0</v>
      </c>
      <c r="AF74" s="31" t="n">
        <v>0</v>
      </c>
      <c r="AG74" s="32" t="n">
        <v>0</v>
      </c>
      <c r="AH74" s="36" t="n"/>
      <c r="AI74" s="30" t="n">
        <v>0</v>
      </c>
      <c r="AJ74" s="31" t="n">
        <v>0</v>
      </c>
      <c r="AK74" s="32" t="n">
        <v>0</v>
      </c>
      <c r="AL74" s="31" t="n"/>
      <c r="AM74" s="30" t="n">
        <v>0</v>
      </c>
      <c r="AN74" s="31" t="n">
        <v>0</v>
      </c>
      <c r="AO74" s="32" t="n">
        <v>0</v>
      </c>
      <c r="AP74" s="31" t="n"/>
      <c r="AQ74" s="30" t="n">
        <v>0</v>
      </c>
      <c r="AR74" s="31" t="n">
        <v>0</v>
      </c>
      <c r="AS74" s="32" t="n">
        <v>0</v>
      </c>
      <c r="AT74" s="31" t="n"/>
      <c r="AU74" s="30" t="n">
        <v>0</v>
      </c>
      <c r="AV74" s="37" t="n">
        <v>0</v>
      </c>
      <c r="AW74" s="32" t="n">
        <v>0</v>
      </c>
      <c r="AX74" s="31" t="n"/>
      <c r="AY74" s="30" t="n">
        <v>0</v>
      </c>
      <c r="AZ74" s="38" t="n">
        <v>0</v>
      </c>
      <c r="BA74" s="32" t="n">
        <v>0</v>
      </c>
      <c r="BB74" s="34" t="n"/>
      <c r="BC74" s="30" t="n">
        <v>0</v>
      </c>
      <c r="BD74" s="39" t="n">
        <v>80</v>
      </c>
      <c r="BE74" s="40" t="n">
        <v>0</v>
      </c>
      <c r="BF74" s="34" t="n"/>
      <c r="BG74" s="41" t="n">
        <v>0</v>
      </c>
      <c r="BH74" s="39" t="n">
        <v>80</v>
      </c>
      <c r="BI74" s="385" t="n">
        <v>100</v>
      </c>
      <c r="BJ74" s="34" t="n"/>
      <c r="BK74" s="381">
        <f>O74+S74+W74+AA74+AE74+AI74+AM74+AQ74+AU74+AY74+BC74+BG74</f>
        <v/>
      </c>
      <c r="BL74" s="381">
        <f>BK74*$I74</f>
        <v/>
      </c>
      <c r="BM74" s="41" t="n">
        <v>80</v>
      </c>
      <c r="BN74" s="47" t="n">
        <v>80</v>
      </c>
      <c r="BO74" s="32" t="n">
        <v>0</v>
      </c>
      <c r="BP74" s="60" t="n"/>
      <c r="BQ74" s="45" t="n">
        <v>80</v>
      </c>
      <c r="BR74" s="47" t="n">
        <v>0</v>
      </c>
      <c r="BS74" s="32" t="n">
        <v>0</v>
      </c>
      <c r="BT74" s="31" t="n"/>
      <c r="BU74" s="45" t="n">
        <v>80</v>
      </c>
      <c r="BV74" s="47" t="n">
        <v>80</v>
      </c>
      <c r="BW74" s="32" t="n">
        <v>0</v>
      </c>
      <c r="BX74" s="34" t="n"/>
      <c r="BY74" s="45" t="n">
        <v>80</v>
      </c>
      <c r="BZ74" s="47" t="n">
        <v>0</v>
      </c>
      <c r="CA74" s="32" t="n">
        <v>0</v>
      </c>
      <c r="CB74" s="36" t="n"/>
      <c r="CC74" s="45" t="n">
        <v>80</v>
      </c>
      <c r="CD74" s="47" t="n">
        <v>80</v>
      </c>
      <c r="CE74" s="44" t="n">
        <v>0</v>
      </c>
      <c r="CF74" s="36" t="n"/>
      <c r="CG74" s="45" t="n">
        <v>80</v>
      </c>
      <c r="CH74" s="242" t="n">
        <v>0</v>
      </c>
      <c r="CI74" s="44" t="n">
        <v>0</v>
      </c>
      <c r="CJ74" s="35" t="n"/>
      <c r="CK74" s="45" t="n">
        <v>80</v>
      </c>
      <c r="CL74" s="47" t="n">
        <v>80</v>
      </c>
      <c r="CM74" s="44" t="n">
        <v>0</v>
      </c>
      <c r="CN74" s="35" t="n"/>
      <c r="CO74" s="45" t="n">
        <v>80</v>
      </c>
      <c r="CP74" s="47" t="n">
        <v>80</v>
      </c>
      <c r="CQ74" s="44" t="n">
        <v>0</v>
      </c>
      <c r="CR74" s="35" t="n"/>
      <c r="CS74" s="45" t="n">
        <v>80</v>
      </c>
      <c r="CT74" s="47" t="n">
        <v>80</v>
      </c>
      <c r="CU74" s="44" t="n">
        <v>0</v>
      </c>
      <c r="CV74" s="35" t="n"/>
      <c r="CW74" s="51" t="n">
        <v>80</v>
      </c>
      <c r="CX74" s="47" t="n">
        <v>80</v>
      </c>
      <c r="CY74" s="44" t="n">
        <v>0</v>
      </c>
      <c r="CZ74" s="35" t="n"/>
      <c r="DA74" s="51" t="n">
        <v>80</v>
      </c>
      <c r="DB74" s="47" t="n">
        <v>80</v>
      </c>
      <c r="DC74" s="155" t="n">
        <v>0</v>
      </c>
      <c r="DD74" s="35" t="n"/>
      <c r="DE74" s="51" t="n">
        <v>80</v>
      </c>
      <c r="DF74" s="47" t="n">
        <v>80</v>
      </c>
      <c r="DG74" s="380" t="n">
        <v>0</v>
      </c>
      <c r="DH74" s="35" t="n"/>
      <c r="DI74" s="379">
        <f>BM74+BQ74+BU74+BY74+CC74+CG74+CK74+CO74+CS74+CW74+DA74+DE74</f>
        <v/>
      </c>
      <c r="DJ74" s="379">
        <f>DI74*$I74</f>
        <v/>
      </c>
      <c r="DK74" s="82" t="n">
        <v>80</v>
      </c>
      <c r="DL74" s="35" t="n">
        <v>0</v>
      </c>
      <c r="DM74" s="44" t="n">
        <v>0</v>
      </c>
      <c r="DN74" s="35" t="n"/>
      <c r="DO74" s="82" t="n">
        <v>80</v>
      </c>
      <c r="DP74" s="282" t="n">
        <v>0</v>
      </c>
      <c r="DQ74" s="44" t="n">
        <v>0</v>
      </c>
      <c r="DR74" s="35" t="n"/>
      <c r="DS74" s="82" t="n">
        <v>80</v>
      </c>
      <c r="DT74" s="303" t="n">
        <v>0</v>
      </c>
      <c r="DU74" s="44" t="n">
        <v>0</v>
      </c>
      <c r="DV74" s="35" t="n"/>
      <c r="DW74" s="82" t="n">
        <v>80</v>
      </c>
      <c r="DX74" s="282" t="n">
        <v>0</v>
      </c>
      <c r="DY74" s="44" t="n">
        <v>0</v>
      </c>
      <c r="DZ74" s="36" t="n"/>
      <c r="EA74" s="82" t="n">
        <v>80</v>
      </c>
      <c r="EB74" s="35" t="n">
        <v>0</v>
      </c>
      <c r="EC74" s="44" t="n">
        <v>0</v>
      </c>
      <c r="ED74" s="36" t="n"/>
      <c r="EE74" s="82" t="n">
        <v>80</v>
      </c>
      <c r="EF74" s="35" t="n">
        <v>0</v>
      </c>
      <c r="EG74" s="44" t="n">
        <v>0</v>
      </c>
      <c r="EH74" s="35" t="n"/>
      <c r="EI74" s="82" t="n">
        <v>80</v>
      </c>
      <c r="EJ74" s="35" t="n">
        <v>80</v>
      </c>
      <c r="EK74" s="44" t="n">
        <v>0</v>
      </c>
      <c r="EL74" s="35" t="n"/>
      <c r="EM74" s="82" t="n">
        <v>80</v>
      </c>
      <c r="EN74" s="35" t="n">
        <v>80</v>
      </c>
      <c r="EO74" s="44" t="n">
        <v>0</v>
      </c>
      <c r="EP74" s="35" t="n"/>
      <c r="EQ74" s="82" t="n">
        <v>80</v>
      </c>
      <c r="ER74" s="91" t="n">
        <v>80</v>
      </c>
      <c r="ES74" s="44" t="n">
        <v>0</v>
      </c>
      <c r="ET74" s="35" t="n"/>
      <c r="EU74" s="82" t="n">
        <v>80</v>
      </c>
      <c r="EV74" s="91" t="n">
        <v>80</v>
      </c>
      <c r="EW74" s="44" t="n">
        <v>0</v>
      </c>
      <c r="EX74" s="35" t="n"/>
      <c r="EY74" s="82" t="n">
        <v>80</v>
      </c>
      <c r="EZ74" s="53" t="n">
        <v>80</v>
      </c>
      <c r="FA74" s="288" t="n">
        <v>0</v>
      </c>
      <c r="FB74" s="35" t="n"/>
      <c r="FC74" s="82" t="n">
        <v>80</v>
      </c>
      <c r="FD74" s="92" t="n">
        <v>80</v>
      </c>
      <c r="FE74" s="380" t="n">
        <v>0</v>
      </c>
      <c r="FF74" s="35" t="n"/>
      <c r="FG74" s="379">
        <f>DK74+DO74+DS74+DW74+EA74+EE74+EI74+EM74+EQ74+EU74+EY74+FC74</f>
        <v/>
      </c>
      <c r="FH74" s="379">
        <f>FG74*$I74</f>
        <v/>
      </c>
      <c r="FI74" s="47" t="n">
        <v>80</v>
      </c>
      <c r="FJ74" s="47" t="n"/>
      <c r="FK74" s="44" t="n">
        <v>0</v>
      </c>
      <c r="FL74" s="61" t="n"/>
      <c r="FM74" s="51" t="n">
        <v>100</v>
      </c>
      <c r="FN74" s="47" t="n"/>
      <c r="FO74" s="44" t="n">
        <v>0</v>
      </c>
      <c r="FP74" s="35" t="n"/>
      <c r="FQ74" s="51" t="n">
        <v>100</v>
      </c>
      <c r="FR74" s="47" t="n"/>
      <c r="FS74" s="44" t="n">
        <v>0</v>
      </c>
      <c r="FT74" s="36" t="n"/>
      <c r="FU74" s="51" t="n">
        <v>100</v>
      </c>
      <c r="FV74" s="47" t="n"/>
      <c r="FW74" s="44" t="n">
        <v>0</v>
      </c>
      <c r="FX74" s="36" t="n"/>
      <c r="FY74" s="51" t="n">
        <v>100</v>
      </c>
      <c r="FZ74" s="47" t="n"/>
      <c r="GA74" s="44" t="n">
        <v>0</v>
      </c>
      <c r="GB74" s="36" t="n"/>
      <c r="GC74" s="51" t="n">
        <v>100</v>
      </c>
      <c r="GD74" s="47" t="n"/>
      <c r="GE74" s="44" t="n">
        <v>0</v>
      </c>
      <c r="GF74" s="35" t="n"/>
      <c r="GG74" s="51" t="n">
        <v>100</v>
      </c>
      <c r="GH74" s="47" t="n"/>
      <c r="GI74" s="44" t="n">
        <v>0</v>
      </c>
      <c r="GJ74" s="35" t="n"/>
      <c r="GK74" s="51" t="n">
        <v>160</v>
      </c>
      <c r="GL74" s="47" t="n"/>
      <c r="GM74" s="44" t="n">
        <v>0</v>
      </c>
      <c r="GN74" s="35" t="n"/>
      <c r="GO74" s="51" t="n">
        <v>160</v>
      </c>
      <c r="GP74" s="47" t="n"/>
      <c r="GQ74" s="44" t="n">
        <v>0</v>
      </c>
      <c r="GR74" s="35" t="n"/>
      <c r="GS74" s="51" t="n">
        <v>160</v>
      </c>
      <c r="GT74" s="47" t="n"/>
      <c r="GU74" s="44" t="n">
        <v>0</v>
      </c>
      <c r="GV74" s="35" t="n"/>
      <c r="GW74" s="51" t="n">
        <v>160</v>
      </c>
      <c r="GX74" s="47" t="n"/>
      <c r="GY74" s="49" t="n">
        <v>0</v>
      </c>
      <c r="GZ74" s="35" t="n"/>
      <c r="HA74" s="51" t="n">
        <v>160</v>
      </c>
      <c r="HB74" s="47" t="n"/>
      <c r="HC74" s="380" t="n">
        <v>0</v>
      </c>
      <c r="HD74" s="35" t="n"/>
      <c r="HE74" s="379">
        <f>FI74+FM74+FQ74+FU74+FY74+GC74+GG74+GK74+GO74+GS74+GW74+HA74</f>
        <v/>
      </c>
      <c r="HF74" s="379">
        <f>HE74*$I74</f>
        <v/>
      </c>
      <c r="HG74" s="51" t="n">
        <v>160</v>
      </c>
      <c r="HH74" s="47" t="n"/>
      <c r="HI74" s="44" t="n">
        <v>0</v>
      </c>
      <c r="HJ74" s="61" t="n"/>
      <c r="HK74" s="51" t="n">
        <v>160</v>
      </c>
      <c r="HL74" s="47" t="n"/>
      <c r="HM74" s="44" t="n">
        <v>0</v>
      </c>
      <c r="HN74" s="35" t="n"/>
      <c r="HO74" s="51" t="n">
        <v>160</v>
      </c>
      <c r="HP74" s="47" t="n"/>
      <c r="HQ74" s="44" t="n">
        <v>0</v>
      </c>
      <c r="HR74" s="36" t="n"/>
      <c r="HS74" s="51" t="n">
        <v>200</v>
      </c>
      <c r="HT74" s="47" t="n"/>
      <c r="HU74" s="44" t="n">
        <v>0</v>
      </c>
      <c r="HV74" s="36" t="n"/>
      <c r="HW74" s="51" t="n">
        <v>200</v>
      </c>
      <c r="HX74" s="47" t="n"/>
      <c r="HY74" s="44" t="n">
        <v>0</v>
      </c>
      <c r="HZ74" s="36" t="n"/>
      <c r="IA74" s="51" t="n">
        <v>200</v>
      </c>
      <c r="IB74" s="47" t="n"/>
      <c r="IC74" s="44" t="n">
        <v>0</v>
      </c>
      <c r="ID74" s="35" t="n"/>
      <c r="IE74" s="51" t="n">
        <v>200</v>
      </c>
      <c r="IF74" s="47" t="n"/>
      <c r="IG74" s="44" t="n">
        <v>0</v>
      </c>
      <c r="IH74" s="35" t="n"/>
      <c r="II74" s="51" t="n">
        <v>200</v>
      </c>
      <c r="IJ74" s="47" t="n"/>
      <c r="IK74" s="44" t="n">
        <v>0</v>
      </c>
      <c r="IL74" s="35" t="n"/>
      <c r="IM74" s="51" t="n">
        <v>200</v>
      </c>
      <c r="IN74" s="47" t="n"/>
      <c r="IO74" s="44" t="n">
        <v>0</v>
      </c>
      <c r="IP74" s="35" t="n"/>
      <c r="IQ74" s="51" t="n">
        <v>200</v>
      </c>
      <c r="IR74" s="47" t="n"/>
      <c r="IS74" s="44" t="n">
        <v>0</v>
      </c>
      <c r="IT74" s="35" t="n"/>
      <c r="IU74" s="51" t="n">
        <v>200</v>
      </c>
      <c r="IV74" s="47" t="n"/>
      <c r="IW74" s="49" t="n">
        <v>0</v>
      </c>
      <c r="IX74" s="35" t="n"/>
      <c r="IY74" s="51" t="n">
        <v>200</v>
      </c>
      <c r="IZ74" s="47" t="n"/>
      <c r="JA74" s="380" t="n">
        <v>0</v>
      </c>
      <c r="JB74" s="35" t="n"/>
      <c r="JC74" s="381">
        <f>HG74+HK74+HO74+HS74+HW74+IA74+IE74+II74+IM74+IQ74+IU74+IY74</f>
        <v/>
      </c>
      <c r="JD74" s="381">
        <f>JC74*$I74</f>
        <v/>
      </c>
    </row>
    <row r="75">
      <c r="A75" s="382" t="n"/>
      <c r="B75" s="382" t="n"/>
      <c r="C75" s="382" t="n"/>
      <c r="D75" s="382" t="n"/>
      <c r="E75" s="25" t="n">
        <v>9</v>
      </c>
      <c r="F75" s="25" t="n">
        <v>1</v>
      </c>
      <c r="G75" s="26" t="n">
        <v>4630320200</v>
      </c>
      <c r="H75" s="27" t="inlineStr">
        <is>
          <t>Кран управления пневмоподвеской без фитингов</t>
        </is>
      </c>
      <c r="I75" s="28" t="n">
        <v>220.18</v>
      </c>
      <c r="J75" s="29" t="n">
        <v>220.18</v>
      </c>
      <c r="K75" s="297" t="n">
        <v>240.37</v>
      </c>
      <c r="L75" s="297" t="n">
        <v>240.37</v>
      </c>
      <c r="M75" s="29" t="n"/>
      <c r="N75" s="29" t="n"/>
      <c r="O75" s="30" t="n">
        <v>0</v>
      </c>
      <c r="P75" s="31" t="n">
        <v>0</v>
      </c>
      <c r="Q75" s="32" t="n">
        <v>0</v>
      </c>
      <c r="R75" s="31" t="n"/>
      <c r="S75" s="30" t="n">
        <v>0</v>
      </c>
      <c r="T75" s="31" t="n">
        <v>0</v>
      </c>
      <c r="U75" s="32" t="n">
        <v>0</v>
      </c>
      <c r="V75" s="31" t="n"/>
      <c r="W75" s="30" t="n">
        <v>0</v>
      </c>
      <c r="X75" s="31" t="n">
        <v>0</v>
      </c>
      <c r="Y75" s="32" t="n">
        <v>0</v>
      </c>
      <c r="Z75" s="34" t="n"/>
      <c r="AA75" s="30" t="n">
        <v>0</v>
      </c>
      <c r="AB75" s="31" t="n">
        <v>0</v>
      </c>
      <c r="AC75" s="32" t="n">
        <v>0</v>
      </c>
      <c r="AD75" s="36" t="n"/>
      <c r="AE75" s="30" t="n">
        <v>0</v>
      </c>
      <c r="AF75" s="31" t="n">
        <v>0</v>
      </c>
      <c r="AG75" s="32" t="n">
        <v>0</v>
      </c>
      <c r="AH75" s="36" t="n"/>
      <c r="AI75" s="30" t="n">
        <v>0</v>
      </c>
      <c r="AJ75" s="31" t="n">
        <v>0</v>
      </c>
      <c r="AK75" s="32" t="n">
        <v>0</v>
      </c>
      <c r="AL75" s="31" t="n"/>
      <c r="AM75" s="30" t="n">
        <v>0</v>
      </c>
      <c r="AN75" s="31" t="n">
        <v>0</v>
      </c>
      <c r="AO75" s="32" t="n">
        <v>0</v>
      </c>
      <c r="AP75" s="31" t="n"/>
      <c r="AQ75" s="30" t="n">
        <v>0</v>
      </c>
      <c r="AR75" s="31" t="n">
        <v>0</v>
      </c>
      <c r="AS75" s="32" t="n">
        <v>0</v>
      </c>
      <c r="AT75" s="31" t="n"/>
      <c r="AU75" s="30" t="n">
        <v>0</v>
      </c>
      <c r="AV75" s="37" t="n">
        <v>0</v>
      </c>
      <c r="AW75" s="32" t="n">
        <v>0</v>
      </c>
      <c r="AX75" s="31" t="n"/>
      <c r="AY75" s="30" t="n">
        <v>0</v>
      </c>
      <c r="AZ75" s="38" t="n">
        <v>0</v>
      </c>
      <c r="BA75" s="32" t="n">
        <v>0</v>
      </c>
      <c r="BB75" s="34" t="n"/>
      <c r="BC75" s="30" t="n">
        <v>0</v>
      </c>
      <c r="BD75" s="39" t="n">
        <v>40</v>
      </c>
      <c r="BE75" s="241" t="n">
        <v>40</v>
      </c>
      <c r="BF75" s="34" t="n"/>
      <c r="BG75" s="62" t="n">
        <v>0</v>
      </c>
      <c r="BH75" s="39" t="n">
        <v>40</v>
      </c>
      <c r="BI75" s="385" t="n">
        <v>50</v>
      </c>
      <c r="BJ75" s="34" t="n"/>
      <c r="BK75" s="381">
        <f>O75+S75+W75+AA75+AE75+AI75+AM75+AQ75+AU75+AY75+BC75+BG75</f>
        <v/>
      </c>
      <c r="BL75" s="381">
        <f>BK75*$I75</f>
        <v/>
      </c>
      <c r="BM75" s="41" t="n">
        <v>40</v>
      </c>
      <c r="BN75" s="47" t="n">
        <v>40</v>
      </c>
      <c r="BO75" s="32" t="n">
        <v>0</v>
      </c>
      <c r="BP75" s="31" t="n"/>
      <c r="BQ75" s="45" t="n">
        <v>40</v>
      </c>
      <c r="BR75" s="47" t="n">
        <v>0</v>
      </c>
      <c r="BS75" s="32" t="n">
        <v>0</v>
      </c>
      <c r="BT75" s="31" t="n"/>
      <c r="BU75" s="45" t="n">
        <v>40</v>
      </c>
      <c r="BV75" s="47" t="n">
        <v>40</v>
      </c>
      <c r="BW75" s="32" t="n">
        <v>0</v>
      </c>
      <c r="BX75" s="34" t="n"/>
      <c r="BY75" s="45" t="n">
        <v>40</v>
      </c>
      <c r="BZ75" s="47" t="n">
        <v>0</v>
      </c>
      <c r="CA75" s="32" t="n">
        <v>0</v>
      </c>
      <c r="CB75" s="36" t="n"/>
      <c r="CC75" s="45" t="n">
        <v>40</v>
      </c>
      <c r="CD75" s="47" t="n">
        <v>0</v>
      </c>
      <c r="CE75" s="44" t="n">
        <v>0</v>
      </c>
      <c r="CF75" s="36" t="n"/>
      <c r="CG75" s="45" t="n">
        <v>40</v>
      </c>
      <c r="CH75" s="47" t="n">
        <v>0</v>
      </c>
      <c r="CI75" s="44" t="n">
        <v>0</v>
      </c>
      <c r="CJ75" s="35" t="n"/>
      <c r="CK75" s="45" t="n">
        <v>40</v>
      </c>
      <c r="CL75" s="47" t="n">
        <v>0</v>
      </c>
      <c r="CM75" s="44" t="n">
        <v>0</v>
      </c>
      <c r="CN75" s="35" t="n"/>
      <c r="CO75" s="45" t="n">
        <v>40</v>
      </c>
      <c r="CP75" s="47" t="n">
        <v>0</v>
      </c>
      <c r="CQ75" s="44" t="n">
        <v>0</v>
      </c>
      <c r="CR75" s="35" t="n"/>
      <c r="CS75" s="45" t="n">
        <v>40</v>
      </c>
      <c r="CT75" s="47" t="n">
        <v>0</v>
      </c>
      <c r="CU75" s="44" t="n">
        <v>0</v>
      </c>
      <c r="CV75" s="35" t="n"/>
      <c r="CW75" s="51" t="n">
        <v>40</v>
      </c>
      <c r="CX75" s="47" t="n">
        <v>0</v>
      </c>
      <c r="CY75" s="44" t="n">
        <v>0</v>
      </c>
      <c r="CZ75" s="35" t="n"/>
      <c r="DA75" s="51" t="n">
        <v>40</v>
      </c>
      <c r="DB75" s="47" t="n">
        <v>0</v>
      </c>
      <c r="DC75" s="155" t="n">
        <v>0</v>
      </c>
      <c r="DD75" s="35" t="n"/>
      <c r="DE75" s="51" t="n">
        <v>40</v>
      </c>
      <c r="DF75" s="47" t="n">
        <v>0</v>
      </c>
      <c r="DG75" s="380" t="n">
        <v>100</v>
      </c>
      <c r="DH75" s="35" t="n"/>
      <c r="DI75" s="379">
        <f>BM75+BQ75+BU75+BY75+CC75+CG75+CK75+CO75+CS75+CW75+DA75+DE75</f>
        <v/>
      </c>
      <c r="DJ75" s="379">
        <f>DI75*$I75</f>
        <v/>
      </c>
      <c r="DK75" s="82" t="n">
        <v>0</v>
      </c>
      <c r="DL75" s="35" t="n">
        <v>100</v>
      </c>
      <c r="DM75" s="44" t="n">
        <v>100</v>
      </c>
      <c r="DN75" s="35" t="n"/>
      <c r="DO75" s="82" t="n">
        <v>0</v>
      </c>
      <c r="DP75" s="282" t="n">
        <v>0</v>
      </c>
      <c r="DQ75" s="44" t="n">
        <v>0</v>
      </c>
      <c r="DR75" s="35" t="n"/>
      <c r="DS75" s="82" t="n">
        <v>0</v>
      </c>
      <c r="DT75" s="303" t="n">
        <v>0</v>
      </c>
      <c r="DU75" s="44" t="n">
        <v>0</v>
      </c>
      <c r="DV75" s="35" t="n"/>
      <c r="DW75" s="82" t="n">
        <v>0</v>
      </c>
      <c r="DX75" s="281" t="n">
        <v>0</v>
      </c>
      <c r="DY75" s="44" t="n"/>
      <c r="DZ75" s="36" t="n"/>
      <c r="EA75" s="82" t="n">
        <v>0</v>
      </c>
      <c r="EB75" s="35" t="n">
        <v>50</v>
      </c>
      <c r="EC75" s="44" t="n">
        <v>0</v>
      </c>
      <c r="ED75" s="36" t="n"/>
      <c r="EE75" s="82" t="n">
        <v>40</v>
      </c>
      <c r="EF75" s="35" t="n">
        <v>50</v>
      </c>
      <c r="EG75" s="44" t="n">
        <v>0</v>
      </c>
      <c r="EH75" s="35" t="n"/>
      <c r="EI75" s="82" t="n">
        <v>40</v>
      </c>
      <c r="EJ75" s="35" t="n">
        <v>40</v>
      </c>
      <c r="EK75" s="44" t="n">
        <v>0</v>
      </c>
      <c r="EL75" s="35" t="n"/>
      <c r="EM75" s="82" t="n">
        <v>40</v>
      </c>
      <c r="EN75" s="35" t="n">
        <v>40</v>
      </c>
      <c r="EO75" s="44" t="n">
        <v>0</v>
      </c>
      <c r="EP75" s="35" t="n"/>
      <c r="EQ75" s="82" t="n">
        <v>40</v>
      </c>
      <c r="ER75" s="91" t="n">
        <v>40</v>
      </c>
      <c r="ES75" s="44" t="n">
        <v>0</v>
      </c>
      <c r="ET75" s="35" t="n"/>
      <c r="EU75" s="82" t="n">
        <v>40</v>
      </c>
      <c r="EV75" s="91" t="n">
        <v>40</v>
      </c>
      <c r="EW75" s="44" t="n">
        <v>0</v>
      </c>
      <c r="EX75" s="35" t="n"/>
      <c r="EY75" s="82" t="n">
        <v>40</v>
      </c>
      <c r="EZ75" s="53" t="n">
        <v>40</v>
      </c>
      <c r="FA75" s="288" t="n">
        <v>0</v>
      </c>
      <c r="FB75" s="35" t="n"/>
      <c r="FC75" s="82" t="n">
        <v>40</v>
      </c>
      <c r="FD75" s="92" t="n">
        <v>40</v>
      </c>
      <c r="FE75" s="380" t="n">
        <v>0</v>
      </c>
      <c r="FF75" s="35" t="n"/>
      <c r="FG75" s="379">
        <f>DK75+DO75+DS75+DW75+EA75+EE75+EI75+EM75+EQ75+EU75+EY75+FC75</f>
        <v/>
      </c>
      <c r="FH75" s="379">
        <f>FG75*$I75</f>
        <v/>
      </c>
      <c r="FI75" s="47" t="n">
        <v>40</v>
      </c>
      <c r="FJ75" s="47" t="n"/>
      <c r="FK75" s="44" t="n">
        <v>0</v>
      </c>
      <c r="FL75" s="35" t="n"/>
      <c r="FM75" s="51" t="n">
        <v>50</v>
      </c>
      <c r="FN75" s="47" t="n"/>
      <c r="FO75" s="44" t="n">
        <v>0</v>
      </c>
      <c r="FP75" s="35" t="n"/>
      <c r="FQ75" s="51" t="n">
        <v>50</v>
      </c>
      <c r="FR75" s="47" t="n"/>
      <c r="FS75" s="44" t="n">
        <v>0</v>
      </c>
      <c r="FT75" s="36" t="n"/>
      <c r="FU75" s="51" t="n">
        <v>50</v>
      </c>
      <c r="FV75" s="47" t="n"/>
      <c r="FW75" s="44" t="n">
        <v>0</v>
      </c>
      <c r="FX75" s="36" t="n"/>
      <c r="FY75" s="51" t="n">
        <v>50</v>
      </c>
      <c r="FZ75" s="47" t="n"/>
      <c r="GA75" s="44" t="n">
        <v>0</v>
      </c>
      <c r="GB75" s="36" t="n"/>
      <c r="GC75" s="51" t="n">
        <v>50</v>
      </c>
      <c r="GD75" s="47" t="n"/>
      <c r="GE75" s="44" t="n">
        <v>0</v>
      </c>
      <c r="GF75" s="35" t="n"/>
      <c r="GG75" s="51" t="n">
        <v>50</v>
      </c>
      <c r="GH75" s="47" t="n"/>
      <c r="GI75" s="44" t="n">
        <v>0</v>
      </c>
      <c r="GJ75" s="35" t="n"/>
      <c r="GK75" s="51" t="n">
        <v>80</v>
      </c>
      <c r="GL75" s="47" t="n"/>
      <c r="GM75" s="44" t="n">
        <v>0</v>
      </c>
      <c r="GN75" s="35" t="n"/>
      <c r="GO75" s="51" t="n">
        <v>80</v>
      </c>
      <c r="GP75" s="47" t="n"/>
      <c r="GQ75" s="44" t="n">
        <v>0</v>
      </c>
      <c r="GR75" s="35" t="n"/>
      <c r="GS75" s="51" t="n">
        <v>80</v>
      </c>
      <c r="GT75" s="47" t="n"/>
      <c r="GU75" s="44" t="n">
        <v>0</v>
      </c>
      <c r="GV75" s="35" t="n"/>
      <c r="GW75" s="51" t="n">
        <v>80</v>
      </c>
      <c r="GX75" s="47" t="n"/>
      <c r="GY75" s="49" t="n">
        <v>0</v>
      </c>
      <c r="GZ75" s="35" t="n"/>
      <c r="HA75" s="51" t="n">
        <v>80</v>
      </c>
      <c r="HB75" s="47" t="n"/>
      <c r="HC75" s="380" t="n">
        <v>0</v>
      </c>
      <c r="HD75" s="35" t="n"/>
      <c r="HE75" s="379">
        <f>FI75+FM75+FQ75+FU75+FY75+GC75+GG75+GK75+GO75+GS75+GW75+HA75</f>
        <v/>
      </c>
      <c r="HF75" s="379">
        <f>HE75*$I75</f>
        <v/>
      </c>
      <c r="HG75" s="51" t="n">
        <v>80</v>
      </c>
      <c r="HH75" s="47" t="n"/>
      <c r="HI75" s="44" t="n">
        <v>0</v>
      </c>
      <c r="HJ75" s="35" t="n"/>
      <c r="HK75" s="51" t="n">
        <v>80</v>
      </c>
      <c r="HL75" s="47" t="n"/>
      <c r="HM75" s="44" t="n">
        <v>0</v>
      </c>
      <c r="HN75" s="35" t="n"/>
      <c r="HO75" s="51" t="n">
        <v>80</v>
      </c>
      <c r="HP75" s="47" t="n"/>
      <c r="HQ75" s="44" t="n">
        <v>0</v>
      </c>
      <c r="HR75" s="36" t="n"/>
      <c r="HS75" s="51" t="n">
        <v>100</v>
      </c>
      <c r="HT75" s="47" t="n"/>
      <c r="HU75" s="44" t="n">
        <v>0</v>
      </c>
      <c r="HV75" s="36" t="n"/>
      <c r="HW75" s="51" t="n">
        <v>100</v>
      </c>
      <c r="HX75" s="47" t="n"/>
      <c r="HY75" s="44" t="n">
        <v>0</v>
      </c>
      <c r="HZ75" s="36" t="n"/>
      <c r="IA75" s="51" t="n">
        <v>100</v>
      </c>
      <c r="IB75" s="47" t="n"/>
      <c r="IC75" s="44" t="n">
        <v>0</v>
      </c>
      <c r="ID75" s="35" t="n"/>
      <c r="IE75" s="51" t="n">
        <v>100</v>
      </c>
      <c r="IF75" s="47" t="n"/>
      <c r="IG75" s="44" t="n">
        <v>0</v>
      </c>
      <c r="IH75" s="35" t="n"/>
      <c r="II75" s="51" t="n">
        <v>100</v>
      </c>
      <c r="IJ75" s="47" t="n"/>
      <c r="IK75" s="44" t="n">
        <v>0</v>
      </c>
      <c r="IL75" s="35" t="n"/>
      <c r="IM75" s="51" t="n">
        <v>100</v>
      </c>
      <c r="IN75" s="47" t="n"/>
      <c r="IO75" s="44" t="n">
        <v>0</v>
      </c>
      <c r="IP75" s="35" t="n"/>
      <c r="IQ75" s="51" t="n">
        <v>100</v>
      </c>
      <c r="IR75" s="47" t="n"/>
      <c r="IS75" s="44" t="n">
        <v>0</v>
      </c>
      <c r="IT75" s="35" t="n"/>
      <c r="IU75" s="51" t="n">
        <v>100</v>
      </c>
      <c r="IV75" s="47" t="n"/>
      <c r="IW75" s="49" t="n">
        <v>0</v>
      </c>
      <c r="IX75" s="35" t="n"/>
      <c r="IY75" s="51" t="n">
        <v>100</v>
      </c>
      <c r="IZ75" s="47" t="n"/>
      <c r="JA75" s="380" t="n">
        <v>0</v>
      </c>
      <c r="JB75" s="35" t="n"/>
      <c r="JC75" s="381">
        <f>HG75+HK75+HO75+HS75+HW75+IA75+IE75+II75+IM75+IQ75+IU75+IY75</f>
        <v/>
      </c>
      <c r="JD75" s="381">
        <f>JC75*$I75</f>
        <v/>
      </c>
    </row>
    <row r="76">
      <c r="A76" s="382" t="n"/>
      <c r="B76" s="382" t="n"/>
      <c r="C76" s="382" t="n"/>
      <c r="D76" s="382" t="n"/>
      <c r="E76" s="25" t="n">
        <v>10</v>
      </c>
      <c r="F76" s="25" t="n">
        <v>1</v>
      </c>
      <c r="G76" s="26" t="n">
        <v>4334010030</v>
      </c>
      <c r="H76" s="27" t="inlineStr">
        <is>
          <t>Гибкий элемент для крана уровня пола</t>
        </is>
      </c>
      <c r="I76" s="28" t="n">
        <v>30.23</v>
      </c>
      <c r="J76" s="29" t="n">
        <v>30.23</v>
      </c>
      <c r="K76" s="297" t="n">
        <v>29.51</v>
      </c>
      <c r="L76" s="297" t="n">
        <v>29.51</v>
      </c>
      <c r="M76" s="29" t="n"/>
      <c r="N76" s="29" t="n"/>
      <c r="O76" s="30" t="n">
        <v>0</v>
      </c>
      <c r="P76" s="31" t="n">
        <v>0</v>
      </c>
      <c r="Q76" s="32" t="n">
        <v>0</v>
      </c>
      <c r="R76" s="31" t="n"/>
      <c r="S76" s="30" t="n">
        <v>0</v>
      </c>
      <c r="T76" s="31" t="n">
        <v>0</v>
      </c>
      <c r="U76" s="32" t="n">
        <v>0</v>
      </c>
      <c r="V76" s="31" t="n"/>
      <c r="W76" s="30" t="n">
        <v>0</v>
      </c>
      <c r="X76" s="31" t="n">
        <v>0</v>
      </c>
      <c r="Y76" s="32" t="n">
        <v>0</v>
      </c>
      <c r="Z76" s="34" t="n"/>
      <c r="AA76" s="30" t="n">
        <v>0</v>
      </c>
      <c r="AB76" s="31" t="n">
        <v>0</v>
      </c>
      <c r="AC76" s="32" t="n">
        <v>0</v>
      </c>
      <c r="AD76" s="36" t="n"/>
      <c r="AE76" s="30" t="n">
        <v>0</v>
      </c>
      <c r="AF76" s="31" t="n">
        <v>0</v>
      </c>
      <c r="AG76" s="32" t="n">
        <v>0</v>
      </c>
      <c r="AH76" s="36" t="n"/>
      <c r="AI76" s="30" t="n">
        <v>0</v>
      </c>
      <c r="AJ76" s="31" t="n">
        <v>0</v>
      </c>
      <c r="AK76" s="32" t="n">
        <v>0</v>
      </c>
      <c r="AL76" s="31" t="n"/>
      <c r="AM76" s="30" t="n">
        <v>0</v>
      </c>
      <c r="AN76" s="31" t="n">
        <v>0</v>
      </c>
      <c r="AO76" s="32" t="n">
        <v>0</v>
      </c>
      <c r="AP76" s="31" t="n"/>
      <c r="AQ76" s="30" t="n">
        <v>0</v>
      </c>
      <c r="AR76" s="31" t="n">
        <v>0</v>
      </c>
      <c r="AS76" s="32" t="n">
        <v>0</v>
      </c>
      <c r="AT76" s="31" t="n"/>
      <c r="AU76" s="30" t="n">
        <v>0</v>
      </c>
      <c r="AV76" s="37" t="n">
        <v>0</v>
      </c>
      <c r="AW76" s="32" t="n">
        <v>0</v>
      </c>
      <c r="AX76" s="31" t="n"/>
      <c r="AY76" s="30" t="n">
        <v>0</v>
      </c>
      <c r="AZ76" s="38" t="n">
        <v>0</v>
      </c>
      <c r="BA76" s="32" t="n">
        <v>0</v>
      </c>
      <c r="BB76" s="34" t="n"/>
      <c r="BC76" s="30" t="n">
        <v>0</v>
      </c>
      <c r="BD76" s="39" t="n">
        <v>40</v>
      </c>
      <c r="BE76" s="40" t="n">
        <v>40</v>
      </c>
      <c r="BF76" s="34" t="n"/>
      <c r="BG76" s="62" t="n">
        <v>0</v>
      </c>
      <c r="BH76" s="39" t="n">
        <v>40</v>
      </c>
      <c r="BI76" s="385" t="n">
        <v>50</v>
      </c>
      <c r="BJ76" s="34" t="n"/>
      <c r="BK76" s="381">
        <f>O76+S76+W76+AA76+AE76+AI76+AM76+AQ76+AU76+AY76+BC76+BG76</f>
        <v/>
      </c>
      <c r="BL76" s="381">
        <f>BK76*$I76</f>
        <v/>
      </c>
      <c r="BM76" s="41" t="n">
        <v>40</v>
      </c>
      <c r="BN76" s="47" t="n">
        <v>40</v>
      </c>
      <c r="BO76" s="32" t="n">
        <v>0</v>
      </c>
      <c r="BP76" s="31" t="n"/>
      <c r="BQ76" s="45" t="n">
        <v>40</v>
      </c>
      <c r="BR76" s="47" t="n">
        <v>0</v>
      </c>
      <c r="BS76" s="32" t="n">
        <v>0</v>
      </c>
      <c r="BT76" s="31" t="n"/>
      <c r="BU76" s="45" t="n">
        <v>40</v>
      </c>
      <c r="BV76" s="47" t="n">
        <v>40</v>
      </c>
      <c r="BW76" s="32" t="n">
        <v>0</v>
      </c>
      <c r="BX76" s="34" t="n"/>
      <c r="BY76" s="45" t="n">
        <v>40</v>
      </c>
      <c r="BZ76" s="47" t="n">
        <v>0</v>
      </c>
      <c r="CA76" s="32" t="n">
        <v>0</v>
      </c>
      <c r="CB76" s="36" t="n"/>
      <c r="CC76" s="45" t="n">
        <v>40</v>
      </c>
      <c r="CD76" s="47" t="n">
        <v>40</v>
      </c>
      <c r="CE76" s="44" t="n">
        <v>0</v>
      </c>
      <c r="CF76" s="36" t="n"/>
      <c r="CG76" s="45" t="n">
        <v>40</v>
      </c>
      <c r="CH76" s="175" t="n">
        <v>0</v>
      </c>
      <c r="CI76" s="44" t="n">
        <v>50</v>
      </c>
      <c r="CJ76" s="35" t="n"/>
      <c r="CK76" s="45" t="n">
        <v>40</v>
      </c>
      <c r="CL76" s="47" t="n">
        <v>40</v>
      </c>
      <c r="CM76" s="44" t="n">
        <v>0</v>
      </c>
      <c r="CN76" s="35" t="n"/>
      <c r="CO76" s="45" t="n">
        <v>40</v>
      </c>
      <c r="CP76" s="47" t="n">
        <v>40</v>
      </c>
      <c r="CQ76" s="56" t="n">
        <v>50</v>
      </c>
      <c r="CR76" s="35" t="n"/>
      <c r="CS76" s="45" t="n">
        <v>40</v>
      </c>
      <c r="CT76" s="47" t="n">
        <v>40</v>
      </c>
      <c r="CU76" s="44" t="n">
        <v>0</v>
      </c>
      <c r="CV76" s="35" t="n"/>
      <c r="CW76" s="51" t="n">
        <v>40</v>
      </c>
      <c r="CX76" s="47" t="n">
        <v>40</v>
      </c>
      <c r="CY76" s="44" t="n">
        <v>50</v>
      </c>
      <c r="CZ76" s="35" t="n"/>
      <c r="DA76" s="51" t="n">
        <v>40</v>
      </c>
      <c r="DB76" s="47" t="n">
        <v>40</v>
      </c>
      <c r="DC76" s="155" t="n">
        <v>0</v>
      </c>
      <c r="DD76" s="35" t="n"/>
      <c r="DE76" s="51" t="n">
        <v>40</v>
      </c>
      <c r="DF76" s="47" t="n">
        <v>40</v>
      </c>
      <c r="DG76" s="380" t="n">
        <v>100</v>
      </c>
      <c r="DH76" s="35" t="n"/>
      <c r="DI76" s="379">
        <f>BM76+BQ76+BU76+BY76+CC76+CG76+CK76+CO76+CS76+CW76+DA76+DE76</f>
        <v/>
      </c>
      <c r="DJ76" s="379">
        <f>DI76*$I76</f>
        <v/>
      </c>
      <c r="DK76" s="82" t="n">
        <v>40</v>
      </c>
      <c r="DL76" s="35" t="n">
        <v>100</v>
      </c>
      <c r="DM76" s="44" t="n">
        <v>100</v>
      </c>
      <c r="DN76" s="35" t="n"/>
      <c r="DO76" s="82" t="n">
        <v>40</v>
      </c>
      <c r="DP76" s="282" t="n">
        <v>0</v>
      </c>
      <c r="DQ76" s="44" t="n">
        <v>0</v>
      </c>
      <c r="DR76" s="35" t="n"/>
      <c r="DS76" s="82" t="n">
        <v>40</v>
      </c>
      <c r="DT76" s="303" t="n">
        <v>0</v>
      </c>
      <c r="DU76" s="44" t="n">
        <v>0</v>
      </c>
      <c r="DV76" s="35" t="n"/>
      <c r="DW76" s="82" t="n">
        <v>40</v>
      </c>
      <c r="DX76" s="281" t="n">
        <v>0</v>
      </c>
      <c r="DY76" s="44" t="n">
        <v>0</v>
      </c>
      <c r="DZ76" s="36" t="n"/>
      <c r="EA76" s="82" t="n">
        <v>40</v>
      </c>
      <c r="EB76" s="35" t="n">
        <v>50</v>
      </c>
      <c r="EC76" s="44" t="n">
        <v>0</v>
      </c>
      <c r="ED76" s="36" t="n"/>
      <c r="EE76" s="82" t="n">
        <v>40</v>
      </c>
      <c r="EF76" s="35" t="n">
        <v>50</v>
      </c>
      <c r="EG76" s="44" t="n">
        <v>0</v>
      </c>
      <c r="EH76" s="35" t="n"/>
      <c r="EI76" s="82" t="n">
        <v>40</v>
      </c>
      <c r="EJ76" s="35" t="n">
        <v>40</v>
      </c>
      <c r="EK76" s="44" t="n">
        <v>0</v>
      </c>
      <c r="EL76" s="35" t="n"/>
      <c r="EM76" s="82" t="n">
        <v>40</v>
      </c>
      <c r="EN76" s="35" t="n">
        <v>40</v>
      </c>
      <c r="EO76" s="44" t="n">
        <v>0</v>
      </c>
      <c r="EP76" s="35" t="n"/>
      <c r="EQ76" s="82" t="n">
        <v>40</v>
      </c>
      <c r="ER76" s="91" t="n">
        <v>40</v>
      </c>
      <c r="ES76" s="44" t="n">
        <v>0</v>
      </c>
      <c r="ET76" s="35" t="n"/>
      <c r="EU76" s="82" t="n">
        <v>40</v>
      </c>
      <c r="EV76" s="91" t="n">
        <v>40</v>
      </c>
      <c r="EW76" s="44" t="n">
        <v>0</v>
      </c>
      <c r="EX76" s="35" t="n"/>
      <c r="EY76" s="82" t="n">
        <v>40</v>
      </c>
      <c r="EZ76" s="53" t="n">
        <v>40</v>
      </c>
      <c r="FA76" s="288" t="n">
        <v>0</v>
      </c>
      <c r="FB76" s="35" t="n"/>
      <c r="FC76" s="82" t="n">
        <v>40</v>
      </c>
      <c r="FD76" s="92" t="n">
        <v>40</v>
      </c>
      <c r="FE76" s="380" t="n">
        <v>0</v>
      </c>
      <c r="FF76" s="35" t="n"/>
      <c r="FG76" s="379">
        <f>DK76+DO76+DS76+DW76+EA76+EE76+EI76+EM76+EQ76+EU76+EY76+FC76</f>
        <v/>
      </c>
      <c r="FH76" s="379">
        <f>FG76*$I76</f>
        <v/>
      </c>
      <c r="FI76" s="47" t="n">
        <v>40</v>
      </c>
      <c r="FJ76" s="47" t="n"/>
      <c r="FK76" s="44" t="n">
        <v>0</v>
      </c>
      <c r="FL76" s="35" t="n"/>
      <c r="FM76" s="51" t="n">
        <v>50</v>
      </c>
      <c r="FN76" s="47" t="n"/>
      <c r="FO76" s="44" t="n">
        <v>0</v>
      </c>
      <c r="FP76" s="35" t="n"/>
      <c r="FQ76" s="51" t="n">
        <v>50</v>
      </c>
      <c r="FR76" s="47" t="n"/>
      <c r="FS76" s="44" t="n">
        <v>0</v>
      </c>
      <c r="FT76" s="36" t="n"/>
      <c r="FU76" s="51" t="n">
        <v>50</v>
      </c>
      <c r="FV76" s="47" t="n"/>
      <c r="FW76" s="44" t="n">
        <v>0</v>
      </c>
      <c r="FX76" s="36" t="n"/>
      <c r="FY76" s="51" t="n">
        <v>50</v>
      </c>
      <c r="FZ76" s="47" t="n"/>
      <c r="GA76" s="44" t="n">
        <v>0</v>
      </c>
      <c r="GB76" s="36" t="n"/>
      <c r="GC76" s="51" t="n">
        <v>50</v>
      </c>
      <c r="GD76" s="47" t="n"/>
      <c r="GE76" s="44" t="n">
        <v>0</v>
      </c>
      <c r="GF76" s="35" t="n"/>
      <c r="GG76" s="51" t="n">
        <v>50</v>
      </c>
      <c r="GH76" s="47" t="n"/>
      <c r="GI76" s="44" t="n">
        <v>0</v>
      </c>
      <c r="GJ76" s="35" t="n"/>
      <c r="GK76" s="51" t="n">
        <v>80</v>
      </c>
      <c r="GL76" s="47" t="n"/>
      <c r="GM76" s="44" t="n">
        <v>0</v>
      </c>
      <c r="GN76" s="35" t="n"/>
      <c r="GO76" s="51" t="n">
        <v>80</v>
      </c>
      <c r="GP76" s="47" t="n"/>
      <c r="GQ76" s="44" t="n">
        <v>0</v>
      </c>
      <c r="GR76" s="35" t="n"/>
      <c r="GS76" s="51" t="n">
        <v>80</v>
      </c>
      <c r="GT76" s="47" t="n"/>
      <c r="GU76" s="44" t="n">
        <v>0</v>
      </c>
      <c r="GV76" s="35" t="n"/>
      <c r="GW76" s="51" t="n">
        <v>80</v>
      </c>
      <c r="GX76" s="47" t="n"/>
      <c r="GY76" s="49" t="n">
        <v>0</v>
      </c>
      <c r="GZ76" s="35" t="n"/>
      <c r="HA76" s="51" t="n">
        <v>80</v>
      </c>
      <c r="HB76" s="47" t="n"/>
      <c r="HC76" s="380" t="n">
        <v>0</v>
      </c>
      <c r="HD76" s="35" t="n"/>
      <c r="HE76" s="379">
        <f>FI76+FM76+FQ76+FU76+FY76+GC76+GG76+GK76+GO76+GS76+GW76+HA76</f>
        <v/>
      </c>
      <c r="HF76" s="379">
        <f>HE76*$I76</f>
        <v/>
      </c>
      <c r="HG76" s="51" t="n">
        <v>80</v>
      </c>
      <c r="HH76" s="47" t="n"/>
      <c r="HI76" s="44" t="n">
        <v>0</v>
      </c>
      <c r="HJ76" s="35" t="n"/>
      <c r="HK76" s="51" t="n">
        <v>80</v>
      </c>
      <c r="HL76" s="47" t="n"/>
      <c r="HM76" s="44" t="n">
        <v>0</v>
      </c>
      <c r="HN76" s="35" t="n"/>
      <c r="HO76" s="51" t="n">
        <v>80</v>
      </c>
      <c r="HP76" s="47" t="n"/>
      <c r="HQ76" s="44" t="n">
        <v>0</v>
      </c>
      <c r="HR76" s="36" t="n"/>
      <c r="HS76" s="51" t="n">
        <v>100</v>
      </c>
      <c r="HT76" s="47" t="n"/>
      <c r="HU76" s="44" t="n">
        <v>0</v>
      </c>
      <c r="HV76" s="36" t="n"/>
      <c r="HW76" s="51" t="n">
        <v>100</v>
      </c>
      <c r="HX76" s="47" t="n"/>
      <c r="HY76" s="44" t="n">
        <v>0</v>
      </c>
      <c r="HZ76" s="36" t="n"/>
      <c r="IA76" s="51" t="n">
        <v>100</v>
      </c>
      <c r="IB76" s="47" t="n"/>
      <c r="IC76" s="44" t="n">
        <v>0</v>
      </c>
      <c r="ID76" s="35" t="n"/>
      <c r="IE76" s="51" t="n">
        <v>100</v>
      </c>
      <c r="IF76" s="47" t="n"/>
      <c r="IG76" s="44" t="n">
        <v>0</v>
      </c>
      <c r="IH76" s="35" t="n"/>
      <c r="II76" s="51" t="n">
        <v>100</v>
      </c>
      <c r="IJ76" s="47" t="n"/>
      <c r="IK76" s="44" t="n">
        <v>0</v>
      </c>
      <c r="IL76" s="35" t="n"/>
      <c r="IM76" s="51" t="n">
        <v>100</v>
      </c>
      <c r="IN76" s="47" t="n"/>
      <c r="IO76" s="44" t="n">
        <v>0</v>
      </c>
      <c r="IP76" s="35" t="n"/>
      <c r="IQ76" s="51" t="n">
        <v>100</v>
      </c>
      <c r="IR76" s="47" t="n"/>
      <c r="IS76" s="44" t="n">
        <v>0</v>
      </c>
      <c r="IT76" s="35" t="n"/>
      <c r="IU76" s="51" t="n">
        <v>100</v>
      </c>
      <c r="IV76" s="47" t="n"/>
      <c r="IW76" s="49" t="n">
        <v>0</v>
      </c>
      <c r="IX76" s="35" t="n"/>
      <c r="IY76" s="51" t="n">
        <v>100</v>
      </c>
      <c r="IZ76" s="47" t="n"/>
      <c r="JA76" s="380" t="n">
        <v>0</v>
      </c>
      <c r="JB76" s="35" t="n"/>
      <c r="JC76" s="381">
        <f>HG76+HK76+HO76+HS76+HW76+IA76+IE76+II76+IM76+IQ76+IU76+IY76</f>
        <v/>
      </c>
      <c r="JD76" s="381">
        <f>JC76*$I76</f>
        <v/>
      </c>
    </row>
    <row r="77">
      <c r="A77" s="382" t="n"/>
      <c r="B77" s="382" t="n"/>
      <c r="C77" s="382" t="n"/>
      <c r="D77" s="382" t="n"/>
      <c r="E77" s="25" t="n">
        <v>11</v>
      </c>
      <c r="F77" s="25" t="n">
        <v>1</v>
      </c>
      <c r="G77" s="26" t="n">
        <v>4640061000</v>
      </c>
      <c r="H77" s="27" t="inlineStr">
        <is>
          <t>Кран уровня пола без фитингов</t>
        </is>
      </c>
      <c r="I77" s="28" t="n">
        <v>260.17</v>
      </c>
      <c r="J77" s="29" t="n">
        <v>260.17</v>
      </c>
      <c r="K77" s="297" t="n">
        <v>255.74</v>
      </c>
      <c r="L77" s="297" t="n">
        <v>255.74</v>
      </c>
      <c r="M77" s="29" t="n"/>
      <c r="N77" s="29" t="n"/>
      <c r="O77" s="30" t="n">
        <v>0</v>
      </c>
      <c r="P77" s="31" t="n">
        <v>0</v>
      </c>
      <c r="Q77" s="32" t="n">
        <v>0</v>
      </c>
      <c r="R77" s="60" t="n"/>
      <c r="S77" s="30" t="n">
        <v>0</v>
      </c>
      <c r="T77" s="31" t="n">
        <v>0</v>
      </c>
      <c r="U77" s="32" t="n">
        <v>0</v>
      </c>
      <c r="V77" s="31" t="n"/>
      <c r="W77" s="30" t="n">
        <v>0</v>
      </c>
      <c r="X77" s="31" t="n">
        <v>0</v>
      </c>
      <c r="Y77" s="32" t="n">
        <v>0</v>
      </c>
      <c r="Z77" s="34" t="n"/>
      <c r="AA77" s="30" t="n">
        <v>0</v>
      </c>
      <c r="AB77" s="31" t="n">
        <v>0</v>
      </c>
      <c r="AC77" s="32" t="n">
        <v>0</v>
      </c>
      <c r="AD77" s="36" t="n"/>
      <c r="AE77" s="30" t="n">
        <v>0</v>
      </c>
      <c r="AF77" s="31" t="n">
        <v>0</v>
      </c>
      <c r="AG77" s="32" t="n">
        <v>0</v>
      </c>
      <c r="AH77" s="36" t="n"/>
      <c r="AI77" s="30" t="n">
        <v>0</v>
      </c>
      <c r="AJ77" s="31" t="n">
        <v>0</v>
      </c>
      <c r="AK77" s="32" t="n">
        <v>0</v>
      </c>
      <c r="AL77" s="31" t="n"/>
      <c r="AM77" s="30" t="n">
        <v>0</v>
      </c>
      <c r="AN77" s="31" t="n">
        <v>0</v>
      </c>
      <c r="AO77" s="32" t="n">
        <v>0</v>
      </c>
      <c r="AP77" s="31" t="n"/>
      <c r="AQ77" s="30" t="n">
        <v>0</v>
      </c>
      <c r="AR77" s="31" t="n">
        <v>0</v>
      </c>
      <c r="AS77" s="32" t="n">
        <v>0</v>
      </c>
      <c r="AT77" s="31" t="n"/>
      <c r="AU77" s="30" t="n">
        <v>0</v>
      </c>
      <c r="AV77" s="37" t="n">
        <v>0</v>
      </c>
      <c r="AW77" s="32" t="n">
        <v>0</v>
      </c>
      <c r="AX77" s="31" t="n"/>
      <c r="AY77" s="30" t="n">
        <v>0</v>
      </c>
      <c r="AZ77" s="38" t="n">
        <v>0</v>
      </c>
      <c r="BA77" s="32" t="n">
        <v>0</v>
      </c>
      <c r="BB77" s="34" t="n"/>
      <c r="BC77" s="30" t="n">
        <v>0</v>
      </c>
      <c r="BD77" s="39" t="n">
        <v>40</v>
      </c>
      <c r="BE77" s="241" t="n">
        <v>40</v>
      </c>
      <c r="BF77" s="34" t="n"/>
      <c r="BG77" s="41" t="n">
        <v>0</v>
      </c>
      <c r="BH77" s="39" t="n">
        <v>40</v>
      </c>
      <c r="BI77" s="385" t="n">
        <v>50</v>
      </c>
      <c r="BJ77" s="34" t="n"/>
      <c r="BK77" s="381">
        <f>O77+S77+W77+AA77+AE77+AI77+AM77+AQ77+AU77+AY77+BC77+BG77</f>
        <v/>
      </c>
      <c r="BL77" s="381">
        <f>BK77*$I77</f>
        <v/>
      </c>
      <c r="BM77" s="41" t="n">
        <v>40</v>
      </c>
      <c r="BN77" s="47" t="n">
        <v>40</v>
      </c>
      <c r="BO77" s="32" t="n">
        <v>0</v>
      </c>
      <c r="BP77" s="60" t="n"/>
      <c r="BQ77" s="45" t="n">
        <v>40</v>
      </c>
      <c r="BR77" s="47" t="n">
        <v>0</v>
      </c>
      <c r="BS77" s="32" t="n">
        <v>0</v>
      </c>
      <c r="BT77" s="31" t="n"/>
      <c r="BU77" s="45" t="n">
        <v>40</v>
      </c>
      <c r="BV77" s="47" t="n">
        <v>40</v>
      </c>
      <c r="BW77" s="32" t="n">
        <v>0</v>
      </c>
      <c r="BX77" s="34" t="n"/>
      <c r="BY77" s="45" t="n">
        <v>40</v>
      </c>
      <c r="BZ77" s="47" t="n">
        <v>0</v>
      </c>
      <c r="CA77" s="32" t="n">
        <v>0</v>
      </c>
      <c r="CB77" s="36" t="n"/>
      <c r="CC77" s="45" t="n">
        <v>40</v>
      </c>
      <c r="CD77" s="47" t="n">
        <v>40</v>
      </c>
      <c r="CE77" s="44" t="n">
        <v>0</v>
      </c>
      <c r="CF77" s="36" t="n"/>
      <c r="CG77" s="45" t="n">
        <v>40</v>
      </c>
      <c r="CH77" s="242" t="n">
        <v>0</v>
      </c>
      <c r="CI77" s="44" t="n">
        <v>50</v>
      </c>
      <c r="CJ77" s="35" t="n"/>
      <c r="CK77" s="45" t="n">
        <v>40</v>
      </c>
      <c r="CL77" s="47" t="n">
        <v>40</v>
      </c>
      <c r="CM77" s="44" t="n">
        <v>0</v>
      </c>
      <c r="CN77" s="35" t="n"/>
      <c r="CO77" s="45" t="n">
        <v>40</v>
      </c>
      <c r="CP77" s="47" t="n">
        <v>40</v>
      </c>
      <c r="CQ77" s="44" t="n">
        <v>50</v>
      </c>
      <c r="CR77" s="35" t="n"/>
      <c r="CS77" s="45" t="n">
        <v>40</v>
      </c>
      <c r="CT77" s="47" t="n">
        <v>40</v>
      </c>
      <c r="CU77" s="44" t="n">
        <v>50</v>
      </c>
      <c r="CV77" s="35" t="n"/>
      <c r="CW77" s="51" t="n">
        <v>40</v>
      </c>
      <c r="CX77" s="47" t="n">
        <v>40</v>
      </c>
      <c r="CY77" s="44" t="n">
        <v>50</v>
      </c>
      <c r="CZ77" s="35" t="n"/>
      <c r="DA77" s="51" t="n">
        <v>40</v>
      </c>
      <c r="DB77" s="47" t="n">
        <v>40</v>
      </c>
      <c r="DC77" s="155" t="n">
        <v>70</v>
      </c>
      <c r="DD77" s="35" t="n"/>
      <c r="DE77" s="51" t="n">
        <v>40</v>
      </c>
      <c r="DF77" s="47" t="n">
        <v>40</v>
      </c>
      <c r="DG77" s="380" t="n">
        <v>100</v>
      </c>
      <c r="DH77" s="35" t="n"/>
      <c r="DI77" s="379">
        <f>BM77+BQ77+BU77+BY77+CC77+CG77+CK77+CO77+CS77+CW77+DA77+DE77</f>
        <v/>
      </c>
      <c r="DJ77" s="379">
        <f>DI77*$I77</f>
        <v/>
      </c>
      <c r="DK77" s="82" t="n">
        <v>40</v>
      </c>
      <c r="DL77" s="35" t="n">
        <v>100</v>
      </c>
      <c r="DM77" s="44" t="n">
        <v>100</v>
      </c>
      <c r="DN77" s="35" t="n"/>
      <c r="DO77" s="82" t="n">
        <v>40</v>
      </c>
      <c r="DP77" s="282" t="n">
        <v>0</v>
      </c>
      <c r="DQ77" s="44" t="n">
        <v>0</v>
      </c>
      <c r="DR77" s="35" t="n"/>
      <c r="DS77" s="82" t="n">
        <v>40</v>
      </c>
      <c r="DT77" s="303" t="n">
        <v>0</v>
      </c>
      <c r="DU77" s="44" t="n">
        <v>0</v>
      </c>
      <c r="DV77" s="35" t="n"/>
      <c r="DW77" s="82" t="n">
        <v>40</v>
      </c>
      <c r="DX77" s="281" t="n">
        <v>0</v>
      </c>
      <c r="DY77" s="44" t="n">
        <v>0</v>
      </c>
      <c r="DZ77" s="36" t="n"/>
      <c r="EA77" s="82" t="n">
        <v>40</v>
      </c>
      <c r="EB77" s="35" t="n">
        <v>50</v>
      </c>
      <c r="EC77" s="44" t="n">
        <v>0</v>
      </c>
      <c r="ED77" s="36" t="n"/>
      <c r="EE77" s="82" t="n">
        <v>40</v>
      </c>
      <c r="EF77" s="35" t="n">
        <v>50</v>
      </c>
      <c r="EG77" s="44" t="n">
        <v>0</v>
      </c>
      <c r="EH77" s="35" t="n"/>
      <c r="EI77" s="82" t="n">
        <v>40</v>
      </c>
      <c r="EJ77" s="35" t="n">
        <v>40</v>
      </c>
      <c r="EK77" s="44" t="n">
        <v>0</v>
      </c>
      <c r="EL77" s="35" t="n"/>
      <c r="EM77" s="82" t="n">
        <v>40</v>
      </c>
      <c r="EN77" s="35" t="n">
        <v>40</v>
      </c>
      <c r="EO77" s="44" t="n">
        <v>0</v>
      </c>
      <c r="EP77" s="35" t="n"/>
      <c r="EQ77" s="82" t="n">
        <v>40</v>
      </c>
      <c r="ER77" s="91" t="n">
        <v>40</v>
      </c>
      <c r="ES77" s="44" t="n">
        <v>0</v>
      </c>
      <c r="ET77" s="35" t="n"/>
      <c r="EU77" s="82" t="n">
        <v>40</v>
      </c>
      <c r="EV77" s="91" t="n">
        <v>40</v>
      </c>
      <c r="EW77" s="44" t="n">
        <v>0</v>
      </c>
      <c r="EX77" s="35" t="n"/>
      <c r="EY77" s="82" t="n">
        <v>40</v>
      </c>
      <c r="EZ77" s="53" t="n">
        <v>40</v>
      </c>
      <c r="FA77" s="288" t="n">
        <v>0</v>
      </c>
      <c r="FB77" s="35" t="n"/>
      <c r="FC77" s="82" t="n">
        <v>40</v>
      </c>
      <c r="FD77" s="92" t="n">
        <v>40</v>
      </c>
      <c r="FE77" s="380" t="n">
        <v>0</v>
      </c>
      <c r="FF77" s="35" t="n"/>
      <c r="FG77" s="379">
        <f>DK77+DO77+DS77+DW77+EA77+EE77+EI77+EM77+EQ77+EU77+EY77+FC77</f>
        <v/>
      </c>
      <c r="FH77" s="379">
        <f>FG77*$I77</f>
        <v/>
      </c>
      <c r="FI77" s="47" t="n">
        <v>40</v>
      </c>
      <c r="FJ77" s="47" t="n"/>
      <c r="FK77" s="44" t="n">
        <v>0</v>
      </c>
      <c r="FL77" s="61" t="n"/>
      <c r="FM77" s="51" t="n">
        <v>50</v>
      </c>
      <c r="FN77" s="47" t="n"/>
      <c r="FO77" s="44" t="n">
        <v>0</v>
      </c>
      <c r="FP77" s="35" t="n"/>
      <c r="FQ77" s="51" t="n">
        <v>50</v>
      </c>
      <c r="FR77" s="47" t="n"/>
      <c r="FS77" s="44" t="n">
        <v>0</v>
      </c>
      <c r="FT77" s="36" t="n"/>
      <c r="FU77" s="51" t="n">
        <v>50</v>
      </c>
      <c r="FV77" s="47" t="n"/>
      <c r="FW77" s="44" t="n">
        <v>0</v>
      </c>
      <c r="FX77" s="36" t="n"/>
      <c r="FY77" s="51" t="n">
        <v>50</v>
      </c>
      <c r="FZ77" s="47" t="n"/>
      <c r="GA77" s="44" t="n">
        <v>0</v>
      </c>
      <c r="GB77" s="36" t="n"/>
      <c r="GC77" s="51" t="n">
        <v>50</v>
      </c>
      <c r="GD77" s="47" t="n"/>
      <c r="GE77" s="44" t="n">
        <v>0</v>
      </c>
      <c r="GF77" s="35" t="n"/>
      <c r="GG77" s="51" t="n">
        <v>50</v>
      </c>
      <c r="GH77" s="47" t="n"/>
      <c r="GI77" s="44" t="n">
        <v>0</v>
      </c>
      <c r="GJ77" s="35" t="n"/>
      <c r="GK77" s="51" t="n">
        <v>80</v>
      </c>
      <c r="GL77" s="47" t="n"/>
      <c r="GM77" s="44" t="n">
        <v>0</v>
      </c>
      <c r="GN77" s="35" t="n"/>
      <c r="GO77" s="51" t="n">
        <v>80</v>
      </c>
      <c r="GP77" s="47" t="n"/>
      <c r="GQ77" s="44" t="n">
        <v>0</v>
      </c>
      <c r="GR77" s="35" t="n"/>
      <c r="GS77" s="51" t="n">
        <v>80</v>
      </c>
      <c r="GT77" s="47" t="n"/>
      <c r="GU77" s="44" t="n">
        <v>0</v>
      </c>
      <c r="GV77" s="35" t="n"/>
      <c r="GW77" s="51" t="n">
        <v>80</v>
      </c>
      <c r="GX77" s="47" t="n"/>
      <c r="GY77" s="49" t="n">
        <v>0</v>
      </c>
      <c r="GZ77" s="35" t="n"/>
      <c r="HA77" s="51" t="n">
        <v>80</v>
      </c>
      <c r="HB77" s="47" t="n"/>
      <c r="HC77" s="380" t="n">
        <v>0</v>
      </c>
      <c r="HD77" s="35" t="n"/>
      <c r="HE77" s="379">
        <f>FI77+FM77+FQ77+FU77+FY77+GC77+GG77+GK77+GO77+GS77+GW77+HA77</f>
        <v/>
      </c>
      <c r="HF77" s="379">
        <f>HE77*$I77</f>
        <v/>
      </c>
      <c r="HG77" s="51" t="n">
        <v>80</v>
      </c>
      <c r="HH77" s="47" t="n"/>
      <c r="HI77" s="44" t="n">
        <v>0</v>
      </c>
      <c r="HJ77" s="61" t="n"/>
      <c r="HK77" s="51" t="n">
        <v>80</v>
      </c>
      <c r="HL77" s="47" t="n"/>
      <c r="HM77" s="44" t="n">
        <v>0</v>
      </c>
      <c r="HN77" s="35" t="n"/>
      <c r="HO77" s="51" t="n">
        <v>80</v>
      </c>
      <c r="HP77" s="47" t="n"/>
      <c r="HQ77" s="44" t="n">
        <v>0</v>
      </c>
      <c r="HR77" s="36" t="n"/>
      <c r="HS77" s="51" t="n">
        <v>100</v>
      </c>
      <c r="HT77" s="47" t="n"/>
      <c r="HU77" s="44" t="n">
        <v>0</v>
      </c>
      <c r="HV77" s="36" t="n"/>
      <c r="HW77" s="51" t="n">
        <v>100</v>
      </c>
      <c r="HX77" s="47" t="n"/>
      <c r="HY77" s="44" t="n">
        <v>0</v>
      </c>
      <c r="HZ77" s="36" t="n"/>
      <c r="IA77" s="51" t="n">
        <v>100</v>
      </c>
      <c r="IB77" s="47" t="n"/>
      <c r="IC77" s="44" t="n">
        <v>0</v>
      </c>
      <c r="ID77" s="35" t="n"/>
      <c r="IE77" s="51" t="n">
        <v>100</v>
      </c>
      <c r="IF77" s="47" t="n"/>
      <c r="IG77" s="44" t="n">
        <v>0</v>
      </c>
      <c r="IH77" s="35" t="n"/>
      <c r="II77" s="51" t="n">
        <v>100</v>
      </c>
      <c r="IJ77" s="47" t="n"/>
      <c r="IK77" s="44" t="n">
        <v>0</v>
      </c>
      <c r="IL77" s="35" t="n"/>
      <c r="IM77" s="51" t="n">
        <v>100</v>
      </c>
      <c r="IN77" s="47" t="n"/>
      <c r="IO77" s="44" t="n">
        <v>0</v>
      </c>
      <c r="IP77" s="35" t="n"/>
      <c r="IQ77" s="51" t="n">
        <v>100</v>
      </c>
      <c r="IR77" s="47" t="n"/>
      <c r="IS77" s="44" t="n">
        <v>0</v>
      </c>
      <c r="IT77" s="35" t="n"/>
      <c r="IU77" s="51" t="n">
        <v>100</v>
      </c>
      <c r="IV77" s="47" t="n"/>
      <c r="IW77" s="49" t="n">
        <v>0</v>
      </c>
      <c r="IX77" s="35" t="n"/>
      <c r="IY77" s="51" t="n">
        <v>100</v>
      </c>
      <c r="IZ77" s="47" t="n"/>
      <c r="JA77" s="380" t="n">
        <v>0</v>
      </c>
      <c r="JB77" s="35" t="n"/>
      <c r="JC77" s="381">
        <f>HG77+HK77+HO77+HS77+HW77+IA77+IE77+II77+IM77+IQ77+IU77+IY77</f>
        <v/>
      </c>
      <c r="JD77" s="381">
        <f>JC77*$I77</f>
        <v/>
      </c>
    </row>
    <row r="78">
      <c r="A78" s="382" t="n"/>
      <c r="B78" s="382" t="n"/>
      <c r="C78" s="382" t="n"/>
      <c r="D78" s="382" t="n"/>
      <c r="E78" s="25" t="n">
        <v>12</v>
      </c>
      <c r="F78" s="25" t="n">
        <v>1</v>
      </c>
      <c r="G78" s="26" t="n">
        <v>4630840310</v>
      </c>
      <c r="H78" s="27" t="inlineStr">
        <is>
          <t>Клапан подъема оси</t>
        </is>
      </c>
      <c r="I78" s="28" t="n">
        <v>417.5</v>
      </c>
      <c r="J78" s="29" t="n">
        <v>417.5</v>
      </c>
      <c r="K78" s="297" t="n">
        <v>386.49</v>
      </c>
      <c r="L78" s="297" t="n">
        <v>386.49</v>
      </c>
      <c r="M78" s="29" t="n"/>
      <c r="N78" s="29" t="n"/>
      <c r="O78" s="30" t="n">
        <v>0</v>
      </c>
      <c r="P78" s="31" t="n">
        <v>0</v>
      </c>
      <c r="Q78" s="32" t="n">
        <v>0</v>
      </c>
      <c r="R78" s="31" t="n"/>
      <c r="S78" s="30" t="n">
        <v>0</v>
      </c>
      <c r="T78" s="31" t="n">
        <v>0</v>
      </c>
      <c r="U78" s="32" t="n">
        <v>0</v>
      </c>
      <c r="V78" s="31" t="n"/>
      <c r="W78" s="30" t="n">
        <v>0</v>
      </c>
      <c r="X78" s="31" t="n">
        <v>0</v>
      </c>
      <c r="Y78" s="32" t="n">
        <v>0</v>
      </c>
      <c r="Z78" s="34" t="n"/>
      <c r="AA78" s="30" t="n">
        <v>0</v>
      </c>
      <c r="AB78" s="31" t="n">
        <v>0</v>
      </c>
      <c r="AC78" s="32" t="n">
        <v>0</v>
      </c>
      <c r="AD78" s="36" t="n"/>
      <c r="AE78" s="30" t="n">
        <v>0</v>
      </c>
      <c r="AF78" s="31" t="n">
        <v>0</v>
      </c>
      <c r="AG78" s="32" t="n">
        <v>0</v>
      </c>
      <c r="AH78" s="36" t="n"/>
      <c r="AI78" s="30" t="n">
        <v>0</v>
      </c>
      <c r="AJ78" s="31" t="n">
        <v>0</v>
      </c>
      <c r="AK78" s="32" t="n">
        <v>0</v>
      </c>
      <c r="AL78" s="31" t="n"/>
      <c r="AM78" s="30" t="n">
        <v>0</v>
      </c>
      <c r="AN78" s="31" t="n">
        <v>0</v>
      </c>
      <c r="AO78" s="32" t="n">
        <v>0</v>
      </c>
      <c r="AP78" s="31" t="n"/>
      <c r="AQ78" s="30" t="n">
        <v>0</v>
      </c>
      <c r="AR78" s="31" t="n">
        <v>0</v>
      </c>
      <c r="AS78" s="32" t="n">
        <v>0</v>
      </c>
      <c r="AT78" s="31" t="n"/>
      <c r="AU78" s="30" t="n">
        <v>0</v>
      </c>
      <c r="AV78" s="37" t="n">
        <v>0</v>
      </c>
      <c r="AW78" s="32" t="n">
        <v>0</v>
      </c>
      <c r="AX78" s="31" t="n"/>
      <c r="AY78" s="30" t="n">
        <v>0</v>
      </c>
      <c r="AZ78" s="38" t="n">
        <v>0</v>
      </c>
      <c r="BA78" s="32" t="n">
        <v>0</v>
      </c>
      <c r="BB78" s="34" t="n"/>
      <c r="BC78" s="30" t="n">
        <v>0</v>
      </c>
      <c r="BD78" s="39" t="n">
        <v>80</v>
      </c>
      <c r="BE78" s="40" t="n">
        <v>80</v>
      </c>
      <c r="BF78" s="34" t="n"/>
      <c r="BG78" s="41" t="n">
        <v>0</v>
      </c>
      <c r="BH78" s="39" t="n">
        <v>80</v>
      </c>
      <c r="BI78" s="136" t="n">
        <v>0</v>
      </c>
      <c r="BJ78" s="34" t="n"/>
      <c r="BK78" s="381">
        <f>O78+S78+W78+AA78+AE78+AI78+AM78+AQ78+AU78+AY78+BC78+BG78</f>
        <v/>
      </c>
      <c r="BL78" s="381">
        <f>BK78*$I78</f>
        <v/>
      </c>
      <c r="BM78" s="41" t="n">
        <v>80</v>
      </c>
      <c r="BN78" s="47" t="n">
        <v>80</v>
      </c>
      <c r="BO78" s="32" t="n">
        <v>0</v>
      </c>
      <c r="BP78" s="31" t="n"/>
      <c r="BQ78" s="45" t="n">
        <v>80</v>
      </c>
      <c r="BR78" s="47" t="n">
        <v>0</v>
      </c>
      <c r="BS78" s="32" t="n">
        <v>0</v>
      </c>
      <c r="BT78" s="31" t="n"/>
      <c r="BU78" s="45" t="n">
        <v>80</v>
      </c>
      <c r="BV78" s="47" t="n">
        <v>80</v>
      </c>
      <c r="BW78" s="32" t="n">
        <v>0</v>
      </c>
      <c r="BX78" s="34" t="n"/>
      <c r="BY78" s="45" t="n">
        <v>80</v>
      </c>
      <c r="BZ78" s="47" t="n">
        <v>0</v>
      </c>
      <c r="CA78" s="32" t="n">
        <v>0</v>
      </c>
      <c r="CB78" s="36" t="n"/>
      <c r="CC78" s="45" t="n">
        <v>80</v>
      </c>
      <c r="CD78" s="47" t="n">
        <v>80</v>
      </c>
      <c r="CE78" s="44" t="n">
        <v>0</v>
      </c>
      <c r="CF78" s="36" t="n"/>
      <c r="CG78" s="45" t="n">
        <v>80</v>
      </c>
      <c r="CH78" s="242" t="n">
        <v>0</v>
      </c>
      <c r="CI78" s="44" t="n">
        <v>50</v>
      </c>
      <c r="CJ78" s="35" t="n"/>
      <c r="CK78" s="45" t="n">
        <v>80</v>
      </c>
      <c r="CL78" s="47" t="n">
        <v>80</v>
      </c>
      <c r="CM78" s="44" t="n">
        <v>0</v>
      </c>
      <c r="CN78" s="35" t="n"/>
      <c r="CO78" s="45" t="n">
        <v>80</v>
      </c>
      <c r="CP78" s="47" t="n">
        <v>80</v>
      </c>
      <c r="CQ78" s="44" t="n">
        <v>100</v>
      </c>
      <c r="CR78" s="35" t="n"/>
      <c r="CS78" s="45" t="n">
        <v>80</v>
      </c>
      <c r="CT78" s="47" t="n">
        <v>80</v>
      </c>
      <c r="CU78" s="44" t="n">
        <v>100</v>
      </c>
      <c r="CV78" s="35" t="n"/>
      <c r="CW78" s="51" t="n">
        <v>80</v>
      </c>
      <c r="CX78" s="47" t="n">
        <v>80</v>
      </c>
      <c r="CY78" s="44" t="n">
        <v>100</v>
      </c>
      <c r="CZ78" s="35" t="n"/>
      <c r="DA78" s="51" t="n">
        <v>80</v>
      </c>
      <c r="DB78" s="47" t="n">
        <v>80</v>
      </c>
      <c r="DC78" s="155" t="n">
        <v>140</v>
      </c>
      <c r="DD78" s="35" t="n"/>
      <c r="DE78" s="51" t="n">
        <v>80</v>
      </c>
      <c r="DF78" s="47" t="n">
        <v>80</v>
      </c>
      <c r="DG78" s="380" t="n">
        <v>170</v>
      </c>
      <c r="DH78" s="35" t="n"/>
      <c r="DI78" s="379">
        <f>BM78+BQ78+BU78+BY78+CC78+CG78+CK78+CO78+CS78+CW78+DA78+DE78</f>
        <v/>
      </c>
      <c r="DJ78" s="379">
        <f>DI78*$I78</f>
        <v/>
      </c>
      <c r="DK78" s="82" t="n">
        <v>80</v>
      </c>
      <c r="DL78" s="35" t="n">
        <v>170</v>
      </c>
      <c r="DM78" s="44" t="n">
        <v>170</v>
      </c>
      <c r="DN78" s="35" t="n"/>
      <c r="DO78" s="82" t="n">
        <v>80</v>
      </c>
      <c r="DP78" s="282" t="n">
        <v>0</v>
      </c>
      <c r="DQ78" s="44" t="n">
        <v>0</v>
      </c>
      <c r="DR78" s="35" t="n"/>
      <c r="DS78" s="82" t="n">
        <v>80</v>
      </c>
      <c r="DT78" s="303" t="n">
        <v>0</v>
      </c>
      <c r="DU78" s="44" t="n">
        <v>0</v>
      </c>
      <c r="DV78" s="35" t="n"/>
      <c r="DW78" s="82" t="n">
        <v>80</v>
      </c>
      <c r="DX78" s="281" t="n">
        <v>0</v>
      </c>
      <c r="DY78" s="44" t="n">
        <v>0</v>
      </c>
      <c r="DZ78" s="36" t="n"/>
      <c r="EA78" s="82" t="n">
        <v>80</v>
      </c>
      <c r="EB78" s="35" t="n">
        <v>90</v>
      </c>
      <c r="EC78" s="44" t="n">
        <v>0</v>
      </c>
      <c r="ED78" s="36" t="n"/>
      <c r="EE78" s="82" t="n">
        <v>80</v>
      </c>
      <c r="EF78" s="35" t="n">
        <v>90</v>
      </c>
      <c r="EG78" s="44" t="n">
        <v>0</v>
      </c>
      <c r="EH78" s="35" t="n"/>
      <c r="EI78" s="82" t="n">
        <v>80</v>
      </c>
      <c r="EJ78" s="35" t="n">
        <v>80</v>
      </c>
      <c r="EK78" s="44" t="n">
        <v>0</v>
      </c>
      <c r="EL78" s="35" t="n"/>
      <c r="EM78" s="82" t="n">
        <v>80</v>
      </c>
      <c r="EN78" s="35" t="n">
        <v>80</v>
      </c>
      <c r="EO78" s="44" t="n">
        <v>0</v>
      </c>
      <c r="EP78" s="35" t="n"/>
      <c r="EQ78" s="82" t="n">
        <v>80</v>
      </c>
      <c r="ER78" s="91" t="n">
        <v>80</v>
      </c>
      <c r="ES78" s="44" t="n">
        <v>0</v>
      </c>
      <c r="ET78" s="35" t="n"/>
      <c r="EU78" s="82" t="n">
        <v>80</v>
      </c>
      <c r="EV78" s="91" t="n">
        <v>80</v>
      </c>
      <c r="EW78" s="44" t="n">
        <v>0</v>
      </c>
      <c r="EX78" s="35" t="n"/>
      <c r="EY78" s="82" t="n">
        <v>80</v>
      </c>
      <c r="EZ78" s="53" t="n">
        <v>80</v>
      </c>
      <c r="FA78" s="288" t="n">
        <v>0</v>
      </c>
      <c r="FB78" s="35" t="n"/>
      <c r="FC78" s="82" t="n">
        <v>80</v>
      </c>
      <c r="FD78" s="92" t="n">
        <v>80</v>
      </c>
      <c r="FE78" s="380" t="n">
        <v>0</v>
      </c>
      <c r="FF78" s="35" t="n"/>
      <c r="FG78" s="379">
        <f>DK78+DO78+DS78+DW78+EA78+EE78+EI78+EM78+EQ78+EU78+EY78+FC78</f>
        <v/>
      </c>
      <c r="FH78" s="379">
        <f>FG78*$I78</f>
        <v/>
      </c>
      <c r="FI78" s="47" t="n">
        <v>80</v>
      </c>
      <c r="FJ78" s="47" t="n"/>
      <c r="FK78" s="44" t="n">
        <v>0</v>
      </c>
      <c r="FL78" s="35" t="n"/>
      <c r="FM78" s="51" t="n">
        <v>100</v>
      </c>
      <c r="FN78" s="47" t="n"/>
      <c r="FO78" s="44" t="n">
        <v>0</v>
      </c>
      <c r="FP78" s="35" t="n"/>
      <c r="FQ78" s="51" t="n">
        <v>100</v>
      </c>
      <c r="FR78" s="47" t="n"/>
      <c r="FS78" s="44" t="n">
        <v>0</v>
      </c>
      <c r="FT78" s="36" t="n"/>
      <c r="FU78" s="51" t="n">
        <v>100</v>
      </c>
      <c r="FV78" s="47" t="n"/>
      <c r="FW78" s="44" t="n">
        <v>0</v>
      </c>
      <c r="FX78" s="36" t="n"/>
      <c r="FY78" s="51" t="n">
        <v>100</v>
      </c>
      <c r="FZ78" s="47" t="n"/>
      <c r="GA78" s="44" t="n">
        <v>0</v>
      </c>
      <c r="GB78" s="36" t="n"/>
      <c r="GC78" s="51" t="n">
        <v>100</v>
      </c>
      <c r="GD78" s="47" t="n"/>
      <c r="GE78" s="44" t="n">
        <v>0</v>
      </c>
      <c r="GF78" s="35" t="n"/>
      <c r="GG78" s="51" t="n">
        <v>100</v>
      </c>
      <c r="GH78" s="47" t="n"/>
      <c r="GI78" s="44" t="n">
        <v>0</v>
      </c>
      <c r="GJ78" s="35" t="n"/>
      <c r="GK78" s="51" t="n">
        <v>160</v>
      </c>
      <c r="GL78" s="47" t="n"/>
      <c r="GM78" s="44" t="n">
        <v>0</v>
      </c>
      <c r="GN78" s="35" t="n"/>
      <c r="GO78" s="51" t="n">
        <v>160</v>
      </c>
      <c r="GP78" s="47" t="n"/>
      <c r="GQ78" s="44" t="n">
        <v>0</v>
      </c>
      <c r="GR78" s="35" t="n"/>
      <c r="GS78" s="51" t="n">
        <v>160</v>
      </c>
      <c r="GT78" s="47" t="n"/>
      <c r="GU78" s="44" t="n">
        <v>0</v>
      </c>
      <c r="GV78" s="35" t="n"/>
      <c r="GW78" s="51" t="n">
        <v>160</v>
      </c>
      <c r="GX78" s="47" t="n"/>
      <c r="GY78" s="49" t="n">
        <v>0</v>
      </c>
      <c r="GZ78" s="35" t="n"/>
      <c r="HA78" s="51" t="n">
        <v>160</v>
      </c>
      <c r="HB78" s="47" t="n"/>
      <c r="HC78" s="380" t="n">
        <v>0</v>
      </c>
      <c r="HD78" s="35" t="n"/>
      <c r="HE78" s="379">
        <f>FI78+FM78+FQ78+FU78+FY78+GC78+GG78+GK78+GO78+GS78+GW78+HA78</f>
        <v/>
      </c>
      <c r="HF78" s="379">
        <f>HE78*$I78</f>
        <v/>
      </c>
      <c r="HG78" s="51" t="n">
        <v>160</v>
      </c>
      <c r="HH78" s="47" t="n"/>
      <c r="HI78" s="44" t="n">
        <v>0</v>
      </c>
      <c r="HJ78" s="35" t="n"/>
      <c r="HK78" s="51" t="n">
        <v>160</v>
      </c>
      <c r="HL78" s="47" t="n"/>
      <c r="HM78" s="44" t="n">
        <v>0</v>
      </c>
      <c r="HN78" s="35" t="n"/>
      <c r="HO78" s="51" t="n">
        <v>160</v>
      </c>
      <c r="HP78" s="47" t="n"/>
      <c r="HQ78" s="44" t="n">
        <v>0</v>
      </c>
      <c r="HR78" s="36" t="n"/>
      <c r="HS78" s="51" t="n">
        <v>200</v>
      </c>
      <c r="HT78" s="47" t="n"/>
      <c r="HU78" s="44" t="n">
        <v>0</v>
      </c>
      <c r="HV78" s="36" t="n"/>
      <c r="HW78" s="51" t="n">
        <v>200</v>
      </c>
      <c r="HX78" s="47" t="n"/>
      <c r="HY78" s="44" t="n">
        <v>0</v>
      </c>
      <c r="HZ78" s="36" t="n"/>
      <c r="IA78" s="51" t="n">
        <v>200</v>
      </c>
      <c r="IB78" s="47" t="n"/>
      <c r="IC78" s="44" t="n">
        <v>0</v>
      </c>
      <c r="ID78" s="35" t="n"/>
      <c r="IE78" s="51" t="n">
        <v>200</v>
      </c>
      <c r="IF78" s="47" t="n"/>
      <c r="IG78" s="44" t="n">
        <v>0</v>
      </c>
      <c r="IH78" s="35" t="n"/>
      <c r="II78" s="51" t="n">
        <v>200</v>
      </c>
      <c r="IJ78" s="47" t="n"/>
      <c r="IK78" s="44" t="n">
        <v>0</v>
      </c>
      <c r="IL78" s="35" t="n"/>
      <c r="IM78" s="51" t="n">
        <v>200</v>
      </c>
      <c r="IN78" s="47" t="n"/>
      <c r="IO78" s="44" t="n">
        <v>0</v>
      </c>
      <c r="IP78" s="35" t="n"/>
      <c r="IQ78" s="51" t="n">
        <v>200</v>
      </c>
      <c r="IR78" s="47" t="n"/>
      <c r="IS78" s="44" t="n">
        <v>0</v>
      </c>
      <c r="IT78" s="35" t="n"/>
      <c r="IU78" s="51" t="n">
        <v>200</v>
      </c>
      <c r="IV78" s="47" t="n"/>
      <c r="IW78" s="49" t="n">
        <v>0</v>
      </c>
      <c r="IX78" s="35" t="n"/>
      <c r="IY78" s="51" t="n">
        <v>200</v>
      </c>
      <c r="IZ78" s="47" t="n"/>
      <c r="JA78" s="380" t="n">
        <v>0</v>
      </c>
      <c r="JB78" s="35" t="n"/>
      <c r="JC78" s="381">
        <f>HG78+HK78+HO78+HS78+HW78+IA78+IE78+II78+IM78+IQ78+IU78+IY78</f>
        <v/>
      </c>
      <c r="JD78" s="381">
        <f>JC78*$I78</f>
        <v/>
      </c>
    </row>
    <row r="79">
      <c r="A79" s="382" t="n"/>
      <c r="B79" s="382" t="n"/>
      <c r="C79" s="382" t="n"/>
      <c r="D79" s="382" t="n"/>
      <c r="E79" s="25" t="n">
        <v>13</v>
      </c>
      <c r="F79" s="25" t="n">
        <v>1</v>
      </c>
      <c r="G79" s="26" t="n">
        <v>4494430600</v>
      </c>
      <c r="H79" s="27" t="inlineStr">
        <is>
          <t>Кабель клапана подъема оси</t>
        </is>
      </c>
      <c r="I79" s="28" t="n">
        <v>124.17</v>
      </c>
      <c r="J79" s="29" t="n">
        <v>124.17</v>
      </c>
      <c r="K79" s="29" t="n">
        <v>124.17</v>
      </c>
      <c r="L79" s="29" t="n">
        <v>124.17</v>
      </c>
      <c r="M79" s="29" t="n"/>
      <c r="N79" s="29" t="n"/>
      <c r="O79" s="30" t="n">
        <v>0</v>
      </c>
      <c r="P79" s="31" t="n">
        <v>0</v>
      </c>
      <c r="Q79" s="32" t="n">
        <v>0</v>
      </c>
      <c r="R79" s="31" t="n"/>
      <c r="S79" s="30" t="n">
        <v>0</v>
      </c>
      <c r="T79" s="31" t="n">
        <v>0</v>
      </c>
      <c r="U79" s="32" t="n">
        <v>0</v>
      </c>
      <c r="V79" s="31" t="n"/>
      <c r="W79" s="30" t="n">
        <v>0</v>
      </c>
      <c r="X79" s="31" t="n">
        <v>0</v>
      </c>
      <c r="Y79" s="32" t="n">
        <v>0</v>
      </c>
      <c r="Z79" s="31" t="n"/>
      <c r="AA79" s="30" t="n">
        <v>0</v>
      </c>
      <c r="AB79" s="31" t="n">
        <v>0</v>
      </c>
      <c r="AC79" s="32" t="n">
        <v>0</v>
      </c>
      <c r="AD79" s="36" t="n"/>
      <c r="AE79" s="30" t="n">
        <v>0</v>
      </c>
      <c r="AF79" s="31" t="n">
        <v>0</v>
      </c>
      <c r="AG79" s="32" t="n">
        <v>0</v>
      </c>
      <c r="AH79" s="36" t="n"/>
      <c r="AI79" s="30" t="n">
        <v>0</v>
      </c>
      <c r="AJ79" s="31" t="n">
        <v>0</v>
      </c>
      <c r="AK79" s="32" t="n">
        <v>0</v>
      </c>
      <c r="AL79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M79" s="30" t="n">
        <v>0</v>
      </c>
      <c r="AN79" s="31" t="n">
        <v>0</v>
      </c>
      <c r="AO79" s="32" t="n">
        <v>0</v>
      </c>
      <c r="AP79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Q79" s="30" t="n">
        <v>0</v>
      </c>
      <c r="AR79" s="31" t="n">
        <v>0</v>
      </c>
      <c r="AS79" s="32" t="n">
        <v>0</v>
      </c>
      <c r="AT79" s="31" t="n"/>
      <c r="AU79" s="30" t="n">
        <v>0</v>
      </c>
      <c r="AV79" s="31" t="n">
        <v>0</v>
      </c>
      <c r="AW79" s="32" t="n">
        <v>0</v>
      </c>
      <c r="AX79" s="31" t="n"/>
      <c r="AY79" s="30" t="n">
        <v>0</v>
      </c>
      <c r="AZ79" s="31" t="n">
        <v>0</v>
      </c>
      <c r="BA79" s="32" t="n">
        <v>0</v>
      </c>
      <c r="BB79" s="34" t="n"/>
      <c r="BC79" s="30" t="n">
        <v>0</v>
      </c>
      <c r="BD79" s="37" t="n">
        <v>0</v>
      </c>
      <c r="BE79" s="241" t="n">
        <v>0</v>
      </c>
      <c r="BF79" s="34" t="n"/>
      <c r="BG79" s="41" t="n">
        <v>0</v>
      </c>
      <c r="BH79" s="37" t="n">
        <v>0</v>
      </c>
      <c r="BI79" s="136" t="n">
        <v>0</v>
      </c>
      <c r="BJ79" s="34" t="n"/>
      <c r="BK79" s="381">
        <f>O79+S79+W79+AA79+AE79+AI79+AM79+AQ79+AU79+AY79+BC79+BG79</f>
        <v/>
      </c>
      <c r="BL79" s="381">
        <f>BK79*$I79</f>
        <v/>
      </c>
      <c r="BM79" s="41" t="n">
        <v>0</v>
      </c>
      <c r="BN79" s="35" t="n">
        <v>0</v>
      </c>
      <c r="BO79" s="32" t="n">
        <v>0</v>
      </c>
      <c r="BP79" s="31" t="n"/>
      <c r="BQ79" s="45" t="n">
        <v>0</v>
      </c>
      <c r="BR79" s="35" t="n">
        <v>0</v>
      </c>
      <c r="BS79" s="32" t="n">
        <v>0</v>
      </c>
      <c r="BT79" s="31" t="n"/>
      <c r="BU79" s="45" t="n">
        <v>0</v>
      </c>
      <c r="BV79" s="35" t="n">
        <v>0</v>
      </c>
      <c r="BW79" s="32" t="n"/>
      <c r="BX79" s="31" t="n"/>
      <c r="BY79" s="45" t="n">
        <v>0</v>
      </c>
      <c r="BZ79" s="35" t="n">
        <v>0</v>
      </c>
      <c r="CA79" s="32" t="n">
        <v>0</v>
      </c>
      <c r="CB79" s="36" t="n"/>
      <c r="CC79" s="45" t="n">
        <v>0</v>
      </c>
      <c r="CD79" s="35" t="n">
        <v>0</v>
      </c>
      <c r="CE79" s="44" t="n">
        <v>0</v>
      </c>
      <c r="CF79" s="36" t="n"/>
      <c r="CG79" s="45" t="n">
        <v>0</v>
      </c>
      <c r="CH79" s="35" t="n">
        <v>0</v>
      </c>
      <c r="CI79" s="44" t="n">
        <v>0</v>
      </c>
      <c r="CJ79" s="35" t="n"/>
      <c r="CK79" s="45" t="n">
        <v>0</v>
      </c>
      <c r="CL79" s="35" t="n">
        <v>0</v>
      </c>
      <c r="CM79" s="44" t="n">
        <v>0</v>
      </c>
      <c r="CN79" s="35" t="n"/>
      <c r="CO79" s="45" t="n">
        <v>0</v>
      </c>
      <c r="CP79" s="35" t="n">
        <v>0</v>
      </c>
      <c r="CQ79" s="44" t="n"/>
      <c r="CR79" s="35" t="n"/>
      <c r="CS79" s="45" t="n">
        <v>0</v>
      </c>
      <c r="CT79" s="35" t="n">
        <v>0</v>
      </c>
      <c r="CU79" s="44" t="n"/>
      <c r="CV79" s="35" t="n"/>
      <c r="CW79" s="51" t="n">
        <v>0</v>
      </c>
      <c r="CX79" s="47" t="n">
        <v>0</v>
      </c>
      <c r="CY79" s="44" t="n">
        <v>0</v>
      </c>
      <c r="CZ79" s="35" t="n"/>
      <c r="DA79" s="51" t="n">
        <v>0</v>
      </c>
      <c r="DB79" s="47" t="n">
        <v>0</v>
      </c>
      <c r="DC79" s="155" t="n"/>
      <c r="DD79" s="35" t="n"/>
      <c r="DE79" s="51" t="n">
        <v>0</v>
      </c>
      <c r="DF79" s="47" t="n">
        <v>0</v>
      </c>
      <c r="DG79" s="380" t="n"/>
      <c r="DH79" s="35" t="n"/>
      <c r="DI79" s="379">
        <f>BM79+BQ79+BU79+BY79+CC79+CG79+CK79+CO79+CS79+CW79+DA79+DE79</f>
        <v/>
      </c>
      <c r="DJ79" s="379">
        <f>DI79*$I79</f>
        <v/>
      </c>
      <c r="DK79" s="82" t="n">
        <v>0</v>
      </c>
      <c r="DL79" s="35" t="n"/>
      <c r="DM79" s="44" t="n"/>
      <c r="DN79" s="35" t="n"/>
      <c r="DO79" s="82" t="n">
        <v>0</v>
      </c>
      <c r="DP79" s="35" t="n"/>
      <c r="DQ79" s="44" t="n">
        <v>0</v>
      </c>
      <c r="DR79" s="35" t="n"/>
      <c r="DS79" s="82" t="n">
        <v>0</v>
      </c>
      <c r="DT79" s="35" t="n"/>
      <c r="DU79" s="44" t="n">
        <v>0</v>
      </c>
      <c r="DV79" s="35" t="n"/>
      <c r="DW79" s="82" t="n">
        <v>0</v>
      </c>
      <c r="DX79" s="282" t="n">
        <v>0</v>
      </c>
      <c r="DY79" s="44" t="n"/>
      <c r="DZ79" s="36" t="n"/>
      <c r="EA79" s="82" t="n">
        <v>0</v>
      </c>
      <c r="EB79" s="35" t="n">
        <v>0</v>
      </c>
      <c r="EC79" s="44" t="n">
        <v>0</v>
      </c>
      <c r="ED79" s="36" t="n"/>
      <c r="EE79" s="82" t="n">
        <v>0</v>
      </c>
      <c r="EF79" s="35" t="n">
        <v>0</v>
      </c>
      <c r="EG79" s="44" t="n"/>
      <c r="EH79" s="35" t="n"/>
      <c r="EI79" s="82" t="n">
        <v>0</v>
      </c>
      <c r="EJ79" s="35" t="n">
        <v>0</v>
      </c>
      <c r="EK79" s="44" t="n"/>
      <c r="EL79" s="35" t="n"/>
      <c r="EM79" s="82" t="n">
        <v>0</v>
      </c>
      <c r="EN79" s="35" t="n">
        <v>0</v>
      </c>
      <c r="EO79" s="44" t="n"/>
      <c r="EP79" s="35" t="n"/>
      <c r="EQ79" s="82" t="n">
        <v>0</v>
      </c>
      <c r="ER79" s="91" t="n">
        <v>0</v>
      </c>
      <c r="ES79" s="44" t="n"/>
      <c r="ET79" s="35" t="n"/>
      <c r="EU79" s="82" t="n">
        <v>0</v>
      </c>
      <c r="EV79" s="91" t="n">
        <v>0</v>
      </c>
      <c r="EW79" s="44" t="n"/>
      <c r="EX79" s="35" t="n"/>
      <c r="EY79" s="82" t="n">
        <v>0</v>
      </c>
      <c r="EZ79" s="53" t="n">
        <v>0</v>
      </c>
      <c r="FA79" s="288" t="n"/>
      <c r="FB79" s="35" t="n"/>
      <c r="FC79" s="82" t="n">
        <v>0</v>
      </c>
      <c r="FD79" s="92" t="n">
        <v>0</v>
      </c>
      <c r="FE79" s="380" t="n"/>
      <c r="FF79" s="35" t="n"/>
      <c r="FG79" s="379">
        <f>DK79+DO79+DS79+DW79+EA79+EE79+EI79+EM79+EQ79+EU79+EY79+FC79</f>
        <v/>
      </c>
      <c r="FH79" s="379">
        <f>FG79*$I79</f>
        <v/>
      </c>
      <c r="FI79" s="47" t="n">
        <v>0</v>
      </c>
      <c r="FJ79" s="35" t="n"/>
      <c r="FK79" s="44" t="n"/>
      <c r="FL79" s="35" t="n"/>
      <c r="FM79" s="51" t="n">
        <v>0</v>
      </c>
      <c r="FN79" s="35" t="n"/>
      <c r="FO79" s="44" t="n"/>
      <c r="FP79" s="35" t="n"/>
      <c r="FQ79" s="51" t="n">
        <v>0</v>
      </c>
      <c r="FR79" s="35" t="n"/>
      <c r="FS79" s="44" t="n"/>
      <c r="FT79" s="35" t="n"/>
      <c r="FU79" s="51" t="n">
        <v>0</v>
      </c>
      <c r="FV79" s="35" t="n"/>
      <c r="FW79" s="44" t="n"/>
      <c r="FX79" s="36" t="n"/>
      <c r="FY79" s="51" t="n">
        <v>0</v>
      </c>
      <c r="FZ79" s="35" t="n"/>
      <c r="GA79" s="44" t="n"/>
      <c r="GB79" s="36" t="n"/>
      <c r="GC79" s="51" t="n">
        <v>0</v>
      </c>
      <c r="GD79" s="35" t="n"/>
      <c r="GE79" s="44" t="n"/>
      <c r="GF79" s="35" t="n"/>
      <c r="GG79" s="51" t="n">
        <v>0</v>
      </c>
      <c r="GH79" s="35" t="n"/>
      <c r="GI79" s="44" t="n"/>
      <c r="GJ79" s="35" t="n"/>
      <c r="GK79" s="51" t="n">
        <v>0</v>
      </c>
      <c r="GL79" s="35" t="n"/>
      <c r="GM79" s="44" t="n"/>
      <c r="GN79" s="35" t="n"/>
      <c r="GO79" s="51" t="n">
        <v>0</v>
      </c>
      <c r="GP79" s="35" t="n"/>
      <c r="GQ79" s="44" t="n"/>
      <c r="GR79" s="35" t="n"/>
      <c r="GS79" s="51" t="n">
        <v>0</v>
      </c>
      <c r="GT79" s="47" t="n"/>
      <c r="GU79" s="44" t="n"/>
      <c r="GV79" s="35" t="n"/>
      <c r="GW79" s="51" t="n">
        <v>0</v>
      </c>
      <c r="GX79" s="47" t="n"/>
      <c r="GY79" s="49" t="n"/>
      <c r="GZ79" s="35" t="n"/>
      <c r="HA79" s="51" t="n">
        <v>0</v>
      </c>
      <c r="HB79" s="47" t="n"/>
      <c r="HC79" s="380" t="n"/>
      <c r="HD79" s="35" t="n"/>
      <c r="HE79" s="379">
        <f>FI79+FM79+FQ79+FU79+FY79+GC79+GG79+GK79+GO79+GS79+GW79+HA79</f>
        <v/>
      </c>
      <c r="HF79" s="379">
        <f>HE79*$I79</f>
        <v/>
      </c>
      <c r="HG79" s="51" t="n">
        <v>0</v>
      </c>
      <c r="HH79" s="35" t="n"/>
      <c r="HI79" s="44" t="n"/>
      <c r="HJ79" s="35" t="n"/>
      <c r="HK79" s="51" t="n">
        <v>0</v>
      </c>
      <c r="HL79" s="35" t="n"/>
      <c r="HM79" s="44" t="n"/>
      <c r="HN79" s="35" t="n"/>
      <c r="HO79" s="51" t="n">
        <v>0</v>
      </c>
      <c r="HP79" s="35" t="n"/>
      <c r="HQ79" s="44" t="n"/>
      <c r="HR79" s="35" t="n"/>
      <c r="HS79" s="51" t="n">
        <v>0</v>
      </c>
      <c r="HT79" s="35" t="n"/>
      <c r="HU79" s="44" t="n"/>
      <c r="HV79" s="36" t="n"/>
      <c r="HW79" s="51" t="n">
        <v>0</v>
      </c>
      <c r="HX79" s="35" t="n"/>
      <c r="HY79" s="44" t="n"/>
      <c r="HZ79" s="36" t="n"/>
      <c r="IA79" s="51" t="n">
        <v>0</v>
      </c>
      <c r="IB79" s="35" t="n"/>
      <c r="IC79" s="44" t="n"/>
      <c r="ID79" s="35" t="n"/>
      <c r="IE79" s="51" t="n">
        <v>0</v>
      </c>
      <c r="IF79" s="35" t="n"/>
      <c r="IG79" s="44" t="n"/>
      <c r="IH79" s="35" t="n"/>
      <c r="II79" s="51" t="n">
        <v>0</v>
      </c>
      <c r="IJ79" s="35" t="n"/>
      <c r="IK79" s="44" t="n"/>
      <c r="IL79" s="35" t="n"/>
      <c r="IM79" s="51" t="n">
        <v>0</v>
      </c>
      <c r="IN79" s="35" t="n"/>
      <c r="IO79" s="44" t="n"/>
      <c r="IP79" s="35" t="n"/>
      <c r="IQ79" s="51" t="n">
        <v>0</v>
      </c>
      <c r="IR79" s="47" t="n"/>
      <c r="IS79" s="44" t="n"/>
      <c r="IT79" s="35" t="n"/>
      <c r="IU79" s="51" t="n">
        <v>0</v>
      </c>
      <c r="IV79" s="47" t="n"/>
      <c r="IW79" s="49" t="n"/>
      <c r="IX79" s="35" t="n"/>
      <c r="IY79" s="51" t="n">
        <v>0</v>
      </c>
      <c r="IZ79" s="47" t="n"/>
      <c r="JA79" s="380" t="n"/>
      <c r="JB79" s="35" t="n"/>
      <c r="JC79" s="381">
        <f>HG79+HK79+HO79+HS79+HW79+IA79+IE79+II79+IM79+IQ79+IU79+IY79</f>
        <v/>
      </c>
      <c r="JD79" s="381">
        <f>JC79*$I79</f>
        <v/>
      </c>
    </row>
    <row r="80" customFormat="1" s="64">
      <c r="A80" s="382" t="n"/>
      <c r="B80" s="382" t="n"/>
      <c r="C80" s="382" t="n"/>
      <c r="D80" s="382" t="n"/>
      <c r="E80" s="25" t="n">
        <v>14</v>
      </c>
      <c r="F80" s="25" t="n">
        <v>1</v>
      </c>
      <c r="G80" s="66" t="n">
        <v>4491731500</v>
      </c>
      <c r="H80" s="67" t="inlineStr">
        <is>
          <t>Кабель питания для п/п 15 м</t>
        </is>
      </c>
      <c r="I80" s="68" t="n">
        <v>860.87</v>
      </c>
      <c r="J80" s="69" t="n">
        <v>860.87</v>
      </c>
      <c r="K80" s="69" t="n">
        <v>860.87</v>
      </c>
      <c r="L80" s="69" t="n">
        <v>860.87</v>
      </c>
      <c r="M80" s="69" t="n"/>
      <c r="N80" s="69" t="n"/>
      <c r="O80" s="70" t="n"/>
      <c r="P80" s="71" t="n"/>
      <c r="Q80" s="72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4" t="n"/>
      <c r="AC80" s="73" t="n"/>
      <c r="AD80" s="75" t="n"/>
      <c r="AE80" s="73" t="n"/>
      <c r="AF80" s="76" t="n"/>
      <c r="AG80" s="73" t="n"/>
      <c r="AH80" s="75" t="n"/>
      <c r="AI80" s="77" t="n"/>
      <c r="AJ80" s="78" t="n"/>
      <c r="AK80" s="73" t="n"/>
      <c r="AL80" s="73" t="n"/>
      <c r="AM80" s="77" t="n"/>
      <c r="AN80" s="77" t="n"/>
      <c r="AO80" s="73" t="n"/>
      <c r="AP80" s="73" t="n"/>
      <c r="AQ80" s="77" t="n"/>
      <c r="AR80" s="79" t="n"/>
      <c r="AS80" s="73" t="n"/>
      <c r="AT80" s="73" t="n"/>
      <c r="AU80" s="77" t="n"/>
      <c r="AV80" s="77" t="n"/>
      <c r="AW80" s="73" t="n"/>
      <c r="AX80" s="73" t="n"/>
      <c r="AY80" s="70" t="n"/>
      <c r="AZ80" s="80" t="n"/>
      <c r="BA80" s="32" t="n">
        <v>0</v>
      </c>
      <c r="BB80" s="100" t="n"/>
      <c r="BC80" s="30" t="n"/>
      <c r="BD80" s="31" t="n"/>
      <c r="BE80" s="40" t="n">
        <v>0</v>
      </c>
      <c r="BF80" s="34" t="n"/>
      <c r="BG80" s="41" t="n"/>
      <c r="BH80" s="31" t="n"/>
      <c r="BI80" s="136" t="n">
        <v>0</v>
      </c>
      <c r="BJ80" s="34" t="n"/>
      <c r="BK80" s="381" t="n"/>
      <c r="BL80" s="381" t="n"/>
      <c r="BM80" s="41" t="n"/>
      <c r="BN80" s="37" t="n"/>
      <c r="BO80" s="32" t="n"/>
      <c r="BP80" s="31" t="n"/>
      <c r="BQ80" s="41" t="n"/>
      <c r="BR80" s="37" t="n"/>
      <c r="BS80" s="32" t="n"/>
      <c r="BT80" s="31" t="n"/>
      <c r="BU80" s="41" t="n"/>
      <c r="BV80" s="31" t="n"/>
      <c r="BW80" s="32" t="n"/>
      <c r="BX80" s="31" t="n"/>
      <c r="BY80" s="41" t="n"/>
      <c r="BZ80" s="35" t="n"/>
      <c r="CA80" s="32" t="n"/>
      <c r="CB80" s="36" t="n"/>
      <c r="CC80" s="41" t="n"/>
      <c r="CD80" s="35" t="n"/>
      <c r="CE80" s="44" t="n">
        <v>0</v>
      </c>
      <c r="CF80" s="36" t="n"/>
      <c r="CG80" s="45" t="n"/>
      <c r="CH80" s="35" t="n"/>
      <c r="CI80" s="44" t="n">
        <v>0</v>
      </c>
      <c r="CJ80" s="35" t="n"/>
      <c r="CK80" s="45" t="n"/>
      <c r="CL80" s="35" t="n"/>
      <c r="CM80" s="44" t="n">
        <v>0</v>
      </c>
      <c r="CN80" s="35" t="n"/>
      <c r="CO80" s="45" t="n"/>
      <c r="CP80" s="35" t="n"/>
      <c r="CQ80" s="44" t="n"/>
      <c r="CR80" s="35" t="n"/>
      <c r="CS80" s="45" t="n"/>
      <c r="CT80" s="35" t="n"/>
      <c r="CU80" s="44" t="n"/>
      <c r="CV80" s="35" t="n"/>
      <c r="CW80" s="45" t="n"/>
      <c r="CX80" s="35" t="n"/>
      <c r="CY80" s="44" t="n">
        <v>0</v>
      </c>
      <c r="CZ80" s="35" t="n"/>
      <c r="DA80" s="45" t="n"/>
      <c r="DB80" s="53" t="n"/>
      <c r="DC80" s="155" t="n"/>
      <c r="DD80" s="35" t="n"/>
      <c r="DE80" s="45" t="n"/>
      <c r="DF80" s="53" t="n"/>
      <c r="DG80" s="380" t="n"/>
      <c r="DH80" s="35" t="n"/>
      <c r="DI80" s="379" t="n"/>
      <c r="DJ80" s="379" t="n"/>
      <c r="DK80" s="82" t="n"/>
      <c r="DL80" s="35" t="n"/>
      <c r="DM80" s="44" t="n"/>
      <c r="DN80" s="35" t="n"/>
      <c r="DO80" s="82" t="n"/>
      <c r="DP80" s="35" t="n"/>
      <c r="DQ80" s="44" t="n">
        <v>0</v>
      </c>
      <c r="DR80" s="35" t="n"/>
      <c r="DS80" s="82" t="n"/>
      <c r="DT80" s="35" t="n"/>
      <c r="DU80" s="44" t="n">
        <v>0</v>
      </c>
      <c r="DV80" s="35" t="n"/>
      <c r="DW80" s="82" t="n"/>
      <c r="DX80" s="35" t="n"/>
      <c r="DY80" s="44" t="n"/>
      <c r="DZ80" s="36" t="n"/>
      <c r="EA80" s="82" t="n"/>
      <c r="EB80" s="35" t="n"/>
      <c r="EC80" s="44" t="n">
        <v>0</v>
      </c>
      <c r="ED80" s="36" t="n"/>
      <c r="EE80" s="82" t="n"/>
      <c r="EF80" s="35" t="n"/>
      <c r="EG80" s="44" t="n"/>
      <c r="EH80" s="35" t="n"/>
      <c r="EI80" s="82" t="n"/>
      <c r="EJ80" s="35" t="n"/>
      <c r="EK80" s="44" t="n"/>
      <c r="EL80" s="35" t="n"/>
      <c r="EM80" s="82" t="n"/>
      <c r="EN80" s="35" t="n"/>
      <c r="EO80" s="44" t="n"/>
      <c r="EP80" s="35" t="n"/>
      <c r="EQ80" s="82" t="n"/>
      <c r="ER80" s="91" t="n"/>
      <c r="ES80" s="44" t="n"/>
      <c r="ET80" s="35" t="n"/>
      <c r="EU80" s="82" t="n"/>
      <c r="EV80" s="91" t="n"/>
      <c r="EW80" s="44" t="n"/>
      <c r="EX80" s="35" t="n"/>
      <c r="EY80" s="82" t="n"/>
      <c r="EZ80" s="53" t="n"/>
      <c r="FA80" s="288" t="n"/>
      <c r="FB80" s="35" t="n"/>
      <c r="FC80" s="82" t="n"/>
      <c r="FD80" s="92" t="n"/>
      <c r="FE80" s="380" t="n"/>
      <c r="FF80" s="35" t="n"/>
      <c r="FG80" s="379" t="n"/>
      <c r="FH80" s="379" t="n"/>
      <c r="FI80" s="47" t="n"/>
      <c r="FJ80" s="35" t="n"/>
      <c r="FK80" s="44" t="n"/>
      <c r="FL80" s="35" t="n"/>
      <c r="FM80" s="51" t="n"/>
      <c r="FN80" s="35" t="n"/>
      <c r="FO80" s="44" t="n"/>
      <c r="FP80" s="35" t="n"/>
      <c r="FQ80" s="51" t="n"/>
      <c r="FR80" s="35" t="n"/>
      <c r="FS80" s="44" t="n"/>
      <c r="FT80" s="35" t="n"/>
      <c r="FU80" s="51" t="n"/>
      <c r="FV80" s="35" t="n"/>
      <c r="FW80" s="44" t="n"/>
      <c r="FX80" s="36" t="n"/>
      <c r="FY80" s="51" t="n"/>
      <c r="FZ80" s="35" t="n"/>
      <c r="GA80" s="44" t="n"/>
      <c r="GB80" s="36" t="n"/>
      <c r="GC80" s="51" t="n"/>
      <c r="GD80" s="35" t="n"/>
      <c r="GE80" s="44" t="n"/>
      <c r="GF80" s="35" t="n"/>
      <c r="GG80" s="51" t="n"/>
      <c r="GH80" s="35" t="n"/>
      <c r="GI80" s="44" t="n"/>
      <c r="GJ80" s="35" t="n"/>
      <c r="GK80" s="51" t="n"/>
      <c r="GL80" s="35" t="n"/>
      <c r="GM80" s="44" t="n"/>
      <c r="GN80" s="35" t="n"/>
      <c r="GO80" s="51" t="n"/>
      <c r="GP80" s="35" t="n"/>
      <c r="GQ80" s="44" t="n"/>
      <c r="GR80" s="35" t="n"/>
      <c r="GS80" s="45" t="n"/>
      <c r="GT80" s="35" t="n"/>
      <c r="GU80" s="44" t="n"/>
      <c r="GV80" s="35" t="n"/>
      <c r="GW80" s="45" t="n">
        <v>80</v>
      </c>
      <c r="GX80" s="53" t="n"/>
      <c r="GY80" s="49" t="n">
        <v>0</v>
      </c>
      <c r="GZ80" s="35" t="n"/>
      <c r="HA80" s="45" t="n">
        <v>80</v>
      </c>
      <c r="HB80" s="53" t="n"/>
      <c r="HC80" s="380" t="n">
        <v>0</v>
      </c>
      <c r="HD80" s="35" t="n"/>
      <c r="HE80" s="379" t="n"/>
      <c r="HF80" s="379" t="n"/>
      <c r="HG80" s="51" t="n">
        <v>80</v>
      </c>
      <c r="HH80" s="35" t="n"/>
      <c r="HI80" s="44" t="n">
        <v>0</v>
      </c>
      <c r="HJ80" s="35" t="n"/>
      <c r="HK80" s="51" t="n">
        <v>80</v>
      </c>
      <c r="HL80" s="35" t="n"/>
      <c r="HM80" s="44" t="n">
        <v>0</v>
      </c>
      <c r="HN80" s="35" t="n"/>
      <c r="HO80" s="51" t="n">
        <v>80</v>
      </c>
      <c r="HP80" s="35" t="n"/>
      <c r="HQ80" s="44" t="n">
        <v>0</v>
      </c>
      <c r="HR80" s="35" t="n"/>
      <c r="HS80" s="51" t="n">
        <v>100</v>
      </c>
      <c r="HT80" s="35" t="n"/>
      <c r="HU80" s="44" t="n">
        <v>0</v>
      </c>
      <c r="HV80" s="36" t="n"/>
      <c r="HW80" s="51" t="n">
        <v>100</v>
      </c>
      <c r="HX80" s="35" t="n"/>
      <c r="HY80" s="44" t="n">
        <v>0</v>
      </c>
      <c r="HZ80" s="36" t="n"/>
      <c r="IA80" s="51" t="n">
        <v>100</v>
      </c>
      <c r="IB80" s="35" t="n"/>
      <c r="IC80" s="44" t="n">
        <v>0</v>
      </c>
      <c r="ID80" s="35" t="n"/>
      <c r="IE80" s="51" t="n">
        <v>100</v>
      </c>
      <c r="IF80" s="35" t="n"/>
      <c r="IG80" s="44" t="n">
        <v>0</v>
      </c>
      <c r="IH80" s="35" t="n"/>
      <c r="II80" s="51" t="n">
        <v>100</v>
      </c>
      <c r="IJ80" s="35" t="n"/>
      <c r="IK80" s="44" t="n">
        <v>0</v>
      </c>
      <c r="IL80" s="35" t="n"/>
      <c r="IM80" s="51" t="n">
        <v>100</v>
      </c>
      <c r="IN80" s="35" t="n"/>
      <c r="IO80" s="44" t="n">
        <v>0</v>
      </c>
      <c r="IP80" s="35" t="n"/>
      <c r="IQ80" s="51" t="n">
        <v>100</v>
      </c>
      <c r="IR80" s="35" t="n"/>
      <c r="IS80" s="44" t="n">
        <v>0</v>
      </c>
      <c r="IT80" s="35" t="n"/>
      <c r="IU80" s="51" t="n">
        <v>100</v>
      </c>
      <c r="IV80" s="53" t="n"/>
      <c r="IW80" s="49" t="n">
        <v>0</v>
      </c>
      <c r="IX80" s="35" t="n"/>
      <c r="IY80" s="51" t="n">
        <v>100</v>
      </c>
      <c r="IZ80" s="53" t="n"/>
      <c r="JA80" s="380" t="n">
        <v>0</v>
      </c>
      <c r="JB80" s="35" t="n"/>
      <c r="JC80" s="381">
        <f>HG80+HK80+HO80+HS80+HW80+IA80+IE80+II80+IM80+IQ80+IU80+IY80</f>
        <v/>
      </c>
      <c r="JD80" s="381">
        <f>JC80*$I80</f>
        <v/>
      </c>
    </row>
    <row r="81" ht="14.7" customFormat="1" customHeight="1" s="93">
      <c r="A81" s="382" t="n"/>
      <c r="B81" s="382" t="n"/>
      <c r="C81" s="382" t="n"/>
      <c r="D81" s="382" t="n"/>
      <c r="E81" s="25" t="n">
        <v>15</v>
      </c>
      <c r="F81" s="83" t="n">
        <v>1</v>
      </c>
      <c r="G81" s="83" t="n">
        <v>9730110000</v>
      </c>
      <c r="H81" s="67" t="inlineStr">
        <is>
          <t>Ускорительный клапан</t>
        </is>
      </c>
      <c r="I81" s="84" t="n"/>
      <c r="J81" s="85" t="n">
        <v>117.5</v>
      </c>
      <c r="K81" s="85" t="n">
        <v>117.5</v>
      </c>
      <c r="L81" s="85" t="n">
        <v>117.5</v>
      </c>
      <c r="M81" s="85" t="n"/>
      <c r="N81" s="85" t="n"/>
      <c r="O81" s="70" t="n"/>
      <c r="P81" s="71" t="n"/>
      <c r="Q81" s="72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4" t="n"/>
      <c r="AC81" s="73" t="n"/>
      <c r="AD81" s="75" t="n"/>
      <c r="AE81" s="73" t="n"/>
      <c r="AF81" s="76" t="n"/>
      <c r="AG81" s="73" t="n"/>
      <c r="AH81" s="75" t="n"/>
      <c r="AI81" s="77" t="n"/>
      <c r="AJ81" s="78" t="n"/>
      <c r="AK81" s="73" t="n"/>
      <c r="AL81" s="73" t="n"/>
      <c r="AM81" s="77" t="n"/>
      <c r="AN81" s="77" t="n"/>
      <c r="AO81" s="73" t="n"/>
      <c r="AP81" s="73" t="n"/>
      <c r="AQ81" s="77" t="n"/>
      <c r="AR81" s="79" t="n"/>
      <c r="AS81" s="73" t="n"/>
      <c r="AT81" s="73" t="n"/>
      <c r="AU81" s="77" t="n"/>
      <c r="AV81" s="77" t="n"/>
      <c r="AW81" s="73" t="n"/>
      <c r="AX81" s="73" t="n"/>
      <c r="AY81" s="70" t="n"/>
      <c r="AZ81" s="80" t="n"/>
      <c r="BA81" s="32" t="n"/>
      <c r="BB81" s="81" t="n"/>
      <c r="BC81" s="30" t="n"/>
      <c r="BD81" s="86" t="n"/>
      <c r="BE81" s="87" t="n"/>
      <c r="BF81" s="34" t="n"/>
      <c r="BG81" s="41" t="n"/>
      <c r="BH81" s="88" t="n">
        <v>0</v>
      </c>
      <c r="BI81" s="42" t="n">
        <v>0</v>
      </c>
      <c r="BJ81" s="34" t="n"/>
      <c r="BK81" s="381" t="n"/>
      <c r="BL81" s="381" t="n"/>
      <c r="BM81" s="41" t="n"/>
      <c r="BN81" s="35" t="n">
        <v>0</v>
      </c>
      <c r="BO81" s="44" t="n">
        <v>0</v>
      </c>
      <c r="BP81" s="35" t="n"/>
      <c r="BQ81" s="45" t="n"/>
      <c r="BR81" s="82" t="n">
        <v>0</v>
      </c>
      <c r="BS81" s="44" t="n">
        <v>0</v>
      </c>
      <c r="BT81" s="35" t="n"/>
      <c r="BU81" s="45" t="n"/>
      <c r="BV81" s="46" t="n">
        <v>0</v>
      </c>
      <c r="BW81" s="44" t="n"/>
      <c r="BX81" s="35" t="n"/>
      <c r="BY81" s="45" t="n"/>
      <c r="BZ81" s="82" t="n">
        <v>0</v>
      </c>
      <c r="CA81" s="44" t="n"/>
      <c r="CB81" s="36" t="n"/>
      <c r="CC81" s="45" t="n"/>
      <c r="CD81" s="52" t="n">
        <v>30</v>
      </c>
      <c r="CE81" s="44" t="n">
        <v>0</v>
      </c>
      <c r="CF81" s="36" t="n"/>
      <c r="CG81" s="45" t="n"/>
      <c r="CH81" s="242" t="n">
        <v>0</v>
      </c>
      <c r="CI81" s="44" t="n">
        <v>0</v>
      </c>
      <c r="CJ81" s="35" t="n"/>
      <c r="CK81" s="45" t="n"/>
      <c r="CL81" s="242" t="n">
        <v>0</v>
      </c>
      <c r="CM81" s="44" t="n">
        <v>0</v>
      </c>
      <c r="CN81" s="35" t="n"/>
      <c r="CO81" s="45" t="n"/>
      <c r="CP81" s="243" t="n">
        <v>0</v>
      </c>
      <c r="CQ81" s="44" t="n"/>
      <c r="CR81" s="35" t="n"/>
      <c r="CS81" s="45" t="n"/>
      <c r="CT81" s="244" t="n">
        <v>0</v>
      </c>
      <c r="CU81" s="44" t="n"/>
      <c r="CV81" s="35" t="n"/>
      <c r="CW81" s="45" t="n"/>
      <c r="CX81" s="244" t="n">
        <v>0</v>
      </c>
      <c r="CY81" s="44" t="n">
        <v>0</v>
      </c>
      <c r="CZ81" s="35" t="n"/>
      <c r="DA81" s="45" t="n"/>
      <c r="DB81" s="245" t="n">
        <v>0</v>
      </c>
      <c r="DC81" s="284" t="n"/>
      <c r="DD81" s="35" t="n"/>
      <c r="DE81" s="45" t="n"/>
      <c r="DF81" s="246" t="n">
        <v>0</v>
      </c>
      <c r="DG81" s="380" t="n"/>
      <c r="DH81" s="35" t="n"/>
      <c r="DI81" s="379">
        <f>BM81+BQ81+BU81+BY81+CC81+CG81+CK81+CO81+CS81+CW81+DA81+DE81</f>
        <v/>
      </c>
      <c r="DJ81" s="379" t="n"/>
      <c r="DK81" s="82" t="n">
        <v>0</v>
      </c>
      <c r="DL81" s="35" t="n"/>
      <c r="DM81" s="44" t="n"/>
      <c r="DN81" s="35" t="n"/>
      <c r="DO81" s="82" t="n">
        <v>0</v>
      </c>
      <c r="DP81" s="35" t="n"/>
      <c r="DQ81" s="44" t="n">
        <v>0</v>
      </c>
      <c r="DR81" s="35" t="n"/>
      <c r="DS81" s="82" t="n">
        <v>0</v>
      </c>
      <c r="DT81" s="35" t="n"/>
      <c r="DU81" s="44" t="n">
        <v>0</v>
      </c>
      <c r="DV81" s="35" t="n"/>
      <c r="DW81" s="82" t="n">
        <v>0</v>
      </c>
      <c r="DX81" s="35" t="n">
        <v>0</v>
      </c>
      <c r="DY81" s="44" t="n"/>
      <c r="DZ81" s="36" t="n"/>
      <c r="EA81" s="82" t="n">
        <v>0</v>
      </c>
      <c r="EB81" s="35" t="n">
        <v>0</v>
      </c>
      <c r="EC81" s="44" t="n">
        <v>0</v>
      </c>
      <c r="ED81" s="36" t="n"/>
      <c r="EE81" s="82" t="n">
        <v>30</v>
      </c>
      <c r="EF81" s="35" t="n">
        <v>30</v>
      </c>
      <c r="EG81" s="44" t="n">
        <v>0</v>
      </c>
      <c r="EH81" s="35" t="n"/>
      <c r="EI81" s="82" t="n">
        <v>30</v>
      </c>
      <c r="EJ81" s="35" t="n">
        <v>30</v>
      </c>
      <c r="EK81" s="44" t="n">
        <v>0</v>
      </c>
      <c r="EL81" s="35" t="n"/>
      <c r="EM81" s="82" t="n">
        <v>30</v>
      </c>
      <c r="EN81" s="35" t="n">
        <v>30</v>
      </c>
      <c r="EO81" s="44" t="n">
        <v>0</v>
      </c>
      <c r="EP81" s="35" t="n"/>
      <c r="EQ81" s="82" t="n">
        <v>30</v>
      </c>
      <c r="ER81" s="91" t="n">
        <v>30</v>
      </c>
      <c r="ES81" s="44" t="n">
        <v>0</v>
      </c>
      <c r="ET81" s="35" t="n"/>
      <c r="EU81" s="82" t="n">
        <v>30</v>
      </c>
      <c r="EV81" s="91" t="n">
        <v>30</v>
      </c>
      <c r="EW81" s="44" t="n">
        <v>0</v>
      </c>
      <c r="EX81" s="35" t="n"/>
      <c r="EY81" s="82" t="n">
        <v>30</v>
      </c>
      <c r="EZ81" s="53" t="n">
        <v>30</v>
      </c>
      <c r="FA81" s="288" t="n">
        <v>0</v>
      </c>
      <c r="FB81" s="35" t="n"/>
      <c r="FC81" s="82" t="n">
        <v>30</v>
      </c>
      <c r="FD81" s="92" t="n">
        <v>30</v>
      </c>
      <c r="FE81" s="380" t="n">
        <v>0</v>
      </c>
      <c r="FF81" s="35" t="n"/>
      <c r="FG81" s="379">
        <f>DK81+DO81+DS81+DW81+EA81+EE81+EI81+EM81+EQ81+EU81+EY81+FC81</f>
        <v/>
      </c>
      <c r="FH81" s="379" t="n"/>
      <c r="FI81" s="52" t="n">
        <v>30</v>
      </c>
      <c r="FJ81" s="35" t="n"/>
      <c r="FK81" s="44" t="n">
        <v>0</v>
      </c>
      <c r="FL81" s="35" t="n"/>
      <c r="FM81" s="51" t="n">
        <v>35</v>
      </c>
      <c r="FN81" s="82" t="n"/>
      <c r="FO81" s="44" t="n">
        <v>0</v>
      </c>
      <c r="FP81" s="35" t="n"/>
      <c r="FQ81" s="51" t="n">
        <v>35</v>
      </c>
      <c r="FR81" s="46" t="n"/>
      <c r="FS81" s="44" t="n">
        <v>0</v>
      </c>
      <c r="FT81" s="35" t="n"/>
      <c r="FU81" s="51" t="n">
        <v>35</v>
      </c>
      <c r="FV81" s="82" t="n"/>
      <c r="FW81" s="44" t="n">
        <v>0</v>
      </c>
      <c r="FX81" s="36" t="n"/>
      <c r="FY81" s="51" t="n">
        <v>35</v>
      </c>
      <c r="FZ81" s="52" t="n"/>
      <c r="GA81" s="44" t="n">
        <v>0</v>
      </c>
      <c r="GB81" s="36" t="n"/>
      <c r="GC81" s="51" t="n">
        <v>35</v>
      </c>
      <c r="GD81" s="52" t="n"/>
      <c r="GE81" s="44" t="n">
        <v>0</v>
      </c>
      <c r="GF81" s="35" t="n"/>
      <c r="GG81" s="51" t="n">
        <v>35</v>
      </c>
      <c r="GH81" s="52" t="n"/>
      <c r="GI81" s="44" t="n">
        <v>0</v>
      </c>
      <c r="GJ81" s="35" t="n"/>
      <c r="GK81" s="51" t="n">
        <v>50</v>
      </c>
      <c r="GL81" s="91" t="n"/>
      <c r="GM81" s="44" t="n">
        <v>0</v>
      </c>
      <c r="GN81" s="35" t="n"/>
      <c r="GO81" s="51" t="n">
        <v>50</v>
      </c>
      <c r="GP81" s="91" t="n"/>
      <c r="GQ81" s="44" t="n">
        <v>0</v>
      </c>
      <c r="GR81" s="35" t="n"/>
      <c r="GS81" s="45" t="n">
        <v>50</v>
      </c>
      <c r="GT81" s="91" t="n"/>
      <c r="GU81" s="44" t="n">
        <v>0</v>
      </c>
      <c r="GV81" s="35" t="n"/>
      <c r="GW81" s="45" t="n">
        <v>50</v>
      </c>
      <c r="GX81" s="53" t="n"/>
      <c r="GY81" s="90" t="n">
        <v>0</v>
      </c>
      <c r="GZ81" s="35" t="n"/>
      <c r="HA81" s="45" t="n">
        <v>50</v>
      </c>
      <c r="HB81" s="92" t="n"/>
      <c r="HC81" s="380" t="n">
        <v>0</v>
      </c>
      <c r="HD81" s="35" t="n"/>
      <c r="HE81" s="379">
        <f>FI81+FM81+FQ81+FU81+FY81+GC81+GG81+GK81+GO81+GS81+GW81+HA81</f>
        <v/>
      </c>
      <c r="HF81" s="379" t="n"/>
      <c r="HG81" s="51" t="n">
        <v>50</v>
      </c>
      <c r="HH81" s="35" t="n"/>
      <c r="HI81" s="44" t="n">
        <v>0</v>
      </c>
      <c r="HJ81" s="35" t="n"/>
      <c r="HK81" s="51" t="n">
        <v>50</v>
      </c>
      <c r="HL81" s="82" t="n"/>
      <c r="HM81" s="44" t="n">
        <v>0</v>
      </c>
      <c r="HN81" s="35" t="n"/>
      <c r="HO81" s="51" t="n">
        <v>50</v>
      </c>
      <c r="HP81" s="46" t="n"/>
      <c r="HQ81" s="44" t="n">
        <v>0</v>
      </c>
      <c r="HR81" s="35" t="n"/>
      <c r="HS81" s="51" t="n">
        <v>100</v>
      </c>
      <c r="HT81" s="82" t="n"/>
      <c r="HU81" s="44" t="n">
        <v>0</v>
      </c>
      <c r="HV81" s="36" t="n"/>
      <c r="HW81" s="51" t="n">
        <v>100</v>
      </c>
      <c r="HX81" s="52" t="n"/>
      <c r="HY81" s="44" t="n">
        <v>0</v>
      </c>
      <c r="HZ81" s="36" t="n"/>
      <c r="IA81" s="51" t="n">
        <v>100</v>
      </c>
      <c r="IB81" s="52" t="n"/>
      <c r="IC81" s="44" t="n">
        <v>0</v>
      </c>
      <c r="ID81" s="35" t="n"/>
      <c r="IE81" s="51" t="n">
        <v>100</v>
      </c>
      <c r="IF81" s="52" t="n"/>
      <c r="IG81" s="44" t="n">
        <v>0</v>
      </c>
      <c r="IH81" s="35" t="n"/>
      <c r="II81" s="51" t="n">
        <v>100</v>
      </c>
      <c r="IJ81" s="91" t="n"/>
      <c r="IK81" s="44" t="n">
        <v>0</v>
      </c>
      <c r="IL81" s="35" t="n"/>
      <c r="IM81" s="51" t="n">
        <v>100</v>
      </c>
      <c r="IN81" s="91" t="n"/>
      <c r="IO81" s="44" t="n">
        <v>0</v>
      </c>
      <c r="IP81" s="35" t="n"/>
      <c r="IQ81" s="51" t="n">
        <v>100</v>
      </c>
      <c r="IR81" s="91" t="n"/>
      <c r="IS81" s="44" t="n">
        <v>0</v>
      </c>
      <c r="IT81" s="35" t="n"/>
      <c r="IU81" s="51" t="n">
        <v>100</v>
      </c>
      <c r="IV81" s="53" t="n"/>
      <c r="IW81" s="90" t="n">
        <v>0</v>
      </c>
      <c r="IX81" s="35" t="n"/>
      <c r="IY81" s="51" t="n">
        <v>100</v>
      </c>
      <c r="IZ81" s="92" t="n"/>
      <c r="JA81" s="380" t="n">
        <v>0</v>
      </c>
      <c r="JB81" s="35" t="n"/>
      <c r="JC81" s="381">
        <f>HG81+HK81+HO81+HS81+HW81+IA81+IE81+II81+IM81+IQ81+IU81+IY81</f>
        <v/>
      </c>
      <c r="JD81" s="381" t="n"/>
    </row>
    <row r="82">
      <c r="A82" s="232" t="n"/>
      <c r="B82" s="232" t="n"/>
      <c r="C82" s="232" t="n"/>
      <c r="D82" s="382" t="n"/>
      <c r="E82" s="25" t="n">
        <v>16</v>
      </c>
      <c r="F82" s="83" t="n">
        <v>1</v>
      </c>
      <c r="G82" s="83" t="n">
        <v>4750103050</v>
      </c>
      <c r="H82" s="67" t="inlineStr">
        <is>
          <t>Клапан ограничения давления</t>
        </is>
      </c>
      <c r="I82" s="84" t="n"/>
      <c r="J82" s="85" t="n">
        <v>61.39</v>
      </c>
      <c r="K82" s="85" t="n">
        <v>61.39</v>
      </c>
      <c r="L82" s="85" t="n">
        <v>61.39</v>
      </c>
      <c r="M82" s="85" t="n"/>
      <c r="N82" s="85" t="n"/>
      <c r="O82" s="70" t="n"/>
      <c r="P82" s="71" t="n"/>
      <c r="Q82" s="72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4" t="n"/>
      <c r="AC82" s="73" t="n"/>
      <c r="AD82" s="75" t="n"/>
      <c r="AE82" s="73" t="n"/>
      <c r="AF82" s="76" t="n"/>
      <c r="AG82" s="73" t="n"/>
      <c r="AH82" s="75" t="n"/>
      <c r="AI82" s="77" t="n"/>
      <c r="AJ82" s="78" t="n"/>
      <c r="AK82" s="73" t="n"/>
      <c r="AL82" s="73" t="n"/>
      <c r="AM82" s="77" t="n"/>
      <c r="AN82" s="77" t="n"/>
      <c r="AO82" s="73" t="n"/>
      <c r="AP82" s="73" t="n"/>
      <c r="AQ82" s="77" t="n"/>
      <c r="AR82" s="79" t="n"/>
      <c r="AS82" s="73" t="n"/>
      <c r="AT82" s="73" t="n"/>
      <c r="AU82" s="77" t="n"/>
      <c r="AV82" s="77" t="n"/>
      <c r="AW82" s="73" t="n"/>
      <c r="AX82" s="73" t="n"/>
      <c r="AY82" s="70" t="n"/>
      <c r="AZ82" s="80" t="n"/>
      <c r="BA82" s="32" t="n"/>
      <c r="BB82" s="81" t="n"/>
      <c r="BC82" s="30" t="n"/>
      <c r="BD82" s="86" t="n"/>
      <c r="BE82" s="87" t="n"/>
      <c r="BF82" s="34" t="n"/>
      <c r="BG82" s="41" t="n"/>
      <c r="BH82" s="88" t="n">
        <v>0</v>
      </c>
      <c r="BI82" s="42" t="n">
        <v>0</v>
      </c>
      <c r="BJ82" s="34" t="n"/>
      <c r="BK82" s="381" t="n"/>
      <c r="BL82" s="381" t="n"/>
      <c r="BM82" s="41" t="n"/>
      <c r="BN82" s="35" t="n">
        <v>0</v>
      </c>
      <c r="BO82" s="44" t="n">
        <v>0</v>
      </c>
      <c r="BP82" s="35" t="n"/>
      <c r="BQ82" s="45" t="n"/>
      <c r="BR82" s="82" t="n">
        <v>0</v>
      </c>
      <c r="BS82" s="44" t="n">
        <v>0</v>
      </c>
      <c r="BT82" s="35" t="n"/>
      <c r="BU82" s="45" t="n"/>
      <c r="BV82" s="82" t="n">
        <v>0</v>
      </c>
      <c r="BW82" s="44" t="n"/>
      <c r="BX82" s="35" t="n"/>
      <c r="BY82" s="45" t="n"/>
      <c r="BZ82" s="82" t="n">
        <v>0</v>
      </c>
      <c r="CA82" s="44" t="n"/>
      <c r="CB82" s="36" t="n"/>
      <c r="CC82" s="45" t="n"/>
      <c r="CD82" s="52" t="n">
        <v>30</v>
      </c>
      <c r="CE82" s="44" t="n">
        <v>0</v>
      </c>
      <c r="CF82" s="36" t="n"/>
      <c r="CG82" s="45" t="n"/>
      <c r="CH82" s="242" t="n">
        <v>0</v>
      </c>
      <c r="CI82" s="44" t="n">
        <v>0</v>
      </c>
      <c r="CJ82" s="35" t="n"/>
      <c r="CK82" s="45" t="n"/>
      <c r="CL82" s="242" t="n">
        <v>0</v>
      </c>
      <c r="CM82" s="44" t="n">
        <v>0</v>
      </c>
      <c r="CN82" s="35" t="n"/>
      <c r="CO82" s="45" t="n"/>
      <c r="CP82" s="243" t="n">
        <v>0</v>
      </c>
      <c r="CQ82" s="44" t="n"/>
      <c r="CR82" s="35" t="n"/>
      <c r="CS82" s="45" t="n"/>
      <c r="CT82" s="244" t="n">
        <v>0</v>
      </c>
      <c r="CU82" s="44" t="n"/>
      <c r="CV82" s="35" t="n"/>
      <c r="CW82" s="45" t="n"/>
      <c r="CX82" s="244" t="n">
        <v>0</v>
      </c>
      <c r="CY82" s="44" t="n">
        <v>0</v>
      </c>
      <c r="CZ82" s="35" t="n"/>
      <c r="DA82" s="45" t="n"/>
      <c r="DB82" s="245" t="n">
        <v>0</v>
      </c>
      <c r="DC82" s="284" t="n"/>
      <c r="DD82" s="35" t="n"/>
      <c r="DE82" s="45" t="n"/>
      <c r="DF82" s="246" t="n">
        <v>0</v>
      </c>
      <c r="DG82" s="380" t="n"/>
      <c r="DH82" s="35" t="n"/>
      <c r="DI82" s="379">
        <f>BM82+BQ82+BU82+BY82+CC82+CG82+CK82+CO82+CS82+CW82+DA82+DE82</f>
        <v/>
      </c>
      <c r="DJ82" s="379" t="n"/>
      <c r="DK82" s="82" t="n">
        <v>0</v>
      </c>
      <c r="DL82" s="35" t="n"/>
      <c r="DM82" s="44" t="n"/>
      <c r="DN82" s="35" t="n"/>
      <c r="DO82" s="82" t="n">
        <v>0</v>
      </c>
      <c r="DP82" s="35" t="n"/>
      <c r="DQ82" s="44" t="n">
        <v>0</v>
      </c>
      <c r="DR82" s="35" t="n"/>
      <c r="DS82" s="82" t="n">
        <v>0</v>
      </c>
      <c r="DT82" s="35" t="n"/>
      <c r="DU82" s="44" t="n">
        <v>0</v>
      </c>
      <c r="DV82" s="35" t="n"/>
      <c r="DW82" s="82" t="n">
        <v>0</v>
      </c>
      <c r="DX82" s="35" t="n">
        <v>0</v>
      </c>
      <c r="DY82" s="44" t="n"/>
      <c r="DZ82" s="36" t="n"/>
      <c r="EA82" s="82" t="n">
        <v>0</v>
      </c>
      <c r="EB82" s="35" t="n">
        <v>0</v>
      </c>
      <c r="EC82" s="44" t="n">
        <v>0</v>
      </c>
      <c r="ED82" s="36" t="n"/>
      <c r="EE82" s="82" t="n">
        <v>30</v>
      </c>
      <c r="EF82" s="35" t="n">
        <v>30</v>
      </c>
      <c r="EG82" s="44" t="n">
        <v>0</v>
      </c>
      <c r="EH82" s="35" t="n"/>
      <c r="EI82" s="82" t="n">
        <v>30</v>
      </c>
      <c r="EJ82" s="35" t="n">
        <v>30</v>
      </c>
      <c r="EK82" s="44" t="n">
        <v>0</v>
      </c>
      <c r="EL82" s="35" t="n"/>
      <c r="EM82" s="82" t="n">
        <v>30</v>
      </c>
      <c r="EN82" s="35" t="n">
        <v>30</v>
      </c>
      <c r="EO82" s="44" t="n">
        <v>0</v>
      </c>
      <c r="EP82" s="35" t="n"/>
      <c r="EQ82" s="82" t="n">
        <v>30</v>
      </c>
      <c r="ER82" s="91" t="n">
        <v>30</v>
      </c>
      <c r="ES82" s="44" t="n">
        <v>0</v>
      </c>
      <c r="ET82" s="35" t="n"/>
      <c r="EU82" s="82" t="n">
        <v>30</v>
      </c>
      <c r="EV82" s="91" t="n">
        <v>30</v>
      </c>
      <c r="EW82" s="44" t="n">
        <v>0</v>
      </c>
      <c r="EX82" s="35" t="n"/>
      <c r="EY82" s="82" t="n">
        <v>30</v>
      </c>
      <c r="EZ82" s="53" t="n">
        <v>30</v>
      </c>
      <c r="FA82" s="288" t="n">
        <v>0</v>
      </c>
      <c r="FB82" s="35" t="n"/>
      <c r="FC82" s="82" t="n">
        <v>30</v>
      </c>
      <c r="FD82" s="92" t="n">
        <v>30</v>
      </c>
      <c r="FE82" s="380" t="n">
        <v>0</v>
      </c>
      <c r="FF82" s="35" t="n"/>
      <c r="FG82" s="379">
        <f>DK82+DO82+DS82+DW82+EA82+EE82+EI82+EM82+EQ82+EU82+EY82+FC82</f>
        <v/>
      </c>
      <c r="FH82" s="379" t="n"/>
      <c r="FI82" s="52" t="n">
        <v>30</v>
      </c>
      <c r="FJ82" s="35" t="n"/>
      <c r="FK82" s="44" t="n">
        <v>0</v>
      </c>
      <c r="FL82" s="35" t="n"/>
      <c r="FM82" s="51" t="n">
        <v>35</v>
      </c>
      <c r="FN82" s="82" t="n"/>
      <c r="FO82" s="44" t="n">
        <v>0</v>
      </c>
      <c r="FP82" s="35" t="n"/>
      <c r="FQ82" s="51" t="n">
        <v>35</v>
      </c>
      <c r="FR82" s="82" t="n"/>
      <c r="FS82" s="44" t="n">
        <v>0</v>
      </c>
      <c r="FT82" s="35" t="n"/>
      <c r="FU82" s="51" t="n">
        <v>35</v>
      </c>
      <c r="FV82" s="82" t="n"/>
      <c r="FW82" s="44" t="n">
        <v>0</v>
      </c>
      <c r="FX82" s="36" t="n"/>
      <c r="FY82" s="51" t="n">
        <v>35</v>
      </c>
      <c r="FZ82" s="52" t="n"/>
      <c r="GA82" s="44" t="n">
        <v>0</v>
      </c>
      <c r="GB82" s="36" t="n"/>
      <c r="GC82" s="51" t="n">
        <v>35</v>
      </c>
      <c r="GD82" s="52" t="n"/>
      <c r="GE82" s="44" t="n">
        <v>0</v>
      </c>
      <c r="GF82" s="35" t="n"/>
      <c r="GG82" s="51" t="n">
        <v>35</v>
      </c>
      <c r="GH82" s="52" t="n"/>
      <c r="GI82" s="44" t="n">
        <v>0</v>
      </c>
      <c r="GJ82" s="35" t="n"/>
      <c r="GK82" s="51" t="n">
        <v>50</v>
      </c>
      <c r="GL82" s="91" t="n"/>
      <c r="GM82" s="44" t="n">
        <v>0</v>
      </c>
      <c r="GN82" s="35" t="n"/>
      <c r="GO82" s="51" t="n">
        <v>50</v>
      </c>
      <c r="GP82" s="91" t="n"/>
      <c r="GQ82" s="44" t="n">
        <v>0</v>
      </c>
      <c r="GR82" s="35" t="n"/>
      <c r="GS82" s="45" t="n">
        <v>50</v>
      </c>
      <c r="GT82" s="91" t="n"/>
      <c r="GU82" s="44" t="n">
        <v>0</v>
      </c>
      <c r="GV82" s="35" t="n"/>
      <c r="GW82" s="45" t="n">
        <v>50</v>
      </c>
      <c r="GX82" s="53" t="n"/>
      <c r="GY82" s="90" t="n">
        <v>0</v>
      </c>
      <c r="GZ82" s="35" t="n"/>
      <c r="HA82" s="45" t="n">
        <v>50</v>
      </c>
      <c r="HB82" s="92" t="n"/>
      <c r="HC82" s="380" t="n">
        <v>0</v>
      </c>
      <c r="HD82" s="35" t="n"/>
      <c r="HE82" s="379">
        <f>FI82+FM82+FQ82+FU82+FY82+GC82+GG82+GK82+GO82+GS82+GW82+HA82</f>
        <v/>
      </c>
      <c r="HF82" s="379" t="n"/>
      <c r="HG82" s="51" t="n">
        <v>50</v>
      </c>
      <c r="HH82" s="35" t="n"/>
      <c r="HI82" s="44" t="n">
        <v>0</v>
      </c>
      <c r="HJ82" s="35" t="n"/>
      <c r="HK82" s="51" t="n">
        <v>50</v>
      </c>
      <c r="HL82" s="82" t="n"/>
      <c r="HM82" s="44" t="n">
        <v>0</v>
      </c>
      <c r="HN82" s="35" t="n"/>
      <c r="HO82" s="51" t="n">
        <v>50</v>
      </c>
      <c r="HP82" s="82" t="n"/>
      <c r="HQ82" s="44" t="n">
        <v>0</v>
      </c>
      <c r="HR82" s="35" t="n"/>
      <c r="HS82" s="51" t="n">
        <v>100</v>
      </c>
      <c r="HT82" s="82" t="n"/>
      <c r="HU82" s="44" t="n">
        <v>0</v>
      </c>
      <c r="HV82" s="36" t="n"/>
      <c r="HW82" s="51" t="n">
        <v>100</v>
      </c>
      <c r="HX82" s="52" t="n"/>
      <c r="HY82" s="44" t="n">
        <v>0</v>
      </c>
      <c r="HZ82" s="36" t="n"/>
      <c r="IA82" s="51" t="n">
        <v>100</v>
      </c>
      <c r="IB82" s="52" t="n"/>
      <c r="IC82" s="44" t="n">
        <v>0</v>
      </c>
      <c r="ID82" s="35" t="n"/>
      <c r="IE82" s="51" t="n">
        <v>100</v>
      </c>
      <c r="IF82" s="52" t="n"/>
      <c r="IG82" s="44" t="n">
        <v>0</v>
      </c>
      <c r="IH82" s="35" t="n"/>
      <c r="II82" s="51" t="n">
        <v>100</v>
      </c>
      <c r="IJ82" s="91" t="n"/>
      <c r="IK82" s="44" t="n">
        <v>0</v>
      </c>
      <c r="IL82" s="35" t="n"/>
      <c r="IM82" s="51" t="n">
        <v>100</v>
      </c>
      <c r="IN82" s="91" t="n"/>
      <c r="IO82" s="44" t="n">
        <v>0</v>
      </c>
      <c r="IP82" s="35" t="n"/>
      <c r="IQ82" s="51" t="n">
        <v>100</v>
      </c>
      <c r="IR82" s="91" t="n"/>
      <c r="IS82" s="44" t="n">
        <v>0</v>
      </c>
      <c r="IT82" s="35" t="n"/>
      <c r="IU82" s="51" t="n">
        <v>100</v>
      </c>
      <c r="IV82" s="53" t="n"/>
      <c r="IW82" s="90" t="n">
        <v>0</v>
      </c>
      <c r="IX82" s="35" t="n"/>
      <c r="IY82" s="51" t="n">
        <v>100</v>
      </c>
      <c r="IZ82" s="92" t="n"/>
      <c r="JA82" s="380" t="n">
        <v>0</v>
      </c>
      <c r="JB82" s="35" t="n"/>
      <c r="JC82" s="381">
        <f>HG82+HK82+HO82+HS82+HW82+IA82+IE82+II82+IM82+IQ82+IU82+IY82</f>
        <v/>
      </c>
      <c r="JD82" s="381" t="n"/>
    </row>
    <row r="83">
      <c r="A83" s="247" t="n"/>
      <c r="B83" s="247" t="n"/>
      <c r="C83" s="247" t="n"/>
      <c r="D83" s="247" t="n"/>
      <c r="E83" s="96" t="n"/>
      <c r="F83" s="96" t="n"/>
      <c r="G83" s="160" t="n"/>
      <c r="H83" s="98" t="inlineStr">
        <is>
          <t>Итого</t>
        </is>
      </c>
      <c r="I83" s="99" t="n"/>
      <c r="J83" s="99" t="n"/>
      <c r="K83" s="99" t="n"/>
      <c r="L83" s="99" t="n"/>
      <c r="M83" s="99" t="n"/>
      <c r="N83" s="99" t="n"/>
      <c r="O83" s="70" t="n"/>
      <c r="P83" s="71" t="n"/>
      <c r="Q83" s="72" t="n"/>
      <c r="R83" s="71" t="n"/>
      <c r="S83" s="70" t="n"/>
      <c r="T83" s="71" t="n"/>
      <c r="U83" s="72" t="n"/>
      <c r="V83" s="71" t="n"/>
      <c r="W83" s="70" t="n"/>
      <c r="X83" s="71" t="n"/>
      <c r="Y83" s="72" t="n"/>
      <c r="Z83" s="71" t="n"/>
      <c r="AA83" s="70" t="n"/>
      <c r="AB83" s="71" t="n"/>
      <c r="AC83" s="32" t="n"/>
      <c r="AD83" s="100" t="n"/>
      <c r="AE83" s="70" t="n"/>
      <c r="AF83" s="101" t="n"/>
      <c r="AG83" s="72" t="n"/>
      <c r="AH83" s="71" t="n"/>
      <c r="AI83" s="102" t="n"/>
      <c r="AJ83" s="103" t="n"/>
      <c r="AK83" s="32" t="n"/>
      <c r="AL83" s="71" t="n"/>
      <c r="AM83" s="102" t="n"/>
      <c r="AN83" s="104" t="n"/>
      <c r="AO83" s="32" t="n"/>
      <c r="AP83" s="71" t="n"/>
      <c r="AQ83" s="102" t="n"/>
      <c r="AR83" s="103" t="n"/>
      <c r="AS83" s="32" t="n"/>
      <c r="AT83" s="71" t="n"/>
      <c r="AU83" s="102" t="n"/>
      <c r="AV83" s="104" t="n"/>
      <c r="AW83" s="32" t="n"/>
      <c r="AX83" s="71" t="n"/>
      <c r="AY83" s="70" t="n"/>
      <c r="AZ83" s="104" t="n"/>
      <c r="BA83" s="72" t="n"/>
      <c r="BB83" s="100" t="n"/>
      <c r="BC83" s="70" t="n"/>
      <c r="BD83" s="53" t="n"/>
      <c r="BE83" s="105" t="n"/>
      <c r="BF83" s="100" t="n"/>
      <c r="BG83" s="106" t="n"/>
      <c r="BH83" s="107" t="n"/>
      <c r="BI83" s="383" t="n"/>
      <c r="BJ83" s="100" t="n"/>
      <c r="BK83" s="384">
        <f>SUM(BK67:BK79)</f>
        <v/>
      </c>
      <c r="BL83" s="384">
        <f>SUM(BL67:BL79)</f>
        <v/>
      </c>
      <c r="BM83" s="70" t="n"/>
      <c r="BN83" s="71" t="n"/>
      <c r="BO83" s="72" t="n"/>
      <c r="BP83" s="71" t="n"/>
      <c r="BQ83" s="70" t="n"/>
      <c r="BR83" s="71" t="n"/>
      <c r="BS83" s="72" t="n"/>
      <c r="BT83" s="71" t="n"/>
      <c r="BU83" s="30" t="n"/>
      <c r="BV83" s="71" t="n"/>
      <c r="BW83" s="72" t="n"/>
      <c r="BX83" s="71" t="n"/>
      <c r="BY83" s="30" t="n"/>
      <c r="BZ83" s="71" t="n"/>
      <c r="CA83" s="32" t="n"/>
      <c r="CB83" s="100" t="n"/>
      <c r="CC83" s="70" t="n"/>
      <c r="CD83" s="101" t="n"/>
      <c r="CE83" s="32" t="n">
        <v>0</v>
      </c>
      <c r="CF83" s="71" t="n"/>
      <c r="CG83" s="102" t="n"/>
      <c r="CH83" s="103" t="n"/>
      <c r="CI83" s="32" t="n"/>
      <c r="CJ83" s="71" t="n"/>
      <c r="CK83" s="102" t="n"/>
      <c r="CL83" s="104" t="n"/>
      <c r="CM83" s="32" t="n"/>
      <c r="CN83" s="71" t="n"/>
      <c r="CO83" s="102" t="n"/>
      <c r="CP83" s="103" t="n"/>
      <c r="CQ83" s="32" t="n"/>
      <c r="CR83" s="71" t="n"/>
      <c r="CS83" s="102" t="n"/>
      <c r="CT83" s="104" t="n"/>
      <c r="CU83" s="32" t="n"/>
      <c r="CV83" s="71" t="n"/>
      <c r="CW83" s="70" t="n"/>
      <c r="CX83" s="104" t="n"/>
      <c r="CY83" s="72" t="n"/>
      <c r="CZ83" s="71" t="n"/>
      <c r="DA83" s="70" t="n"/>
      <c r="DB83" s="53" t="n"/>
      <c r="DC83" s="285" t="n"/>
      <c r="DD83" s="71" t="n"/>
      <c r="DE83" s="70" t="n"/>
      <c r="DF83" s="107" t="n"/>
      <c r="DG83" s="383" t="n"/>
      <c r="DH83" s="71" t="n"/>
      <c r="DI83" s="384">
        <f>SUM(DI67:DI79)</f>
        <v/>
      </c>
      <c r="DJ83" s="384">
        <f>SUM(DJ67:DJ79)</f>
        <v/>
      </c>
      <c r="DK83" s="82" t="n"/>
      <c r="DL83" s="35" t="n"/>
      <c r="DM83" s="44" t="n"/>
      <c r="DN83" s="35" t="n"/>
      <c r="DO83" s="82" t="n"/>
      <c r="DP83" s="35" t="n"/>
      <c r="DQ83" s="44" t="n"/>
      <c r="DR83" s="35" t="n"/>
      <c r="DS83" s="82" t="n"/>
      <c r="DT83" s="35" t="n"/>
      <c r="DU83" s="44" t="n"/>
      <c r="DV83" s="35" t="n"/>
      <c r="DW83" s="82" t="n"/>
      <c r="DX83" s="35" t="n"/>
      <c r="DY83" s="44" t="n"/>
      <c r="DZ83" s="36" t="n"/>
      <c r="EA83" s="82" t="n"/>
      <c r="EB83" s="35" t="n"/>
      <c r="EC83" s="44" t="n">
        <v>0</v>
      </c>
      <c r="ED83" s="36" t="n"/>
      <c r="EE83" s="82" t="n"/>
      <c r="EF83" s="35" t="n"/>
      <c r="EG83" s="44" t="n"/>
      <c r="EH83" s="35" t="n"/>
      <c r="EI83" s="82" t="n"/>
      <c r="EJ83" s="35" t="n"/>
      <c r="EK83" s="44" t="n"/>
      <c r="EL83" s="35" t="n"/>
      <c r="EM83" s="82" t="n"/>
      <c r="EN83" s="35" t="n"/>
      <c r="EO83" s="44" t="n"/>
      <c r="EP83" s="35" t="n"/>
      <c r="EQ83" s="82" t="n"/>
      <c r="ER83" s="91" t="n"/>
      <c r="ES83" s="44" t="n"/>
      <c r="ET83" s="35" t="n"/>
      <c r="EU83" s="82" t="n"/>
      <c r="EV83" s="91" t="n"/>
      <c r="EW83" s="44" t="n"/>
      <c r="EX83" s="35" t="n"/>
      <c r="EY83" s="82" t="n"/>
      <c r="EZ83" s="53" t="n"/>
      <c r="FA83" s="288" t="n"/>
      <c r="FB83" s="35" t="n"/>
      <c r="FC83" s="82" t="n"/>
      <c r="FD83" s="92" t="n"/>
      <c r="FE83" s="380" t="n"/>
      <c r="FF83" s="35" t="n"/>
      <c r="FG83" s="384">
        <f>SUM(FG67:FG79)</f>
        <v/>
      </c>
      <c r="FH83" s="384">
        <f>SUM(FH67:FH79)</f>
        <v/>
      </c>
      <c r="FI83" s="70" t="n"/>
      <c r="FJ83" s="71" t="n"/>
      <c r="FK83" s="72" t="n"/>
      <c r="FL83" s="71" t="n"/>
      <c r="FM83" s="70" t="n"/>
      <c r="FN83" s="71" t="n"/>
      <c r="FO83" s="72" t="n"/>
      <c r="FP83" s="71" t="n"/>
      <c r="FQ83" s="30" t="n"/>
      <c r="FR83" s="71" t="n"/>
      <c r="FS83" s="72" t="n"/>
      <c r="FT83" s="71" t="n"/>
      <c r="FU83" s="30" t="n"/>
      <c r="FV83" s="71" t="n"/>
      <c r="FW83" s="32" t="n"/>
      <c r="FX83" s="100" t="n"/>
      <c r="FY83" s="70" t="n"/>
      <c r="FZ83" s="101" t="n"/>
      <c r="GA83" s="72" t="n"/>
      <c r="GB83" s="71" t="n"/>
      <c r="GC83" s="102" t="n"/>
      <c r="GD83" s="103" t="n"/>
      <c r="GE83" s="32" t="n"/>
      <c r="GF83" s="71" t="n"/>
      <c r="GG83" s="102" t="n"/>
      <c r="GH83" s="104" t="n"/>
      <c r="GI83" s="32" t="n"/>
      <c r="GJ83" s="71" t="n"/>
      <c r="GK83" s="102" t="n"/>
      <c r="GL83" s="103" t="n"/>
      <c r="GM83" s="32" t="n"/>
      <c r="GN83" s="71" t="n"/>
      <c r="GO83" s="102" t="n"/>
      <c r="GP83" s="104" t="n"/>
      <c r="GQ83" s="32" t="n"/>
      <c r="GR83" s="71" t="n"/>
      <c r="GS83" s="70" t="n"/>
      <c r="GT83" s="104" t="n"/>
      <c r="GU83" s="72" t="n"/>
      <c r="GV83" s="71" t="n"/>
      <c r="GW83" s="70" t="n"/>
      <c r="GX83" s="53" t="n"/>
      <c r="GY83" s="105" t="n"/>
      <c r="GZ83" s="71" t="n"/>
      <c r="HA83" s="70" t="n"/>
      <c r="HB83" s="107" t="n"/>
      <c r="HC83" s="383" t="n"/>
      <c r="HD83" s="71" t="n"/>
      <c r="HE83" s="384">
        <f>SUM(HE67:HE79)</f>
        <v/>
      </c>
      <c r="HF83" s="384">
        <f>SUM(HF67:HF79)</f>
        <v/>
      </c>
      <c r="HG83" s="70" t="n"/>
      <c r="HH83" s="71" t="n"/>
      <c r="HI83" s="72" t="n"/>
      <c r="HJ83" s="71" t="n"/>
      <c r="HK83" s="70" t="n"/>
      <c r="HL83" s="71" t="n"/>
      <c r="HM83" s="72" t="n"/>
      <c r="HN83" s="71" t="n"/>
      <c r="HO83" s="30" t="n"/>
      <c r="HP83" s="71" t="n"/>
      <c r="HQ83" s="72" t="n"/>
      <c r="HR83" s="71" t="n"/>
      <c r="HS83" s="30" t="n"/>
      <c r="HT83" s="71" t="n"/>
      <c r="HU83" s="32" t="n"/>
      <c r="HV83" s="100" t="n"/>
      <c r="HW83" s="70" t="n"/>
      <c r="HX83" s="101" t="n"/>
      <c r="HY83" s="72" t="n"/>
      <c r="HZ83" s="71" t="n"/>
      <c r="IA83" s="102" t="n"/>
      <c r="IB83" s="103" t="n"/>
      <c r="IC83" s="32" t="n"/>
      <c r="ID83" s="71" t="n"/>
      <c r="IE83" s="102" t="n"/>
      <c r="IF83" s="104" t="n"/>
      <c r="IG83" s="32" t="n"/>
      <c r="IH83" s="71" t="n"/>
      <c r="II83" s="102" t="n"/>
      <c r="IJ83" s="103" t="n"/>
      <c r="IK83" s="32" t="n"/>
      <c r="IL83" s="71" t="n"/>
      <c r="IM83" s="102" t="n"/>
      <c r="IN83" s="104" t="n"/>
      <c r="IO83" s="32" t="n"/>
      <c r="IP83" s="71" t="n"/>
      <c r="IQ83" s="70" t="n"/>
      <c r="IR83" s="104" t="n"/>
      <c r="IS83" s="72" t="n"/>
      <c r="IT83" s="71" t="n"/>
      <c r="IU83" s="70" t="n"/>
      <c r="IV83" s="53" t="n"/>
      <c r="IW83" s="105" t="n"/>
      <c r="IX83" s="71" t="n"/>
      <c r="IY83" s="70" t="n"/>
      <c r="IZ83" s="107" t="n"/>
      <c r="JA83" s="383" t="n"/>
      <c r="JB83" s="71" t="n"/>
      <c r="JC83" s="384">
        <f>SUM(JC67:JC79)</f>
        <v/>
      </c>
      <c r="JD83" s="384">
        <f>SUM(JD67:JD80)</f>
        <v/>
      </c>
    </row>
    <row r="84">
      <c r="A84" s="115" t="n"/>
      <c r="B84" s="115" t="n"/>
      <c r="C84" s="115" t="n"/>
      <c r="D84" s="115" t="n"/>
      <c r="E84" s="116" t="n"/>
      <c r="F84" s="116" t="n"/>
      <c r="G84" s="117" t="n"/>
      <c r="H84" s="117" t="n"/>
      <c r="I84" s="119" t="n"/>
      <c r="J84" s="119" t="n"/>
      <c r="K84" s="119" t="n"/>
      <c r="L84" s="119" t="n"/>
      <c r="M84" s="119" t="n"/>
      <c r="N84" s="119" t="n"/>
      <c r="O84" s="120" t="n"/>
      <c r="P84" s="120" t="n"/>
      <c r="Q84" s="120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  <c r="AF84" s="121" t="n"/>
      <c r="AG84" s="121" t="n"/>
      <c r="AH84" s="121" t="n"/>
      <c r="AI84" s="121" t="n"/>
      <c r="AJ84" s="122" t="n"/>
      <c r="AK84" s="123" t="n"/>
      <c r="AL84" s="123" t="n"/>
      <c r="AM84" s="123" t="n"/>
      <c r="AN84" s="123" t="n"/>
      <c r="AO84" s="123" t="n"/>
      <c r="AP84" s="123" t="n"/>
      <c r="AQ84" s="123" t="n"/>
      <c r="AR84" s="124" t="n"/>
      <c r="AS84" s="123" t="n"/>
      <c r="AT84" s="123" t="n"/>
      <c r="AU84" s="123" t="n"/>
      <c r="AV84" s="123" t="n"/>
      <c r="AW84" s="123" t="n"/>
      <c r="AX84" s="123" t="n"/>
      <c r="AY84" s="123" t="n"/>
      <c r="AZ84" s="123" t="n"/>
      <c r="BA84" s="125" t="n"/>
      <c r="BB84" s="126" t="n"/>
      <c r="BC84" s="125" t="n"/>
      <c r="BD84" s="125" t="n"/>
      <c r="BE84" s="127" t="n"/>
      <c r="BF84" s="126" t="n"/>
      <c r="BG84" s="127" t="n"/>
      <c r="BH84" s="127" t="n"/>
      <c r="BI84" s="161" t="n"/>
      <c r="BJ84" s="126" t="n"/>
      <c r="BK84" s="161" t="n"/>
      <c r="BL84" s="161" t="n"/>
      <c r="BM84" s="129" t="n"/>
      <c r="BN84" s="121" t="n"/>
      <c r="BO84" s="121" t="n"/>
      <c r="BP84" s="121" t="n"/>
      <c r="BQ84" s="130" t="n"/>
      <c r="BR84" s="121" t="n"/>
      <c r="BS84" s="121" t="n"/>
      <c r="BT84" s="121" t="n"/>
      <c r="BU84" s="130" t="n"/>
      <c r="BV84" s="121" t="n"/>
      <c r="BW84" s="121" t="n"/>
      <c r="BX84" s="121" t="n"/>
      <c r="BY84" s="130" t="n"/>
      <c r="BZ84" s="121" t="n"/>
      <c r="CA84" s="121" t="n"/>
      <c r="CB84" s="121" t="n"/>
      <c r="CC84" s="130" t="n"/>
      <c r="CD84" s="121" t="n"/>
      <c r="CE84" s="121" t="n"/>
      <c r="CF84" s="121" t="n"/>
      <c r="CG84" s="130" t="n"/>
      <c r="CH84" s="122" t="n"/>
      <c r="CI84" s="123" t="n"/>
      <c r="CJ84" s="123" t="n"/>
      <c r="CK84" s="131" t="n"/>
      <c r="CL84" s="123" t="n"/>
      <c r="CM84" s="123" t="n"/>
      <c r="CN84" s="123" t="n"/>
      <c r="CO84" s="131" t="n"/>
      <c r="CP84" s="124" t="n"/>
      <c r="CQ84" s="123" t="n"/>
      <c r="CR84" s="123" t="n"/>
      <c r="CS84" s="131" t="n"/>
      <c r="CT84" s="123" t="n"/>
      <c r="CU84" s="123" t="n"/>
      <c r="CV84" s="123" t="n"/>
      <c r="CW84" s="131" t="n"/>
      <c r="CX84" s="123" t="n"/>
      <c r="CY84" s="125" t="n"/>
      <c r="CZ84" s="123" t="n"/>
      <c r="DA84" s="132" t="n"/>
      <c r="DB84" s="125" t="n"/>
      <c r="DC84" s="127" t="n"/>
      <c r="DD84" s="123" t="n"/>
      <c r="DE84" s="132" t="n"/>
      <c r="DF84" s="127" t="n"/>
      <c r="DG84" s="161" t="n"/>
      <c r="DH84" s="123" t="n"/>
      <c r="DI84" s="161" t="n"/>
      <c r="DJ84" s="161" t="n"/>
      <c r="DK84" s="129" t="n"/>
      <c r="DL84" s="121" t="n"/>
      <c r="DM84" s="121" t="n"/>
      <c r="DN84" s="121" t="n"/>
      <c r="DO84" s="130" t="n"/>
      <c r="DP84" s="121" t="n"/>
      <c r="DQ84" s="121" t="n"/>
      <c r="DR84" s="121" t="n"/>
      <c r="DS84" s="130" t="n"/>
      <c r="DT84" s="121" t="n"/>
      <c r="DU84" s="121" t="n"/>
      <c r="DV84" s="121" t="n"/>
      <c r="DW84" s="130" t="n"/>
      <c r="DX84" s="121" t="n"/>
      <c r="DY84" s="121" t="n"/>
      <c r="DZ84" s="121" t="n"/>
      <c r="EA84" s="130" t="n"/>
      <c r="EB84" s="121" t="n"/>
      <c r="EC84" s="121" t="n"/>
      <c r="ED84" s="121" t="n"/>
      <c r="EE84" s="130" t="n"/>
      <c r="EF84" s="122" t="n"/>
      <c r="EG84" s="123" t="n"/>
      <c r="EH84" s="123" t="n"/>
      <c r="EI84" s="131" t="n"/>
      <c r="EJ84" s="123" t="n"/>
      <c r="EK84" s="123" t="n"/>
      <c r="EL84" s="123" t="n"/>
      <c r="EM84" s="131" t="n"/>
      <c r="EN84" s="124" t="n"/>
      <c r="EO84" s="123" t="n"/>
      <c r="EP84" s="123" t="n"/>
      <c r="EQ84" s="131" t="n"/>
      <c r="ER84" s="123" t="n"/>
      <c r="ES84" s="123" t="n"/>
      <c r="ET84" s="123" t="n"/>
      <c r="EU84" s="131" t="n"/>
      <c r="EV84" s="123" t="n"/>
      <c r="EW84" s="125" t="n"/>
      <c r="EX84" s="123" t="n"/>
      <c r="EY84" s="132" t="n"/>
      <c r="EZ84" s="125" t="n"/>
      <c r="FA84" s="127" t="n"/>
      <c r="FB84" s="123" t="n"/>
      <c r="FC84" s="132" t="n"/>
      <c r="FD84" s="127" t="n"/>
      <c r="FE84" s="161" t="n"/>
      <c r="FF84" s="123" t="n"/>
      <c r="FG84" s="161" t="n"/>
      <c r="FH84" s="161" t="n"/>
      <c r="FI84" s="129" t="n"/>
      <c r="FJ84" s="121" t="n"/>
      <c r="FK84" s="121" t="n"/>
      <c r="FL84" s="121" t="n"/>
      <c r="FM84" s="130" t="n"/>
      <c r="FN84" s="121" t="n"/>
      <c r="FO84" s="121" t="n"/>
      <c r="FP84" s="121" t="n"/>
      <c r="FQ84" s="130" t="n"/>
      <c r="FR84" s="121" t="n"/>
      <c r="FS84" s="121" t="n"/>
      <c r="FT84" s="121" t="n"/>
      <c r="FU84" s="130" t="n"/>
      <c r="FV84" s="121" t="n"/>
      <c r="FW84" s="121" t="n"/>
      <c r="FX84" s="121" t="n"/>
      <c r="FY84" s="130" t="n"/>
      <c r="FZ84" s="121" t="n"/>
      <c r="GA84" s="121" t="n"/>
      <c r="GB84" s="121" t="n"/>
      <c r="GC84" s="130" t="n"/>
      <c r="GD84" s="122" t="n"/>
      <c r="GE84" s="123" t="n"/>
      <c r="GF84" s="123" t="n"/>
      <c r="GG84" s="131" t="n"/>
      <c r="GH84" s="123" t="n"/>
      <c r="GI84" s="123" t="n"/>
      <c r="GJ84" s="123" t="n"/>
      <c r="GK84" s="131" t="n"/>
      <c r="GL84" s="124" t="n"/>
      <c r="GM84" s="123" t="n"/>
      <c r="GN84" s="123" t="n"/>
      <c r="GO84" s="131" t="n"/>
      <c r="GP84" s="123" t="n"/>
      <c r="GQ84" s="123" t="n"/>
      <c r="GR84" s="123" t="n"/>
      <c r="GS84" s="131" t="n"/>
      <c r="GT84" s="123" t="n"/>
      <c r="GU84" s="125" t="n"/>
      <c r="GV84" s="123" t="n"/>
      <c r="GW84" s="132" t="n"/>
      <c r="GX84" s="125" t="n"/>
      <c r="GY84" s="127" t="n"/>
      <c r="GZ84" s="123" t="n"/>
      <c r="HA84" s="132" t="n"/>
      <c r="HB84" s="127" t="n"/>
      <c r="HC84" s="161" t="n"/>
      <c r="HD84" s="123" t="n"/>
      <c r="HE84" s="161" t="n"/>
      <c r="HF84" s="161" t="n"/>
      <c r="HG84" s="129" t="n"/>
      <c r="HH84" s="121" t="n"/>
      <c r="HI84" s="121" t="n"/>
      <c r="HJ84" s="121" t="n"/>
      <c r="HK84" s="130" t="n"/>
      <c r="HL84" s="121" t="n"/>
      <c r="HM84" s="121" t="n"/>
      <c r="HN84" s="121" t="n"/>
      <c r="HO84" s="130" t="n"/>
      <c r="HP84" s="121" t="n"/>
      <c r="HQ84" s="121" t="n"/>
      <c r="HR84" s="121" t="n"/>
      <c r="HS84" s="130" t="n"/>
      <c r="HT84" s="121" t="n"/>
      <c r="HU84" s="121" t="n"/>
      <c r="HV84" s="121" t="n"/>
      <c r="HW84" s="130" t="n"/>
      <c r="HX84" s="121" t="n"/>
      <c r="HY84" s="121" t="n"/>
      <c r="HZ84" s="121" t="n"/>
      <c r="IA84" s="130" t="n"/>
      <c r="IB84" s="122" t="n"/>
      <c r="IC84" s="123" t="n"/>
      <c r="ID84" s="123" t="n"/>
      <c r="IE84" s="131" t="n"/>
      <c r="IF84" s="123" t="n"/>
      <c r="IG84" s="123" t="n"/>
      <c r="IH84" s="123" t="n"/>
      <c r="II84" s="131" t="n"/>
      <c r="IJ84" s="124" t="n"/>
      <c r="IK84" s="123" t="n"/>
      <c r="IL84" s="123" t="n"/>
      <c r="IM84" s="131" t="n"/>
      <c r="IN84" s="123" t="n"/>
      <c r="IO84" s="123" t="n"/>
      <c r="IP84" s="123" t="n"/>
      <c r="IQ84" s="131" t="n"/>
      <c r="IR84" s="123" t="n"/>
      <c r="IS84" s="125" t="n"/>
      <c r="IT84" s="123" t="n"/>
      <c r="IU84" s="132" t="n"/>
      <c r="IV84" s="125" t="n"/>
      <c r="IW84" s="127" t="n"/>
      <c r="IX84" s="123" t="n"/>
      <c r="IY84" s="132" t="n"/>
      <c r="IZ84" s="127" t="n"/>
      <c r="JA84" s="161" t="n"/>
      <c r="JB84" s="123" t="n"/>
      <c r="JC84" s="161" t="n"/>
      <c r="JD84" s="161" t="n"/>
    </row>
    <row r="85" ht="14.7" customHeight="1">
      <c r="A85" s="312" t="inlineStr">
        <is>
          <t>ОРТХАУС ТРЕЙЛЕРС РУС ООО</t>
        </is>
      </c>
      <c r="B85" s="314" t="inlineStr">
        <is>
          <t>предоплата</t>
        </is>
      </c>
      <c r="C85" s="316" t="inlineStr">
        <is>
          <t>ВБК РУС</t>
        </is>
      </c>
      <c r="D85" s="317" t="inlineStr">
        <is>
          <t>Александр Хорошевский</t>
        </is>
      </c>
      <c r="E85" s="25" t="n">
        <v>1</v>
      </c>
      <c r="F85" s="25" t="n">
        <v>1</v>
      </c>
      <c r="G85" s="26" t="n">
        <v>9522010010</v>
      </c>
      <c r="H85" s="27" t="inlineStr">
        <is>
          <t>Соединительная головка + маг. Фильтр</t>
        </is>
      </c>
      <c r="I85" s="28" t="n">
        <v>45.35</v>
      </c>
      <c r="J85" s="29" t="n">
        <v>45.35</v>
      </c>
      <c r="K85" s="297" t="n">
        <v>60</v>
      </c>
      <c r="L85" s="297" t="n">
        <v>60</v>
      </c>
      <c r="M85" s="29" t="n"/>
      <c r="N85" s="29" t="n"/>
      <c r="O85" s="30" t="n">
        <v>0</v>
      </c>
      <c r="P85" s="31" t="n">
        <v>0</v>
      </c>
      <c r="Q85" s="32" t="n">
        <v>0</v>
      </c>
      <c r="R85" s="31" t="n"/>
      <c r="S85" s="30" t="n">
        <v>0</v>
      </c>
      <c r="T85" s="31" t="n">
        <v>0</v>
      </c>
      <c r="U85" s="32" t="n">
        <v>0</v>
      </c>
      <c r="V85" s="33" t="n"/>
      <c r="W85" s="30" t="n">
        <v>0</v>
      </c>
      <c r="X85" s="31" t="n">
        <v>0</v>
      </c>
      <c r="Y85" s="32" t="n">
        <v>0</v>
      </c>
      <c r="Z85" s="34" t="n"/>
      <c r="AA85" s="30" t="n">
        <v>0</v>
      </c>
      <c r="AB85" s="31" t="n">
        <v>0</v>
      </c>
      <c r="AC85" s="32" t="n">
        <v>0</v>
      </c>
      <c r="AD85" s="36" t="n"/>
      <c r="AE85" s="30" t="n">
        <v>0</v>
      </c>
      <c r="AF85" s="31" t="n">
        <v>0</v>
      </c>
      <c r="AG85" s="32" t="n">
        <v>0</v>
      </c>
      <c r="AH85" s="36" t="n"/>
      <c r="AI85" s="30" t="n">
        <v>0</v>
      </c>
      <c r="AJ85" s="31" t="n">
        <v>0</v>
      </c>
      <c r="AK85" s="32" t="n">
        <v>0</v>
      </c>
      <c r="AL85" s="31" t="n"/>
      <c r="AM85" s="30" t="n">
        <v>0</v>
      </c>
      <c r="AN85" s="31" t="n">
        <v>0</v>
      </c>
      <c r="AO85" s="32" t="n">
        <v>0</v>
      </c>
      <c r="AP85" s="31" t="n"/>
      <c r="AQ85" s="30" t="n"/>
      <c r="AR85" s="31" t="n"/>
      <c r="AS85" s="32" t="n"/>
      <c r="AT85" s="31" t="n"/>
      <c r="AU85" s="30" t="n">
        <v>0</v>
      </c>
      <c r="AV85" s="37" t="n">
        <v>0</v>
      </c>
      <c r="AW85" s="32" t="n">
        <v>0</v>
      </c>
      <c r="AX85" s="31" t="n"/>
      <c r="AY85" s="30" t="n">
        <v>0</v>
      </c>
      <c r="AZ85" s="38" t="n">
        <v>0</v>
      </c>
      <c r="BA85" s="32" t="n">
        <v>0</v>
      </c>
      <c r="BB85" s="34" t="n"/>
      <c r="BC85" s="30" t="n">
        <v>0</v>
      </c>
      <c r="BD85" s="39" t="n">
        <v>40</v>
      </c>
      <c r="BE85" s="241" t="n">
        <v>40</v>
      </c>
      <c r="BF85" s="34" t="n"/>
      <c r="BG85" s="41" t="n">
        <v>0</v>
      </c>
      <c r="BH85" s="39" t="n">
        <v>40</v>
      </c>
      <c r="BI85" s="385" t="n">
        <v>50</v>
      </c>
      <c r="BJ85" s="34" t="n"/>
      <c r="BK85" s="381">
        <f>O85+S85+W85+AA85+AE85+AI85+AM85+AQ85+AU85+AY85+BC85+BG85</f>
        <v/>
      </c>
      <c r="BL85" s="381">
        <f>BK85*$I85</f>
        <v/>
      </c>
      <c r="BM85" s="41" t="n">
        <v>0</v>
      </c>
      <c r="BN85" s="47" t="n">
        <v>40</v>
      </c>
      <c r="BO85" s="32" t="n">
        <v>0</v>
      </c>
      <c r="BP85" s="31" t="n"/>
      <c r="BQ85" s="45" t="n">
        <v>40</v>
      </c>
      <c r="BR85" s="47" t="n">
        <v>0</v>
      </c>
      <c r="BS85" s="32" t="n">
        <v>0</v>
      </c>
      <c r="BT85" s="33" t="n"/>
      <c r="BU85" s="51" t="n">
        <v>40</v>
      </c>
      <c r="BV85" s="47" t="n">
        <v>40</v>
      </c>
      <c r="BW85" s="32" t="n">
        <v>0</v>
      </c>
      <c r="BX85" s="34" t="n"/>
      <c r="BY85" s="45" t="n">
        <v>40</v>
      </c>
      <c r="BZ85" s="47" t="n">
        <v>0</v>
      </c>
      <c r="CA85" s="32" t="n">
        <v>0</v>
      </c>
      <c r="CB85" s="36" t="n"/>
      <c r="CC85" s="45" t="n">
        <v>40</v>
      </c>
      <c r="CD85" s="47" t="n">
        <v>40</v>
      </c>
      <c r="CE85" s="44" t="n">
        <v>0</v>
      </c>
      <c r="CF85" s="36" t="n"/>
      <c r="CG85" s="45" t="n">
        <v>40</v>
      </c>
      <c r="CH85" s="242" t="n">
        <v>0</v>
      </c>
      <c r="CI85" s="44" t="n">
        <v>50</v>
      </c>
      <c r="CJ85" s="35" t="n"/>
      <c r="CK85" s="45" t="n">
        <v>40</v>
      </c>
      <c r="CL85" s="47" t="n">
        <v>40</v>
      </c>
      <c r="CM85" s="44" t="n">
        <v>0</v>
      </c>
      <c r="CN85" s="35" t="n"/>
      <c r="CO85" s="45" t="n">
        <v>40</v>
      </c>
      <c r="CP85" s="47" t="n">
        <v>40</v>
      </c>
      <c r="CQ85" s="44" t="n">
        <v>50</v>
      </c>
      <c r="CR85" s="35" t="n"/>
      <c r="CS85" s="45" t="n">
        <v>0</v>
      </c>
      <c r="CT85" s="47" t="n">
        <v>0</v>
      </c>
      <c r="CU85" s="44" t="n">
        <v>0</v>
      </c>
      <c r="CV85" s="35" t="n"/>
      <c r="CW85" s="51" t="n">
        <v>0</v>
      </c>
      <c r="CX85" s="47" t="n">
        <v>0</v>
      </c>
      <c r="CY85" s="44" t="n">
        <v>0</v>
      </c>
      <c r="CZ85" s="35" t="n"/>
      <c r="DA85" s="51" t="n">
        <v>28</v>
      </c>
      <c r="DB85" s="47" t="n">
        <v>28</v>
      </c>
      <c r="DC85" s="155" t="n">
        <v>5</v>
      </c>
      <c r="DD85" s="35" t="n"/>
      <c r="DE85" s="51" t="n">
        <v>100</v>
      </c>
      <c r="DF85" s="47" t="n">
        <v>32</v>
      </c>
      <c r="DG85" s="380" t="n">
        <v>32</v>
      </c>
      <c r="DH85" s="35" t="n"/>
      <c r="DI85" s="379">
        <f>BM85+BQ85+BU85+BY85+CC85+CG85+CK85+CO85+CS85+CW85+DA85+DE85</f>
        <v/>
      </c>
      <c r="DJ85" s="379">
        <f>DI85*$I85</f>
        <v/>
      </c>
      <c r="DK85" s="82" t="n">
        <v>0</v>
      </c>
      <c r="DL85" s="35" t="n">
        <v>32</v>
      </c>
      <c r="DM85" s="44" t="n">
        <v>0</v>
      </c>
      <c r="DN85" s="35" t="n"/>
      <c r="DO85" s="82" t="n">
        <v>40</v>
      </c>
      <c r="DP85" s="35" t="n">
        <v>50</v>
      </c>
      <c r="DQ85" s="44" t="n">
        <v>0</v>
      </c>
      <c r="DR85" s="35" t="n"/>
      <c r="DS85" s="82" t="n">
        <v>80</v>
      </c>
      <c r="DT85" s="305" t="n">
        <v>0</v>
      </c>
      <c r="DU85" s="44" t="n">
        <v>0</v>
      </c>
      <c r="DV85" s="35" t="n"/>
      <c r="DW85" s="82" t="n">
        <v>80</v>
      </c>
      <c r="DX85" s="305" t="n">
        <v>0</v>
      </c>
      <c r="DY85" s="44" t="n">
        <v>0</v>
      </c>
      <c r="DZ85" s="36" t="n"/>
      <c r="EA85" s="82" t="n">
        <v>80</v>
      </c>
      <c r="EB85" s="307" t="n">
        <v>0</v>
      </c>
      <c r="EC85" s="44" t="n">
        <v>0</v>
      </c>
      <c r="ED85" s="36" t="n"/>
      <c r="EE85" s="82" t="n">
        <v>80</v>
      </c>
      <c r="EF85" s="281" t="n">
        <v>0</v>
      </c>
      <c r="EG85" s="44" t="n">
        <v>0</v>
      </c>
      <c r="EH85" s="35" t="n"/>
      <c r="EI85" s="82" t="n">
        <v>80</v>
      </c>
      <c r="EJ85" s="281" t="n">
        <v>0</v>
      </c>
      <c r="EK85" s="44" t="n">
        <v>0</v>
      </c>
      <c r="EL85" s="35" t="n"/>
      <c r="EM85" s="82" t="n">
        <v>80</v>
      </c>
      <c r="EN85" s="281" t="n">
        <v>0</v>
      </c>
      <c r="EO85" s="44" t="n">
        <v>0</v>
      </c>
      <c r="EP85" s="35" t="n"/>
      <c r="EQ85" s="82" t="n">
        <v>80</v>
      </c>
      <c r="ER85" s="281" t="n">
        <v>0</v>
      </c>
      <c r="ES85" s="44" t="n">
        <v>0</v>
      </c>
      <c r="ET85" s="35" t="n"/>
      <c r="EU85" s="82" t="n">
        <v>80</v>
      </c>
      <c r="EV85" s="281" t="n">
        <v>0</v>
      </c>
      <c r="EW85" s="44" t="n">
        <v>0</v>
      </c>
      <c r="EX85" s="35" t="n"/>
      <c r="EY85" s="82" t="n">
        <v>80</v>
      </c>
      <c r="EZ85" s="281" t="n">
        <v>0</v>
      </c>
      <c r="FA85" s="288" t="n">
        <v>0</v>
      </c>
      <c r="FB85" s="35" t="n"/>
      <c r="FC85" s="82" t="n">
        <v>80</v>
      </c>
      <c r="FD85" s="281" t="n">
        <v>0</v>
      </c>
      <c r="FE85" s="380" t="n">
        <v>0</v>
      </c>
      <c r="FF85" s="35" t="n"/>
      <c r="FG85" s="379">
        <f>DK85+DO85+DS85+DW85+EA85+EE85+EI85+EM85+EQ85+EU85+EY85+FC85</f>
        <v/>
      </c>
      <c r="FH85" s="379">
        <f>FG85*$I85</f>
        <v/>
      </c>
      <c r="FI85" s="47" t="n">
        <v>80</v>
      </c>
      <c r="FJ85" s="47" t="n"/>
      <c r="FK85" s="44" t="n">
        <v>0</v>
      </c>
      <c r="FL85" s="35" t="n"/>
      <c r="FM85" s="47" t="n">
        <v>80</v>
      </c>
      <c r="FN85" s="47" t="n"/>
      <c r="FO85" s="44" t="n">
        <v>0</v>
      </c>
      <c r="FP85" s="35" t="n"/>
      <c r="FQ85" s="47" t="n">
        <v>80</v>
      </c>
      <c r="FR85" s="47" t="n"/>
      <c r="FS85" s="44" t="n">
        <v>0</v>
      </c>
      <c r="FT85" s="36" t="n"/>
      <c r="FU85" s="47" t="n">
        <v>80</v>
      </c>
      <c r="FV85" s="47" t="n"/>
      <c r="FW85" s="44" t="n">
        <v>0</v>
      </c>
      <c r="FX85" s="36" t="n"/>
      <c r="FY85" s="47" t="n">
        <v>80</v>
      </c>
      <c r="FZ85" s="47" t="n"/>
      <c r="GA85" s="44" t="n">
        <v>0</v>
      </c>
      <c r="GB85" s="36" t="n"/>
      <c r="GC85" s="47" t="n">
        <v>80</v>
      </c>
      <c r="GD85" s="47" t="n"/>
      <c r="GE85" s="44" t="n">
        <v>0</v>
      </c>
      <c r="GF85" s="35" t="n"/>
      <c r="GG85" s="47" t="n">
        <v>80</v>
      </c>
      <c r="GH85" s="47" t="n"/>
      <c r="GI85" s="44" t="n">
        <v>0</v>
      </c>
      <c r="GJ85" s="35" t="n"/>
      <c r="GK85" s="47" t="n">
        <v>80</v>
      </c>
      <c r="GL85" s="47" t="n"/>
      <c r="GM85" s="44" t="n">
        <v>0</v>
      </c>
      <c r="GN85" s="35" t="n"/>
      <c r="GO85" s="47" t="n">
        <v>80</v>
      </c>
      <c r="GP85" s="47" t="n"/>
      <c r="GQ85" s="44" t="n">
        <v>0</v>
      </c>
      <c r="GR85" s="35" t="n"/>
      <c r="GS85" s="47" t="n">
        <v>80</v>
      </c>
      <c r="GT85" s="47" t="n"/>
      <c r="GU85" s="44" t="n">
        <v>0</v>
      </c>
      <c r="GV85" s="35" t="n"/>
      <c r="GW85" s="47" t="n">
        <v>80</v>
      </c>
      <c r="GX85" s="47" t="n"/>
      <c r="GY85" s="49" t="n">
        <v>0</v>
      </c>
      <c r="GZ85" s="35" t="n"/>
      <c r="HA85" s="47" t="n">
        <v>80</v>
      </c>
      <c r="HB85" s="47" t="n"/>
      <c r="HC85" s="380" t="n">
        <v>0</v>
      </c>
      <c r="HD85" s="35" t="n"/>
      <c r="HE85" s="379">
        <f>FI85+FM85+FQ85+FU85+FY85+GC85+GG85+GK85+GO85+GS85+GW85+HA85</f>
        <v/>
      </c>
      <c r="HF85" s="379">
        <f>HE85*$I85</f>
        <v/>
      </c>
      <c r="HG85" s="47" t="n">
        <v>80</v>
      </c>
      <c r="HH85" s="47" t="n"/>
      <c r="HI85" s="44" t="n">
        <v>0</v>
      </c>
      <c r="HJ85" s="35" t="n"/>
      <c r="HK85" s="47" t="n">
        <v>80</v>
      </c>
      <c r="HL85" s="47" t="n"/>
      <c r="HM85" s="44" t="n">
        <v>0</v>
      </c>
      <c r="HN85" s="35" t="n"/>
      <c r="HO85" s="47" t="n">
        <v>80</v>
      </c>
      <c r="HP85" s="47" t="n"/>
      <c r="HQ85" s="44" t="n">
        <v>0</v>
      </c>
      <c r="HR85" s="36" t="n"/>
      <c r="HS85" s="47" t="n">
        <v>80</v>
      </c>
      <c r="HT85" s="47" t="n"/>
      <c r="HU85" s="44" t="n">
        <v>0</v>
      </c>
      <c r="HV85" s="36" t="n"/>
      <c r="HW85" s="47" t="n">
        <v>80</v>
      </c>
      <c r="HX85" s="47" t="n"/>
      <c r="HY85" s="44" t="n">
        <v>0</v>
      </c>
      <c r="HZ85" s="36" t="n"/>
      <c r="IA85" s="47" t="n">
        <v>80</v>
      </c>
      <c r="IB85" s="47" t="n"/>
      <c r="IC85" s="44" t="n">
        <v>0</v>
      </c>
      <c r="ID85" s="35" t="n"/>
      <c r="IE85" s="47" t="n">
        <v>80</v>
      </c>
      <c r="IF85" s="47" t="n"/>
      <c r="IG85" s="44" t="n">
        <v>0</v>
      </c>
      <c r="IH85" s="35" t="n"/>
      <c r="II85" s="47" t="n">
        <v>80</v>
      </c>
      <c r="IJ85" s="47" t="n"/>
      <c r="IK85" s="44" t="n">
        <v>0</v>
      </c>
      <c r="IL85" s="35" t="n"/>
      <c r="IM85" s="47" t="n">
        <v>80</v>
      </c>
      <c r="IN85" s="47" t="n"/>
      <c r="IO85" s="44" t="n">
        <v>0</v>
      </c>
      <c r="IP85" s="35" t="n"/>
      <c r="IQ85" s="47" t="n">
        <v>80</v>
      </c>
      <c r="IR85" s="47" t="n"/>
      <c r="IS85" s="44" t="n">
        <v>0</v>
      </c>
      <c r="IT85" s="35" t="n"/>
      <c r="IU85" s="47" t="n">
        <v>80</v>
      </c>
      <c r="IV85" s="47" t="n"/>
      <c r="IW85" s="49" t="n">
        <v>0</v>
      </c>
      <c r="IX85" s="35" t="n"/>
      <c r="IY85" s="47" t="n">
        <v>80</v>
      </c>
      <c r="IZ85" s="47" t="n"/>
      <c r="JA85" s="380" t="n">
        <v>0</v>
      </c>
      <c r="JB85" s="35" t="n"/>
      <c r="JC85" s="381">
        <f>HG85+HK85+HO85+HS85+HW85+IA85+IE85+II85+IM85+IQ85+IU85+IY85</f>
        <v/>
      </c>
      <c r="JD85" s="381">
        <f>JC85*$I85</f>
        <v/>
      </c>
    </row>
    <row r="86">
      <c r="A86" s="382" t="n"/>
      <c r="B86" s="382" t="n"/>
      <c r="C86" s="382" t="n"/>
      <c r="D86" s="382" t="n"/>
      <c r="E86" s="25" t="n">
        <v>2</v>
      </c>
      <c r="F86" s="25" t="n">
        <v>1</v>
      </c>
      <c r="G86" s="26" t="n">
        <v>9522010020</v>
      </c>
      <c r="H86" s="27" t="inlineStr">
        <is>
          <t>Соединительная головка + маг. Фильтр</t>
        </is>
      </c>
      <c r="I86" s="28" t="n">
        <v>45.35</v>
      </c>
      <c r="J86" s="29" t="n">
        <v>45.35</v>
      </c>
      <c r="K86" s="297" t="n">
        <v>60</v>
      </c>
      <c r="L86" s="297" t="n">
        <v>60</v>
      </c>
      <c r="M86" s="29" t="n"/>
      <c r="N86" s="29" t="n"/>
      <c r="O86" s="30" t="n">
        <v>0</v>
      </c>
      <c r="P86" s="31" t="n">
        <v>0</v>
      </c>
      <c r="Q86" s="32" t="n">
        <v>0</v>
      </c>
      <c r="R86" s="31" t="n"/>
      <c r="S86" s="30" t="n">
        <v>0</v>
      </c>
      <c r="T86" s="31" t="n">
        <v>0</v>
      </c>
      <c r="U86" s="32" t="n">
        <v>0</v>
      </c>
      <c r="V86" s="31" t="n"/>
      <c r="W86" s="30" t="n">
        <v>0</v>
      </c>
      <c r="X86" s="31" t="n">
        <v>0</v>
      </c>
      <c r="Y86" s="32" t="n">
        <v>0</v>
      </c>
      <c r="Z86" s="34" t="n"/>
      <c r="AA86" s="30" t="n">
        <v>0</v>
      </c>
      <c r="AB86" s="31" t="n">
        <v>0</v>
      </c>
      <c r="AC86" s="32" t="n">
        <v>0</v>
      </c>
      <c r="AD86" s="36" t="n"/>
      <c r="AE86" s="30" t="n">
        <v>0</v>
      </c>
      <c r="AF86" s="31" t="n">
        <v>0</v>
      </c>
      <c r="AG86" s="32" t="n">
        <v>0</v>
      </c>
      <c r="AH86" s="36" t="n"/>
      <c r="AI86" s="30" t="n">
        <v>0</v>
      </c>
      <c r="AJ86" s="31" t="n">
        <v>0</v>
      </c>
      <c r="AK86" s="32" t="n">
        <v>0</v>
      </c>
      <c r="AL86" s="31" t="n"/>
      <c r="AM86" s="30" t="n">
        <v>0</v>
      </c>
      <c r="AN86" s="31" t="n">
        <v>0</v>
      </c>
      <c r="AO86" s="32" t="n">
        <v>0</v>
      </c>
      <c r="AP86" s="31" t="n"/>
      <c r="AQ86" s="30" t="n">
        <v>0</v>
      </c>
      <c r="AR86" s="31" t="n">
        <v>0</v>
      </c>
      <c r="AS86" s="32" t="n">
        <v>0</v>
      </c>
      <c r="AT86" s="31" t="n"/>
      <c r="AU86" s="30" t="n">
        <v>0</v>
      </c>
      <c r="AV86" s="37" t="n">
        <v>0</v>
      </c>
      <c r="AW86" s="32" t="n">
        <v>0</v>
      </c>
      <c r="AX86" s="31" t="n"/>
      <c r="AY86" s="30" t="n">
        <v>0</v>
      </c>
      <c r="AZ86" s="38" t="n">
        <v>0</v>
      </c>
      <c r="BA86" s="32" t="n">
        <v>0</v>
      </c>
      <c r="BB86" s="34" t="n"/>
      <c r="BC86" s="30" t="n">
        <v>0</v>
      </c>
      <c r="BD86" s="39" t="n">
        <v>40</v>
      </c>
      <c r="BE86" s="40" t="n">
        <v>40</v>
      </c>
      <c r="BF86" s="34" t="n"/>
      <c r="BG86" s="41" t="n">
        <v>0</v>
      </c>
      <c r="BH86" s="39" t="n">
        <v>40</v>
      </c>
      <c r="BI86" s="385" t="n">
        <v>50</v>
      </c>
      <c r="BJ86" s="34" t="n"/>
      <c r="BK86" s="381">
        <f>O86+S86+W86+AA86+AE86+AI86+AM86+AQ86+AU86+AY86+BC86+BG86</f>
        <v/>
      </c>
      <c r="BL86" s="381">
        <f>BK86*$I86</f>
        <v/>
      </c>
      <c r="BM86" s="41" t="n">
        <v>0</v>
      </c>
      <c r="BN86" s="47" t="n">
        <v>40</v>
      </c>
      <c r="BO86" s="32" t="n">
        <v>0</v>
      </c>
      <c r="BP86" s="31" t="n"/>
      <c r="BQ86" s="45" t="n">
        <v>40</v>
      </c>
      <c r="BR86" s="47" t="n">
        <v>0</v>
      </c>
      <c r="BS86" s="32" t="n">
        <v>0</v>
      </c>
      <c r="BT86" s="31" t="n"/>
      <c r="BU86" s="45" t="n">
        <v>40</v>
      </c>
      <c r="BV86" s="47" t="n">
        <v>40</v>
      </c>
      <c r="BW86" s="32" t="n">
        <v>0</v>
      </c>
      <c r="BX86" s="34" t="n"/>
      <c r="BY86" s="45" t="n">
        <v>40</v>
      </c>
      <c r="BZ86" s="47" t="n">
        <v>0</v>
      </c>
      <c r="CA86" s="32" t="n">
        <v>0</v>
      </c>
      <c r="CB86" s="36" t="n"/>
      <c r="CC86" s="45" t="n">
        <v>40</v>
      </c>
      <c r="CD86" s="47" t="n">
        <v>40</v>
      </c>
      <c r="CE86" s="44" t="n">
        <v>0</v>
      </c>
      <c r="CF86" s="36" t="n"/>
      <c r="CG86" s="45" t="n">
        <v>40</v>
      </c>
      <c r="CH86" s="242" t="n">
        <v>0</v>
      </c>
      <c r="CI86" s="44" t="n">
        <v>50</v>
      </c>
      <c r="CJ86" s="35" t="n"/>
      <c r="CK86" s="45" t="n">
        <v>40</v>
      </c>
      <c r="CL86" s="47" t="n">
        <v>40</v>
      </c>
      <c r="CM86" s="44" t="n">
        <v>0</v>
      </c>
      <c r="CN86" s="35" t="n"/>
      <c r="CO86" s="45" t="n">
        <v>40</v>
      </c>
      <c r="CP86" s="47" t="n">
        <v>40</v>
      </c>
      <c r="CQ86" s="56" t="n">
        <v>50</v>
      </c>
      <c r="CR86" s="35" t="n"/>
      <c r="CS86" s="45" t="n">
        <v>0</v>
      </c>
      <c r="CT86" s="47" t="n">
        <v>0</v>
      </c>
      <c r="CU86" s="44" t="n">
        <v>0</v>
      </c>
      <c r="CV86" s="35" t="n"/>
      <c r="CW86" s="51" t="n">
        <v>0</v>
      </c>
      <c r="CX86" s="47" t="n">
        <v>0</v>
      </c>
      <c r="CY86" s="44" t="n">
        <v>0</v>
      </c>
      <c r="CZ86" s="35" t="n"/>
      <c r="DA86" s="51" t="n">
        <v>28</v>
      </c>
      <c r="DB86" s="47" t="n">
        <v>28</v>
      </c>
      <c r="DC86" s="155" t="n">
        <v>5</v>
      </c>
      <c r="DD86" s="35" t="n"/>
      <c r="DE86" s="51" t="n">
        <v>100</v>
      </c>
      <c r="DF86" s="47" t="n">
        <v>32</v>
      </c>
      <c r="DG86" s="380" t="n">
        <v>32</v>
      </c>
      <c r="DH86" s="35" t="n"/>
      <c r="DI86" s="379">
        <f>BM86+BQ86+BU86+BY86+CC86+CG86+CK86+CO86+CS86+CW86+DA86+DE86</f>
        <v/>
      </c>
      <c r="DJ86" s="379">
        <f>DI86*$I86</f>
        <v/>
      </c>
      <c r="DK86" s="82" t="n">
        <v>0</v>
      </c>
      <c r="DL86" s="35" t="n">
        <v>32</v>
      </c>
      <c r="DM86" s="44" t="n">
        <v>0</v>
      </c>
      <c r="DN86" s="35" t="n"/>
      <c r="DO86" s="82" t="n">
        <v>40</v>
      </c>
      <c r="DP86" s="35" t="n">
        <v>50</v>
      </c>
      <c r="DQ86" s="44" t="n">
        <v>0</v>
      </c>
      <c r="DR86" s="35" t="n"/>
      <c r="DS86" s="82" t="n">
        <v>80</v>
      </c>
      <c r="DT86" s="305" t="n">
        <v>0</v>
      </c>
      <c r="DU86" s="44" t="n">
        <v>0</v>
      </c>
      <c r="DV86" s="35" t="n"/>
      <c r="DW86" s="82" t="n">
        <v>80</v>
      </c>
      <c r="DX86" s="305" t="n">
        <v>0</v>
      </c>
      <c r="DY86" s="44" t="n">
        <v>0</v>
      </c>
      <c r="DZ86" s="36" t="n"/>
      <c r="EA86" s="82" t="n">
        <v>80</v>
      </c>
      <c r="EB86" s="307" t="n">
        <v>0</v>
      </c>
      <c r="EC86" s="44" t="n">
        <v>0</v>
      </c>
      <c r="ED86" s="36" t="n"/>
      <c r="EE86" s="82" t="n">
        <v>80</v>
      </c>
      <c r="EF86" s="281" t="n">
        <v>0</v>
      </c>
      <c r="EG86" s="44" t="n">
        <v>0</v>
      </c>
      <c r="EH86" s="35" t="n"/>
      <c r="EI86" s="82" t="n">
        <v>80</v>
      </c>
      <c r="EJ86" s="281" t="n">
        <v>0</v>
      </c>
      <c r="EK86" s="44" t="n">
        <v>0</v>
      </c>
      <c r="EL86" s="35" t="n"/>
      <c r="EM86" s="82" t="n">
        <v>80</v>
      </c>
      <c r="EN86" s="281" t="n">
        <v>0</v>
      </c>
      <c r="EO86" s="44" t="n">
        <v>0</v>
      </c>
      <c r="EP86" s="35" t="n"/>
      <c r="EQ86" s="82" t="n">
        <v>80</v>
      </c>
      <c r="ER86" s="281" t="n">
        <v>0</v>
      </c>
      <c r="ES86" s="44" t="n">
        <v>0</v>
      </c>
      <c r="ET86" s="35" t="n"/>
      <c r="EU86" s="82" t="n">
        <v>80</v>
      </c>
      <c r="EV86" s="281" t="n">
        <v>0</v>
      </c>
      <c r="EW86" s="44" t="n">
        <v>0</v>
      </c>
      <c r="EX86" s="35" t="n"/>
      <c r="EY86" s="82" t="n">
        <v>80</v>
      </c>
      <c r="EZ86" s="281" t="n">
        <v>0</v>
      </c>
      <c r="FA86" s="288" t="n">
        <v>0</v>
      </c>
      <c r="FB86" s="35" t="n"/>
      <c r="FC86" s="82" t="n">
        <v>80</v>
      </c>
      <c r="FD86" s="281" t="n">
        <v>0</v>
      </c>
      <c r="FE86" s="380" t="n">
        <v>0</v>
      </c>
      <c r="FF86" s="35" t="n"/>
      <c r="FG86" s="379">
        <f>DK86+DO86+DS86+DW86+EA86+EE86+EI86+EM86+EQ86+EU86+EY86+FC86</f>
        <v/>
      </c>
      <c r="FH86" s="379">
        <f>FG86*$I86</f>
        <v/>
      </c>
      <c r="FI86" s="47" t="n">
        <v>80</v>
      </c>
      <c r="FJ86" s="47" t="n"/>
      <c r="FK86" s="44" t="n">
        <v>0</v>
      </c>
      <c r="FL86" s="35" t="n"/>
      <c r="FM86" s="47" t="n">
        <v>80</v>
      </c>
      <c r="FN86" s="47" t="n"/>
      <c r="FO86" s="44" t="n">
        <v>0</v>
      </c>
      <c r="FP86" s="35" t="n"/>
      <c r="FQ86" s="47" t="n">
        <v>80</v>
      </c>
      <c r="FR86" s="47" t="n"/>
      <c r="FS86" s="44" t="n">
        <v>0</v>
      </c>
      <c r="FT86" s="36" t="n"/>
      <c r="FU86" s="47" t="n">
        <v>80</v>
      </c>
      <c r="FV86" s="47" t="n"/>
      <c r="FW86" s="44" t="n">
        <v>0</v>
      </c>
      <c r="FX86" s="36" t="n"/>
      <c r="FY86" s="47" t="n">
        <v>80</v>
      </c>
      <c r="FZ86" s="47" t="n"/>
      <c r="GA86" s="44" t="n">
        <v>0</v>
      </c>
      <c r="GB86" s="36" t="n"/>
      <c r="GC86" s="47" t="n">
        <v>80</v>
      </c>
      <c r="GD86" s="47" t="n"/>
      <c r="GE86" s="44" t="n">
        <v>0</v>
      </c>
      <c r="GF86" s="35" t="n"/>
      <c r="GG86" s="47" t="n">
        <v>80</v>
      </c>
      <c r="GH86" s="47" t="n"/>
      <c r="GI86" s="44" t="n">
        <v>0</v>
      </c>
      <c r="GJ86" s="35" t="n"/>
      <c r="GK86" s="47" t="n">
        <v>80</v>
      </c>
      <c r="GL86" s="47" t="n"/>
      <c r="GM86" s="44" t="n">
        <v>0</v>
      </c>
      <c r="GN86" s="35" t="n"/>
      <c r="GO86" s="47" t="n">
        <v>80</v>
      </c>
      <c r="GP86" s="47" t="n"/>
      <c r="GQ86" s="44" t="n">
        <v>0</v>
      </c>
      <c r="GR86" s="35" t="n"/>
      <c r="GS86" s="47" t="n">
        <v>80</v>
      </c>
      <c r="GT86" s="47" t="n"/>
      <c r="GU86" s="44" t="n">
        <v>0</v>
      </c>
      <c r="GV86" s="35" t="n"/>
      <c r="GW86" s="47" t="n">
        <v>80</v>
      </c>
      <c r="GX86" s="47" t="n"/>
      <c r="GY86" s="49" t="n">
        <v>0</v>
      </c>
      <c r="GZ86" s="35" t="n"/>
      <c r="HA86" s="47" t="n">
        <v>80</v>
      </c>
      <c r="HB86" s="47" t="n"/>
      <c r="HC86" s="380" t="n">
        <v>0</v>
      </c>
      <c r="HD86" s="35" t="n"/>
      <c r="HE86" s="379">
        <f>FI86+FM86+FQ86+FU86+FY86+GC86+GG86+GK86+GO86+GS86+GW86+HA86</f>
        <v/>
      </c>
      <c r="HF86" s="379">
        <f>HE86*$I86</f>
        <v/>
      </c>
      <c r="HG86" s="47" t="n">
        <v>80</v>
      </c>
      <c r="HH86" s="47" t="n"/>
      <c r="HI86" s="44" t="n">
        <v>0</v>
      </c>
      <c r="HJ86" s="35" t="n"/>
      <c r="HK86" s="47" t="n">
        <v>80</v>
      </c>
      <c r="HL86" s="47" t="n"/>
      <c r="HM86" s="44" t="n">
        <v>0</v>
      </c>
      <c r="HN86" s="35" t="n"/>
      <c r="HO86" s="47" t="n">
        <v>80</v>
      </c>
      <c r="HP86" s="47" t="n"/>
      <c r="HQ86" s="44" t="n">
        <v>0</v>
      </c>
      <c r="HR86" s="36" t="n"/>
      <c r="HS86" s="47" t="n">
        <v>80</v>
      </c>
      <c r="HT86" s="47" t="n"/>
      <c r="HU86" s="44" t="n">
        <v>0</v>
      </c>
      <c r="HV86" s="36" t="n"/>
      <c r="HW86" s="47" t="n">
        <v>80</v>
      </c>
      <c r="HX86" s="47" t="n"/>
      <c r="HY86" s="44" t="n">
        <v>0</v>
      </c>
      <c r="HZ86" s="36" t="n"/>
      <c r="IA86" s="47" t="n">
        <v>80</v>
      </c>
      <c r="IB86" s="47" t="n"/>
      <c r="IC86" s="44" t="n">
        <v>0</v>
      </c>
      <c r="ID86" s="35" t="n"/>
      <c r="IE86" s="47" t="n">
        <v>80</v>
      </c>
      <c r="IF86" s="47" t="n"/>
      <c r="IG86" s="44" t="n">
        <v>0</v>
      </c>
      <c r="IH86" s="35" t="n"/>
      <c r="II86" s="47" t="n">
        <v>80</v>
      </c>
      <c r="IJ86" s="47" t="n"/>
      <c r="IK86" s="44" t="n">
        <v>0</v>
      </c>
      <c r="IL86" s="35" t="n"/>
      <c r="IM86" s="47" t="n">
        <v>80</v>
      </c>
      <c r="IN86" s="47" t="n"/>
      <c r="IO86" s="44" t="n">
        <v>0</v>
      </c>
      <c r="IP86" s="35" t="n"/>
      <c r="IQ86" s="47" t="n">
        <v>80</v>
      </c>
      <c r="IR86" s="47" t="n"/>
      <c r="IS86" s="44" t="n">
        <v>0</v>
      </c>
      <c r="IT86" s="35" t="n"/>
      <c r="IU86" s="47" t="n">
        <v>80</v>
      </c>
      <c r="IV86" s="47" t="n"/>
      <c r="IW86" s="49" t="n">
        <v>0</v>
      </c>
      <c r="IX86" s="35" t="n"/>
      <c r="IY86" s="47" t="n">
        <v>80</v>
      </c>
      <c r="IZ86" s="47" t="n"/>
      <c r="JA86" s="380" t="n">
        <v>0</v>
      </c>
      <c r="JB86" s="35" t="n"/>
      <c r="JC86" s="381">
        <f>HG86+HK86+HO86+HS86+HW86+IA86+IE86+II86+IM86+IQ86+IU86+IY86</f>
        <v/>
      </c>
      <c r="JD86" s="381">
        <f>JC86*$I86</f>
        <v/>
      </c>
    </row>
    <row r="87">
      <c r="A87" s="382" t="n"/>
      <c r="B87" s="382" t="n"/>
      <c r="C87" s="382" t="n"/>
      <c r="D87" s="382" t="n"/>
      <c r="E87" s="25" t="n">
        <v>3</v>
      </c>
      <c r="F87" s="25" t="n">
        <v>1</v>
      </c>
      <c r="G87" s="26" t="n">
        <v>9710029000</v>
      </c>
      <c r="H87" s="27" t="inlineStr">
        <is>
          <t>PREV</t>
        </is>
      </c>
      <c r="I87" s="28" t="n">
        <v>354.67</v>
      </c>
      <c r="J87" s="29" t="n">
        <v>354.67</v>
      </c>
      <c r="K87" s="295" t="n">
        <v>398</v>
      </c>
      <c r="L87" s="295" t="n">
        <v>398</v>
      </c>
      <c r="M87" s="29" t="n"/>
      <c r="N87" s="29" t="n"/>
      <c r="O87" s="30" t="n">
        <v>0</v>
      </c>
      <c r="P87" s="31" t="n">
        <v>0</v>
      </c>
      <c r="Q87" s="32" t="n">
        <v>0</v>
      </c>
      <c r="R87" s="31" t="n"/>
      <c r="S87" s="30" t="n">
        <v>0</v>
      </c>
      <c r="T87" s="31" t="n">
        <v>0</v>
      </c>
      <c r="U87" s="32" t="n">
        <v>0</v>
      </c>
      <c r="V87" s="31" t="n"/>
      <c r="W87" s="30" t="n">
        <v>0</v>
      </c>
      <c r="X87" s="31" t="n">
        <v>0</v>
      </c>
      <c r="Y87" s="32" t="n">
        <v>0</v>
      </c>
      <c r="Z87" s="34" t="n"/>
      <c r="AA87" s="30" t="n">
        <v>0</v>
      </c>
      <c r="AB87" s="31" t="n">
        <v>0</v>
      </c>
      <c r="AC87" s="32" t="n">
        <v>0</v>
      </c>
      <c r="AD87" s="36" t="n"/>
      <c r="AE87" s="30" t="n">
        <v>0</v>
      </c>
      <c r="AF87" s="31" t="n">
        <v>0</v>
      </c>
      <c r="AG87" s="32" t="n">
        <v>0</v>
      </c>
      <c r="AH87" s="36" t="n"/>
      <c r="AI87" s="30" t="n">
        <v>0</v>
      </c>
      <c r="AJ87" s="31" t="n">
        <v>0</v>
      </c>
      <c r="AK87" s="32" t="n">
        <v>0</v>
      </c>
      <c r="AL87" s="31" t="n"/>
      <c r="AM87" s="30" t="n">
        <v>0</v>
      </c>
      <c r="AN87" s="31" t="n">
        <v>0</v>
      </c>
      <c r="AO87" s="32" t="n">
        <v>0</v>
      </c>
      <c r="AP87" s="31" t="n"/>
      <c r="AQ87" s="30" t="n">
        <v>0</v>
      </c>
      <c r="AR87" s="31" t="n">
        <v>0</v>
      </c>
      <c r="AS87" s="32" t="n">
        <v>0</v>
      </c>
      <c r="AT87" s="31" t="n"/>
      <c r="AU87" s="30" t="n">
        <v>0</v>
      </c>
      <c r="AV87" s="37" t="n">
        <v>0</v>
      </c>
      <c r="AW87" s="32" t="n">
        <v>0</v>
      </c>
      <c r="AX87" s="31" t="n"/>
      <c r="AY87" s="30" t="n">
        <v>0</v>
      </c>
      <c r="AZ87" s="38" t="n">
        <v>0</v>
      </c>
      <c r="BA87" s="32" t="n">
        <v>0</v>
      </c>
      <c r="BB87" s="34" t="n"/>
      <c r="BC87" s="30" t="n">
        <v>0</v>
      </c>
      <c r="BD87" s="39" t="n">
        <v>40</v>
      </c>
      <c r="BE87" s="241" t="n">
        <v>40</v>
      </c>
      <c r="BF87" s="34" t="n"/>
      <c r="BG87" s="41" t="n">
        <v>0</v>
      </c>
      <c r="BH87" s="39" t="n">
        <v>40</v>
      </c>
      <c r="BI87" s="385" t="n">
        <v>50</v>
      </c>
      <c r="BJ87" s="34" t="n"/>
      <c r="BK87" s="381">
        <f>O87+S87+W87+AA87+AE87+AI87+AM87+AQ87+AU87+AY87+BC87+BG87</f>
        <v/>
      </c>
      <c r="BL87" s="381">
        <f>BK87*$I87</f>
        <v/>
      </c>
      <c r="BM87" s="41" t="n">
        <v>0</v>
      </c>
      <c r="BN87" s="47" t="n">
        <v>40</v>
      </c>
      <c r="BO87" s="32" t="n">
        <v>0</v>
      </c>
      <c r="BP87" s="31" t="n"/>
      <c r="BQ87" s="45" t="n">
        <v>40</v>
      </c>
      <c r="BR87" s="47" t="n">
        <v>0</v>
      </c>
      <c r="BS87" s="32" t="n">
        <v>0</v>
      </c>
      <c r="BT87" s="31" t="n"/>
      <c r="BU87" s="45" t="n">
        <v>40</v>
      </c>
      <c r="BV87" s="47" t="n">
        <v>40</v>
      </c>
      <c r="BW87" s="32" t="n">
        <v>0</v>
      </c>
      <c r="BX87" s="34" t="n"/>
      <c r="BY87" s="45" t="n">
        <v>40</v>
      </c>
      <c r="BZ87" s="47" t="n">
        <v>0</v>
      </c>
      <c r="CA87" s="32" t="n">
        <v>0</v>
      </c>
      <c r="CB87" s="36" t="n"/>
      <c r="CC87" s="45" t="n">
        <v>40</v>
      </c>
      <c r="CD87" s="47" t="n">
        <v>40</v>
      </c>
      <c r="CE87" s="44" t="n">
        <v>0</v>
      </c>
      <c r="CF87" s="36" t="n"/>
      <c r="CG87" s="45" t="n">
        <v>40</v>
      </c>
      <c r="CH87" s="242" t="n">
        <v>0</v>
      </c>
      <c r="CI87" s="44" t="n">
        <v>50</v>
      </c>
      <c r="CJ87" s="35" t="n"/>
      <c r="CK87" s="45" t="n">
        <v>40</v>
      </c>
      <c r="CL87" s="47" t="n">
        <v>40</v>
      </c>
      <c r="CM87" s="44" t="n">
        <v>0</v>
      </c>
      <c r="CN87" s="35" t="n"/>
      <c r="CO87" s="45" t="n">
        <v>40</v>
      </c>
      <c r="CP87" s="47" t="n">
        <v>40</v>
      </c>
      <c r="CQ87" s="44" t="n">
        <v>50</v>
      </c>
      <c r="CR87" s="35" t="n"/>
      <c r="CS87" s="45" t="n">
        <v>0</v>
      </c>
      <c r="CT87" s="47" t="n">
        <v>0</v>
      </c>
      <c r="CU87" s="44" t="n">
        <v>0</v>
      </c>
      <c r="CV87" s="35" t="n"/>
      <c r="CW87" s="51" t="n">
        <v>0</v>
      </c>
      <c r="CX87" s="47" t="n">
        <v>0</v>
      </c>
      <c r="CY87" s="44" t="n">
        <v>0</v>
      </c>
      <c r="CZ87" s="35" t="n"/>
      <c r="DA87" s="51" t="n">
        <v>28</v>
      </c>
      <c r="DB87" s="47" t="n">
        <v>28</v>
      </c>
      <c r="DC87" s="155" t="n">
        <v>5</v>
      </c>
      <c r="DD87" s="35" t="n"/>
      <c r="DE87" s="51" t="n">
        <v>100</v>
      </c>
      <c r="DF87" s="47" t="n">
        <v>32</v>
      </c>
      <c r="DG87" s="380" t="n">
        <v>32</v>
      </c>
      <c r="DH87" s="35" t="n"/>
      <c r="DI87" s="379">
        <f>BM87+BQ87+BU87+BY87+CC87+CG87+CK87+CO87+CS87+CW87+DA87+DE87</f>
        <v/>
      </c>
      <c r="DJ87" s="379">
        <f>DI87*$I87</f>
        <v/>
      </c>
      <c r="DK87" s="82" t="n">
        <v>0</v>
      </c>
      <c r="DL87" s="35" t="n">
        <v>32</v>
      </c>
      <c r="DM87" s="44" t="n">
        <v>0</v>
      </c>
      <c r="DN87" s="35" t="n"/>
      <c r="DO87" s="82" t="n">
        <v>40</v>
      </c>
      <c r="DP87" s="35" t="n">
        <v>50</v>
      </c>
      <c r="DQ87" s="44" t="n">
        <v>0</v>
      </c>
      <c r="DR87" s="35" t="n"/>
      <c r="DS87" s="82" t="n">
        <v>40</v>
      </c>
      <c r="DT87" s="305" t="n">
        <v>0</v>
      </c>
      <c r="DU87" s="44" t="n">
        <v>0</v>
      </c>
      <c r="DV87" s="35" t="n"/>
      <c r="DW87" s="82" t="n">
        <v>40</v>
      </c>
      <c r="DX87" s="305" t="n">
        <v>0</v>
      </c>
      <c r="DY87" s="44" t="n">
        <v>0</v>
      </c>
      <c r="DZ87" s="36" t="n"/>
      <c r="EA87" s="82" t="n">
        <v>80</v>
      </c>
      <c r="EB87" s="307" t="n">
        <v>0</v>
      </c>
      <c r="EC87" s="44" t="n">
        <v>0</v>
      </c>
      <c r="ED87" s="36" t="n"/>
      <c r="EE87" s="82" t="n">
        <v>80</v>
      </c>
      <c r="EF87" s="281" t="n">
        <v>0</v>
      </c>
      <c r="EG87" s="44" t="n">
        <v>0</v>
      </c>
      <c r="EH87" s="35" t="n"/>
      <c r="EI87" s="82" t="n">
        <v>80</v>
      </c>
      <c r="EJ87" s="281" t="n">
        <v>0</v>
      </c>
      <c r="EK87" s="44" t="n">
        <v>0</v>
      </c>
      <c r="EL87" s="35" t="n"/>
      <c r="EM87" s="82" t="n">
        <v>80</v>
      </c>
      <c r="EN87" s="281" t="n">
        <v>0</v>
      </c>
      <c r="EO87" s="44" t="n">
        <v>0</v>
      </c>
      <c r="EP87" s="35" t="n"/>
      <c r="EQ87" s="82" t="n">
        <v>80</v>
      </c>
      <c r="ER87" s="281" t="n">
        <v>0</v>
      </c>
      <c r="ES87" s="44" t="n">
        <v>0</v>
      </c>
      <c r="ET87" s="35" t="n"/>
      <c r="EU87" s="82" t="n">
        <v>80</v>
      </c>
      <c r="EV87" s="281" t="n">
        <v>0</v>
      </c>
      <c r="EW87" s="44" t="n">
        <v>0</v>
      </c>
      <c r="EX87" s="35" t="n"/>
      <c r="EY87" s="82" t="n">
        <v>80</v>
      </c>
      <c r="EZ87" s="281" t="n">
        <v>0</v>
      </c>
      <c r="FA87" s="288" t="n">
        <v>0</v>
      </c>
      <c r="FB87" s="35" t="n"/>
      <c r="FC87" s="82" t="n">
        <v>80</v>
      </c>
      <c r="FD87" s="281" t="n">
        <v>0</v>
      </c>
      <c r="FE87" s="380" t="n">
        <v>0</v>
      </c>
      <c r="FF87" s="35" t="n"/>
      <c r="FG87" s="379">
        <f>DK87+DO87+DS87+DW87+EA87+EE87+EI87+EM87+EQ87+EU87+EY87+FC87</f>
        <v/>
      </c>
      <c r="FH87" s="379">
        <f>FG87*$I87</f>
        <v/>
      </c>
      <c r="FI87" s="47" t="n">
        <v>80</v>
      </c>
      <c r="FJ87" s="47" t="n"/>
      <c r="FK87" s="44" t="n">
        <v>0</v>
      </c>
      <c r="FL87" s="35" t="n"/>
      <c r="FM87" s="47" t="n">
        <v>80</v>
      </c>
      <c r="FN87" s="47" t="n"/>
      <c r="FO87" s="44" t="n">
        <v>0</v>
      </c>
      <c r="FP87" s="35" t="n"/>
      <c r="FQ87" s="47" t="n">
        <v>80</v>
      </c>
      <c r="FR87" s="47" t="n"/>
      <c r="FS87" s="44" t="n">
        <v>0</v>
      </c>
      <c r="FT87" s="36" t="n"/>
      <c r="FU87" s="47" t="n">
        <v>80</v>
      </c>
      <c r="FV87" s="47" t="n"/>
      <c r="FW87" s="44" t="n">
        <v>0</v>
      </c>
      <c r="FX87" s="36" t="n"/>
      <c r="FY87" s="47" t="n">
        <v>80</v>
      </c>
      <c r="FZ87" s="47" t="n"/>
      <c r="GA87" s="44" t="n">
        <v>0</v>
      </c>
      <c r="GB87" s="36" t="n"/>
      <c r="GC87" s="47" t="n">
        <v>80</v>
      </c>
      <c r="GD87" s="47" t="n"/>
      <c r="GE87" s="44" t="n">
        <v>0</v>
      </c>
      <c r="GF87" s="35" t="n"/>
      <c r="GG87" s="47" t="n">
        <v>80</v>
      </c>
      <c r="GH87" s="47" t="n"/>
      <c r="GI87" s="44" t="n">
        <v>0</v>
      </c>
      <c r="GJ87" s="35" t="n"/>
      <c r="GK87" s="47" t="n">
        <v>80</v>
      </c>
      <c r="GL87" s="47" t="n"/>
      <c r="GM87" s="44" t="n">
        <v>0</v>
      </c>
      <c r="GN87" s="35" t="n"/>
      <c r="GO87" s="47" t="n">
        <v>80</v>
      </c>
      <c r="GP87" s="47" t="n"/>
      <c r="GQ87" s="44" t="n">
        <v>0</v>
      </c>
      <c r="GR87" s="35" t="n"/>
      <c r="GS87" s="47" t="n">
        <v>80</v>
      </c>
      <c r="GT87" s="47" t="n"/>
      <c r="GU87" s="44" t="n">
        <v>0</v>
      </c>
      <c r="GV87" s="35" t="n"/>
      <c r="GW87" s="47" t="n">
        <v>80</v>
      </c>
      <c r="GX87" s="47" t="n"/>
      <c r="GY87" s="49" t="n">
        <v>0</v>
      </c>
      <c r="GZ87" s="35" t="n"/>
      <c r="HA87" s="47" t="n">
        <v>80</v>
      </c>
      <c r="HB87" s="47" t="n"/>
      <c r="HC87" s="380" t="n">
        <v>0</v>
      </c>
      <c r="HD87" s="35" t="n"/>
      <c r="HE87" s="379">
        <f>FI87+FM87+FQ87+FU87+FY87+GC87+GG87+GK87+GO87+GS87+GW87+HA87</f>
        <v/>
      </c>
      <c r="HF87" s="379">
        <f>HE87*$I87</f>
        <v/>
      </c>
      <c r="HG87" s="47" t="n">
        <v>80</v>
      </c>
      <c r="HH87" s="47" t="n"/>
      <c r="HI87" s="44" t="n">
        <v>0</v>
      </c>
      <c r="HJ87" s="35" t="n"/>
      <c r="HK87" s="47" t="n">
        <v>80</v>
      </c>
      <c r="HL87" s="47" t="n"/>
      <c r="HM87" s="44" t="n">
        <v>0</v>
      </c>
      <c r="HN87" s="35" t="n"/>
      <c r="HO87" s="47" t="n">
        <v>80</v>
      </c>
      <c r="HP87" s="47" t="n"/>
      <c r="HQ87" s="44" t="n">
        <v>0</v>
      </c>
      <c r="HR87" s="36" t="n"/>
      <c r="HS87" s="47" t="n">
        <v>80</v>
      </c>
      <c r="HT87" s="47" t="n"/>
      <c r="HU87" s="44" t="n">
        <v>0</v>
      </c>
      <c r="HV87" s="36" t="n"/>
      <c r="HW87" s="47" t="n">
        <v>80</v>
      </c>
      <c r="HX87" s="47" t="n"/>
      <c r="HY87" s="44" t="n">
        <v>0</v>
      </c>
      <c r="HZ87" s="36" t="n"/>
      <c r="IA87" s="47" t="n">
        <v>80</v>
      </c>
      <c r="IB87" s="47" t="n"/>
      <c r="IC87" s="44" t="n">
        <v>0</v>
      </c>
      <c r="ID87" s="35" t="n"/>
      <c r="IE87" s="47" t="n">
        <v>80</v>
      </c>
      <c r="IF87" s="47" t="n"/>
      <c r="IG87" s="44" t="n">
        <v>0</v>
      </c>
      <c r="IH87" s="35" t="n"/>
      <c r="II87" s="47" t="n">
        <v>80</v>
      </c>
      <c r="IJ87" s="47" t="n"/>
      <c r="IK87" s="44" t="n">
        <v>0</v>
      </c>
      <c r="IL87" s="35" t="n"/>
      <c r="IM87" s="47" t="n">
        <v>80</v>
      </c>
      <c r="IN87" s="47" t="n"/>
      <c r="IO87" s="44" t="n">
        <v>0</v>
      </c>
      <c r="IP87" s="35" t="n"/>
      <c r="IQ87" s="47" t="n">
        <v>80</v>
      </c>
      <c r="IR87" s="47" t="n"/>
      <c r="IS87" s="44" t="n">
        <v>0</v>
      </c>
      <c r="IT87" s="35" t="n"/>
      <c r="IU87" s="47" t="n">
        <v>80</v>
      </c>
      <c r="IV87" s="47" t="n"/>
      <c r="IW87" s="49" t="n">
        <v>0</v>
      </c>
      <c r="IX87" s="35" t="n"/>
      <c r="IY87" s="47" t="n">
        <v>80</v>
      </c>
      <c r="IZ87" s="47" t="n"/>
      <c r="JA87" s="380" t="n">
        <v>0</v>
      </c>
      <c r="JB87" s="35" t="n"/>
      <c r="JC87" s="381">
        <f>HG87+HK87+HO87+HS87+HW87+IA87+IE87+II87+IM87+IQ87+IU87+IY87</f>
        <v/>
      </c>
      <c r="JD87" s="381">
        <f>JC87*$I87</f>
        <v/>
      </c>
    </row>
    <row r="88">
      <c r="A88" s="382" t="n"/>
      <c r="B88" s="382" t="n"/>
      <c r="C88" s="382" t="n"/>
      <c r="D88" s="382" t="n"/>
      <c r="E88" s="25" t="n">
        <v>4</v>
      </c>
      <c r="F88" s="25" t="n">
        <v>1</v>
      </c>
      <c r="G88" s="26" t="n">
        <v>4801020640</v>
      </c>
      <c r="H88" s="27" t="inlineStr">
        <is>
          <t xml:space="preserve">Блок TEBS-E Premium + PEM </t>
        </is>
      </c>
      <c r="I88" s="28" t="n">
        <v>3408.56</v>
      </c>
      <c r="J88" s="57" t="n">
        <v>3613.55</v>
      </c>
      <c r="K88" s="297" t="n">
        <v>4900</v>
      </c>
      <c r="L88" s="297" t="n">
        <v>4900</v>
      </c>
      <c r="M88" s="57" t="n"/>
      <c r="N88" s="57" t="n"/>
      <c r="O88" s="30" t="n">
        <v>0</v>
      </c>
      <c r="P88" s="31" t="n">
        <v>0</v>
      </c>
      <c r="Q88" s="32" t="n">
        <v>0</v>
      </c>
      <c r="R88" s="31" t="n"/>
      <c r="S88" s="30" t="n">
        <v>0</v>
      </c>
      <c r="T88" s="31" t="n">
        <v>0</v>
      </c>
      <c r="U88" s="32" t="n">
        <v>0</v>
      </c>
      <c r="V88" s="31" t="n"/>
      <c r="W88" s="30" t="n">
        <v>0</v>
      </c>
      <c r="X88" s="31" t="n">
        <v>0</v>
      </c>
      <c r="Y88" s="32" t="n">
        <v>0</v>
      </c>
      <c r="Z88" s="34" t="n"/>
      <c r="AA88" s="30" t="n">
        <v>0</v>
      </c>
      <c r="AB88" s="31" t="n">
        <v>0</v>
      </c>
      <c r="AC88" s="32" t="n">
        <v>0</v>
      </c>
      <c r="AD88" s="36" t="n"/>
      <c r="AE88" s="30" t="n">
        <v>0</v>
      </c>
      <c r="AF88" s="31" t="n">
        <v>0</v>
      </c>
      <c r="AG88" s="32" t="n">
        <v>0</v>
      </c>
      <c r="AH88" s="36" t="n"/>
      <c r="AI88" s="30" t="n">
        <v>0</v>
      </c>
      <c r="AJ88" s="31" t="n">
        <v>0</v>
      </c>
      <c r="AK88" s="32" t="n">
        <v>0</v>
      </c>
      <c r="AL88" s="31" t="n"/>
      <c r="AM88" s="30" t="n">
        <v>0</v>
      </c>
      <c r="AN88" s="31" t="n">
        <v>0</v>
      </c>
      <c r="AO88" s="32" t="n">
        <v>0</v>
      </c>
      <c r="AP88" s="31" t="n"/>
      <c r="AQ88" s="30" t="n">
        <v>0</v>
      </c>
      <c r="AR88" s="31" t="n">
        <v>0</v>
      </c>
      <c r="AS88" s="32" t="n">
        <v>0</v>
      </c>
      <c r="AT88" s="31" t="n"/>
      <c r="AU88" s="30" t="n">
        <v>0</v>
      </c>
      <c r="AV88" s="37" t="n">
        <v>0</v>
      </c>
      <c r="AW88" s="32" t="n">
        <v>0</v>
      </c>
      <c r="AX88" s="31" t="n"/>
      <c r="AY88" s="30" t="n">
        <v>0</v>
      </c>
      <c r="AZ88" s="38" t="n">
        <v>0</v>
      </c>
      <c r="BA88" s="32" t="n">
        <v>0</v>
      </c>
      <c r="BB88" s="34" t="n"/>
      <c r="BC88" s="30" t="n">
        <v>0</v>
      </c>
      <c r="BD88" s="39" t="n">
        <v>40</v>
      </c>
      <c r="BE88" s="40" t="n">
        <v>40</v>
      </c>
      <c r="BF88" s="34" t="n"/>
      <c r="BG88" s="41" t="n">
        <v>0</v>
      </c>
      <c r="BH88" s="39" t="n">
        <v>40</v>
      </c>
      <c r="BI88" s="385" t="n">
        <v>50</v>
      </c>
      <c r="BJ88" s="34" t="n"/>
      <c r="BK88" s="381">
        <f>O88+S88+W88+AA88+AE88+AI88+AM88+AQ88+AU88+AY88+BC88+BG88</f>
        <v/>
      </c>
      <c r="BL88" s="381">
        <f>BK88*$I88</f>
        <v/>
      </c>
      <c r="BM88" s="41" t="n">
        <v>0</v>
      </c>
      <c r="BN88" s="47" t="n">
        <v>40</v>
      </c>
      <c r="BO88" s="32" t="n">
        <v>0</v>
      </c>
      <c r="BP88" s="31" t="n"/>
      <c r="BQ88" s="45" t="n">
        <v>40</v>
      </c>
      <c r="BR88" s="47" t="n">
        <v>0</v>
      </c>
      <c r="BS88" s="32" t="n">
        <v>0</v>
      </c>
      <c r="BT88" s="31" t="n"/>
      <c r="BU88" s="45" t="n">
        <v>40</v>
      </c>
      <c r="BV88" s="47" t="n">
        <v>40</v>
      </c>
      <c r="BW88" s="32" t="n">
        <v>0</v>
      </c>
      <c r="BX88" s="34" t="n"/>
      <c r="BY88" s="45" t="n">
        <v>40</v>
      </c>
      <c r="BZ88" s="47" t="n">
        <v>0</v>
      </c>
      <c r="CA88" s="32" t="n">
        <v>0</v>
      </c>
      <c r="CB88" s="36" t="n"/>
      <c r="CC88" s="45" t="n">
        <v>40</v>
      </c>
      <c r="CD88" s="47" t="n">
        <v>40</v>
      </c>
      <c r="CE88" s="44" t="n">
        <v>0</v>
      </c>
      <c r="CF88" s="36" t="n"/>
      <c r="CG88" s="45" t="n">
        <v>40</v>
      </c>
      <c r="CH88" s="242" t="n">
        <v>0</v>
      </c>
      <c r="CI88" s="44" t="n">
        <v>50</v>
      </c>
      <c r="CJ88" s="35" t="n"/>
      <c r="CK88" s="45" t="n">
        <v>40</v>
      </c>
      <c r="CL88" s="47" t="n">
        <v>40</v>
      </c>
      <c r="CM88" s="44" t="n">
        <v>0</v>
      </c>
      <c r="CN88" s="35" t="n"/>
      <c r="CO88" s="45" t="n">
        <v>40</v>
      </c>
      <c r="CP88" s="47" t="n">
        <v>40</v>
      </c>
      <c r="CQ88" s="56" t="n">
        <v>50</v>
      </c>
      <c r="CR88" s="35" t="n"/>
      <c r="CS88" s="45" t="n">
        <v>0</v>
      </c>
      <c r="CT88" s="47" t="n">
        <v>0</v>
      </c>
      <c r="CU88" s="44" t="n">
        <v>0</v>
      </c>
      <c r="CV88" s="35" t="n"/>
      <c r="CW88" s="51" t="n">
        <v>0</v>
      </c>
      <c r="CX88" s="47" t="n">
        <v>0</v>
      </c>
      <c r="CY88" s="44" t="n">
        <v>0</v>
      </c>
      <c r="CZ88" s="35" t="n"/>
      <c r="DA88" s="51" t="n">
        <v>28</v>
      </c>
      <c r="DB88" s="47" t="n">
        <v>28</v>
      </c>
      <c r="DC88" s="155" t="n">
        <v>5</v>
      </c>
      <c r="DD88" s="35" t="n"/>
      <c r="DE88" s="51" t="n">
        <v>100</v>
      </c>
      <c r="DF88" s="47" t="n">
        <v>32</v>
      </c>
      <c r="DG88" s="380" t="n">
        <v>32</v>
      </c>
      <c r="DH88" s="35" t="n"/>
      <c r="DI88" s="379">
        <f>BM88+BQ88+BU88+BY88+CC88+CG88+CK88+CO88+CS88+CW88+DA88+DE88</f>
        <v/>
      </c>
      <c r="DJ88" s="379">
        <f>DI88*$I88</f>
        <v/>
      </c>
      <c r="DK88" s="82" t="n">
        <v>0</v>
      </c>
      <c r="DL88" s="35" t="n">
        <v>32</v>
      </c>
      <c r="DM88" s="44" t="n">
        <v>0</v>
      </c>
      <c r="DN88" s="35" t="n"/>
      <c r="DO88" s="82" t="n">
        <v>40</v>
      </c>
      <c r="DP88" s="35" t="n">
        <v>50</v>
      </c>
      <c r="DQ88" s="44" t="n">
        <v>0</v>
      </c>
      <c r="DR88" s="35" t="n"/>
      <c r="DS88" s="82" t="n">
        <v>40</v>
      </c>
      <c r="DT88" s="305" t="n">
        <v>0</v>
      </c>
      <c r="DU88" s="44" t="n">
        <v>0</v>
      </c>
      <c r="DV88" s="35" t="n"/>
      <c r="DW88" s="82" t="n">
        <v>40</v>
      </c>
      <c r="DX88" s="305" t="n">
        <v>0</v>
      </c>
      <c r="DY88" s="44" t="n">
        <v>0</v>
      </c>
      <c r="DZ88" s="36" t="n"/>
      <c r="EA88" s="82" t="n">
        <v>80</v>
      </c>
      <c r="EB88" s="307" t="n">
        <v>0</v>
      </c>
      <c r="EC88" s="44" t="n">
        <v>0</v>
      </c>
      <c r="ED88" s="36" t="n"/>
      <c r="EE88" s="82" t="n">
        <v>80</v>
      </c>
      <c r="EF88" s="281" t="n">
        <v>0</v>
      </c>
      <c r="EG88" s="44" t="n">
        <v>0</v>
      </c>
      <c r="EH88" s="35" t="n"/>
      <c r="EI88" s="82" t="n">
        <v>80</v>
      </c>
      <c r="EJ88" s="281" t="n">
        <v>0</v>
      </c>
      <c r="EK88" s="44" t="n">
        <v>0</v>
      </c>
      <c r="EL88" s="35" t="n"/>
      <c r="EM88" s="82" t="n">
        <v>80</v>
      </c>
      <c r="EN88" s="281" t="n">
        <v>0</v>
      </c>
      <c r="EO88" s="44" t="n">
        <v>0</v>
      </c>
      <c r="EP88" s="35" t="n"/>
      <c r="EQ88" s="82" t="n">
        <v>80</v>
      </c>
      <c r="ER88" s="281" t="n">
        <v>0</v>
      </c>
      <c r="ES88" s="44" t="n">
        <v>0</v>
      </c>
      <c r="ET88" s="35" t="n"/>
      <c r="EU88" s="82" t="n">
        <v>80</v>
      </c>
      <c r="EV88" s="281" t="n">
        <v>0</v>
      </c>
      <c r="EW88" s="44" t="n">
        <v>0</v>
      </c>
      <c r="EX88" s="35" t="n"/>
      <c r="EY88" s="82" t="n">
        <v>80</v>
      </c>
      <c r="EZ88" s="281" t="n">
        <v>0</v>
      </c>
      <c r="FA88" s="288" t="n">
        <v>0</v>
      </c>
      <c r="FB88" s="35" t="n"/>
      <c r="FC88" s="82" t="n">
        <v>80</v>
      </c>
      <c r="FD88" s="281" t="n">
        <v>0</v>
      </c>
      <c r="FE88" s="380" t="n">
        <v>0</v>
      </c>
      <c r="FF88" s="35" t="n"/>
      <c r="FG88" s="379">
        <f>DK88+DO88+DS88+DW88+EA88+EE88+EI88+EM88+EQ88+EU88+EY88+FC88</f>
        <v/>
      </c>
      <c r="FH88" s="379">
        <f>FG88*$I88</f>
        <v/>
      </c>
      <c r="FI88" s="47" t="n">
        <v>80</v>
      </c>
      <c r="FJ88" s="47" t="n"/>
      <c r="FK88" s="44" t="n">
        <v>0</v>
      </c>
      <c r="FL88" s="35" t="n"/>
      <c r="FM88" s="47" t="n">
        <v>80</v>
      </c>
      <c r="FN88" s="47" t="n"/>
      <c r="FO88" s="44" t="n">
        <v>0</v>
      </c>
      <c r="FP88" s="35" t="n"/>
      <c r="FQ88" s="47" t="n">
        <v>80</v>
      </c>
      <c r="FR88" s="47" t="n"/>
      <c r="FS88" s="44" t="n">
        <v>0</v>
      </c>
      <c r="FT88" s="36" t="n"/>
      <c r="FU88" s="47" t="n">
        <v>80</v>
      </c>
      <c r="FV88" s="47" t="n"/>
      <c r="FW88" s="44" t="n">
        <v>0</v>
      </c>
      <c r="FX88" s="36" t="n"/>
      <c r="FY88" s="47" t="n">
        <v>80</v>
      </c>
      <c r="FZ88" s="47" t="n"/>
      <c r="GA88" s="44" t="n">
        <v>0</v>
      </c>
      <c r="GB88" s="36" t="n"/>
      <c r="GC88" s="47" t="n">
        <v>80</v>
      </c>
      <c r="GD88" s="47" t="n"/>
      <c r="GE88" s="44" t="n">
        <v>0</v>
      </c>
      <c r="GF88" s="35" t="n"/>
      <c r="GG88" s="47" t="n">
        <v>80</v>
      </c>
      <c r="GH88" s="47" t="n"/>
      <c r="GI88" s="44" t="n">
        <v>0</v>
      </c>
      <c r="GJ88" s="35" t="n"/>
      <c r="GK88" s="47" t="n">
        <v>80</v>
      </c>
      <c r="GL88" s="47" t="n"/>
      <c r="GM88" s="44" t="n">
        <v>0</v>
      </c>
      <c r="GN88" s="35" t="n"/>
      <c r="GO88" s="47" t="n">
        <v>80</v>
      </c>
      <c r="GP88" s="47" t="n"/>
      <c r="GQ88" s="44" t="n">
        <v>0</v>
      </c>
      <c r="GR88" s="35" t="n"/>
      <c r="GS88" s="47" t="n">
        <v>80</v>
      </c>
      <c r="GT88" s="47" t="n"/>
      <c r="GU88" s="44" t="n">
        <v>0</v>
      </c>
      <c r="GV88" s="35" t="n"/>
      <c r="GW88" s="47" t="n">
        <v>80</v>
      </c>
      <c r="GX88" s="47" t="n"/>
      <c r="GY88" s="49" t="n">
        <v>0</v>
      </c>
      <c r="GZ88" s="35" t="n"/>
      <c r="HA88" s="47" t="n">
        <v>80</v>
      </c>
      <c r="HB88" s="47" t="n"/>
      <c r="HC88" s="380" t="n">
        <v>0</v>
      </c>
      <c r="HD88" s="35" t="n"/>
      <c r="HE88" s="379">
        <f>FI88+FM88+FQ88+FU88+FY88+GC88+GG88+GK88+GO88+GS88+GW88+HA88</f>
        <v/>
      </c>
      <c r="HF88" s="379">
        <f>HE88*$I88</f>
        <v/>
      </c>
      <c r="HG88" s="47" t="n">
        <v>80</v>
      </c>
      <c r="HH88" s="47" t="n"/>
      <c r="HI88" s="44" t="n">
        <v>0</v>
      </c>
      <c r="HJ88" s="35" t="n"/>
      <c r="HK88" s="47" t="n">
        <v>80</v>
      </c>
      <c r="HL88" s="47" t="n"/>
      <c r="HM88" s="44" t="n">
        <v>0</v>
      </c>
      <c r="HN88" s="35" t="n"/>
      <c r="HO88" s="47" t="n">
        <v>80</v>
      </c>
      <c r="HP88" s="47" t="n"/>
      <c r="HQ88" s="44" t="n">
        <v>0</v>
      </c>
      <c r="HR88" s="36" t="n"/>
      <c r="HS88" s="47" t="n">
        <v>80</v>
      </c>
      <c r="HT88" s="47" t="n"/>
      <c r="HU88" s="44" t="n">
        <v>0</v>
      </c>
      <c r="HV88" s="36" t="n"/>
      <c r="HW88" s="47" t="n">
        <v>80</v>
      </c>
      <c r="HX88" s="47" t="n"/>
      <c r="HY88" s="44" t="n">
        <v>0</v>
      </c>
      <c r="HZ88" s="36" t="n"/>
      <c r="IA88" s="47" t="n">
        <v>80</v>
      </c>
      <c r="IB88" s="47" t="n"/>
      <c r="IC88" s="44" t="n">
        <v>0</v>
      </c>
      <c r="ID88" s="35" t="n"/>
      <c r="IE88" s="47" t="n">
        <v>80</v>
      </c>
      <c r="IF88" s="47" t="n"/>
      <c r="IG88" s="44" t="n">
        <v>0</v>
      </c>
      <c r="IH88" s="35" t="n"/>
      <c r="II88" s="47" t="n">
        <v>80</v>
      </c>
      <c r="IJ88" s="47" t="n"/>
      <c r="IK88" s="44" t="n">
        <v>0</v>
      </c>
      <c r="IL88" s="35" t="n"/>
      <c r="IM88" s="47" t="n">
        <v>80</v>
      </c>
      <c r="IN88" s="47" t="n"/>
      <c r="IO88" s="44" t="n">
        <v>0</v>
      </c>
      <c r="IP88" s="35" t="n"/>
      <c r="IQ88" s="47" t="n">
        <v>80</v>
      </c>
      <c r="IR88" s="47" t="n"/>
      <c r="IS88" s="44" t="n">
        <v>0</v>
      </c>
      <c r="IT88" s="35" t="n"/>
      <c r="IU88" s="47" t="n">
        <v>80</v>
      </c>
      <c r="IV88" s="47" t="n"/>
      <c r="IW88" s="49" t="n">
        <v>0</v>
      </c>
      <c r="IX88" s="35" t="n"/>
      <c r="IY88" s="47" t="n">
        <v>80</v>
      </c>
      <c r="IZ88" s="47" t="n"/>
      <c r="JA88" s="380" t="n">
        <v>0</v>
      </c>
      <c r="JB88" s="35" t="n"/>
      <c r="JC88" s="381">
        <f>HG88+HK88+HO88+HS88+HW88+IA88+IE88+II88+IM88+IQ88+IU88+IY88</f>
        <v/>
      </c>
      <c r="JD88" s="381">
        <f>JC88*$I88</f>
        <v/>
      </c>
    </row>
    <row r="89">
      <c r="A89" s="382" t="n"/>
      <c r="B89" s="382" t="n"/>
      <c r="C89" s="382" t="n"/>
      <c r="D89" s="382" t="n"/>
      <c r="E89" s="25" t="n">
        <v>5</v>
      </c>
      <c r="F89" s="25" t="n">
        <v>1</v>
      </c>
      <c r="G89" s="26" t="n">
        <v>4491731200</v>
      </c>
      <c r="H89" s="27" t="inlineStr">
        <is>
          <t>Кабель питания для п/п 12 м</t>
        </is>
      </c>
      <c r="I89" s="28" t="n">
        <v>639.55</v>
      </c>
      <c r="J89" s="29" t="n">
        <v>639.55</v>
      </c>
      <c r="K89" s="295" t="n">
        <v>640</v>
      </c>
      <c r="L89" s="295" t="n">
        <v>640</v>
      </c>
      <c r="M89" s="29" t="n"/>
      <c r="N89" s="29" t="n"/>
      <c r="O89" s="30" t="n">
        <v>0</v>
      </c>
      <c r="P89" s="31" t="n">
        <v>0</v>
      </c>
      <c r="Q89" s="32" t="n">
        <v>0</v>
      </c>
      <c r="R89" s="31" t="n"/>
      <c r="S89" s="30" t="n">
        <v>0</v>
      </c>
      <c r="T89" s="31" t="n">
        <v>0</v>
      </c>
      <c r="U89" s="32" t="n">
        <v>0</v>
      </c>
      <c r="V89" s="31" t="n"/>
      <c r="W89" s="30" t="n">
        <v>0</v>
      </c>
      <c r="X89" s="31" t="n">
        <v>0</v>
      </c>
      <c r="Y89" s="32" t="n">
        <v>0</v>
      </c>
      <c r="Z89" s="34" t="n"/>
      <c r="AA89" s="30" t="n">
        <v>0</v>
      </c>
      <c r="AB89" s="31" t="n">
        <v>0</v>
      </c>
      <c r="AC89" s="32" t="n">
        <v>0</v>
      </c>
      <c r="AD89" s="36" t="n"/>
      <c r="AE89" s="30" t="n">
        <v>0</v>
      </c>
      <c r="AF89" s="31" t="n">
        <v>0</v>
      </c>
      <c r="AG89" s="32" t="n">
        <v>0</v>
      </c>
      <c r="AH89" s="36" t="n"/>
      <c r="AI89" s="30" t="n">
        <v>0</v>
      </c>
      <c r="AJ89" s="31" t="n">
        <v>0</v>
      </c>
      <c r="AK89" s="32" t="n">
        <v>0</v>
      </c>
      <c r="AL89" s="31" t="n"/>
      <c r="AM89" s="30" t="n">
        <v>0</v>
      </c>
      <c r="AN89" s="31" t="n">
        <v>0</v>
      </c>
      <c r="AO89" s="32" t="n">
        <v>0</v>
      </c>
      <c r="AP89" s="31" t="n"/>
      <c r="AQ89" s="30" t="n">
        <v>0</v>
      </c>
      <c r="AR89" s="31" t="n">
        <v>0</v>
      </c>
      <c r="AS89" s="32" t="n">
        <v>0</v>
      </c>
      <c r="AT89" s="31" t="n"/>
      <c r="AU89" s="30" t="n">
        <v>0</v>
      </c>
      <c r="AV89" s="37" t="n">
        <v>0</v>
      </c>
      <c r="AW89" s="32" t="n">
        <v>0</v>
      </c>
      <c r="AX89" s="31" t="n"/>
      <c r="AY89" s="30" t="n">
        <v>0</v>
      </c>
      <c r="AZ89" s="38" t="n">
        <v>0</v>
      </c>
      <c r="BA89" s="32" t="n">
        <v>0</v>
      </c>
      <c r="BB89" s="34" t="n"/>
      <c r="BC89" s="30" t="n">
        <v>0</v>
      </c>
      <c r="BD89" s="39" t="n">
        <v>40</v>
      </c>
      <c r="BE89" s="241" t="n">
        <v>40</v>
      </c>
      <c r="BF89" s="34" t="n"/>
      <c r="BG89" s="41" t="n">
        <v>0</v>
      </c>
      <c r="BH89" s="39" t="n">
        <v>40</v>
      </c>
      <c r="BI89" s="385" t="n">
        <v>50</v>
      </c>
      <c r="BJ89" s="34" t="n"/>
      <c r="BK89" s="381">
        <f>O89+S89+W89+AA89+AE89+AI89+AM89+AQ89+AU89+AY89+BC89+BG89</f>
        <v/>
      </c>
      <c r="BL89" s="381">
        <f>BK89*$I89</f>
        <v/>
      </c>
      <c r="BM89" s="41" t="n">
        <v>0</v>
      </c>
      <c r="BN89" s="47" t="n">
        <v>40</v>
      </c>
      <c r="BO89" s="32" t="n">
        <v>0</v>
      </c>
      <c r="BP89" s="31" t="n"/>
      <c r="BQ89" s="45" t="n">
        <v>40</v>
      </c>
      <c r="BR89" s="47" t="n">
        <v>0</v>
      </c>
      <c r="BS89" s="32" t="n">
        <v>0</v>
      </c>
      <c r="BT89" s="31" t="n"/>
      <c r="BU89" s="45" t="n">
        <v>40</v>
      </c>
      <c r="BV89" s="47" t="n">
        <v>40</v>
      </c>
      <c r="BW89" s="32" t="n">
        <v>0</v>
      </c>
      <c r="BX89" s="34" t="n"/>
      <c r="BY89" s="45" t="n">
        <v>40</v>
      </c>
      <c r="BZ89" s="47" t="n">
        <v>0</v>
      </c>
      <c r="CA89" s="32" t="n">
        <v>0</v>
      </c>
      <c r="CB89" s="36" t="n"/>
      <c r="CC89" s="45" t="n">
        <v>40</v>
      </c>
      <c r="CD89" s="47" t="n">
        <v>40</v>
      </c>
      <c r="CE89" s="44" t="n">
        <v>0</v>
      </c>
      <c r="CF89" s="36" t="n"/>
      <c r="CG89" s="45" t="n">
        <v>40</v>
      </c>
      <c r="CH89" s="242" t="n">
        <v>0</v>
      </c>
      <c r="CI89" s="44" t="n">
        <v>50</v>
      </c>
      <c r="CJ89" s="35" t="n"/>
      <c r="CK89" s="45" t="n">
        <v>40</v>
      </c>
      <c r="CL89" s="47" t="n">
        <v>40</v>
      </c>
      <c r="CM89" s="44" t="n">
        <v>0</v>
      </c>
      <c r="CN89" s="35" t="n"/>
      <c r="CO89" s="45" t="n">
        <v>40</v>
      </c>
      <c r="CP89" s="47" t="n">
        <v>40</v>
      </c>
      <c r="CQ89" s="44" t="n">
        <v>50</v>
      </c>
      <c r="CR89" s="35" t="n"/>
      <c r="CS89" s="45" t="n">
        <v>0</v>
      </c>
      <c r="CT89" s="47" t="n">
        <v>0</v>
      </c>
      <c r="CU89" s="44" t="n">
        <v>0</v>
      </c>
      <c r="CV89" s="35" t="n"/>
      <c r="CW89" s="51" t="n">
        <v>0</v>
      </c>
      <c r="CX89" s="47" t="n">
        <v>0</v>
      </c>
      <c r="CY89" s="44" t="n">
        <v>0</v>
      </c>
      <c r="CZ89" s="35" t="n"/>
      <c r="DA89" s="51" t="n">
        <v>28</v>
      </c>
      <c r="DB89" s="47" t="n">
        <v>28</v>
      </c>
      <c r="DC89" s="155" t="n">
        <v>0</v>
      </c>
      <c r="DD89" s="35" t="n"/>
      <c r="DE89" s="51" t="n">
        <v>100</v>
      </c>
      <c r="DF89" s="47" t="n">
        <v>32</v>
      </c>
      <c r="DG89" s="380" t="n">
        <v>0</v>
      </c>
      <c r="DH89" s="35" t="n"/>
      <c r="DI89" s="379">
        <f>BM89+BQ89+BU89+BY89+CC89+CG89+CK89+CO89+CS89+CW89+DA89+DE89</f>
        <v/>
      </c>
      <c r="DJ89" s="379">
        <f>DI89*$I89</f>
        <v/>
      </c>
      <c r="DK89" s="82" t="n">
        <v>0</v>
      </c>
      <c r="DL89" s="35" t="n"/>
      <c r="DM89" s="44" t="n">
        <v>0</v>
      </c>
      <c r="DN89" s="35" t="n"/>
      <c r="DO89" s="82" t="n">
        <v>40</v>
      </c>
      <c r="DP89" s="35" t="n"/>
      <c r="DQ89" s="44" t="n">
        <v>0</v>
      </c>
      <c r="DR89" s="35" t="n"/>
      <c r="DS89" s="82" t="n">
        <v>40</v>
      </c>
      <c r="DT89" s="47" t="n"/>
      <c r="DU89" s="44" t="n">
        <v>0</v>
      </c>
      <c r="DV89" s="35" t="n"/>
      <c r="DW89" s="82" t="n">
        <v>40</v>
      </c>
      <c r="DX89" s="47" t="n"/>
      <c r="DY89" s="44" t="n">
        <v>0</v>
      </c>
      <c r="DZ89" s="36" t="n"/>
      <c r="EA89" s="82" t="n">
        <v>80</v>
      </c>
      <c r="EB89" s="305" t="n"/>
      <c r="EC89" s="44" t="n">
        <v>0</v>
      </c>
      <c r="ED89" s="36" t="n"/>
      <c r="EE89" s="82" t="n">
        <v>80</v>
      </c>
      <c r="EF89" s="281" t="n"/>
      <c r="EG89" s="44" t="n">
        <v>0</v>
      </c>
      <c r="EH89" s="35" t="n"/>
      <c r="EI89" s="82" t="n">
        <v>80</v>
      </c>
      <c r="EJ89" s="281" t="n">
        <v>0</v>
      </c>
      <c r="EK89" s="44" t="n">
        <v>0</v>
      </c>
      <c r="EL89" s="35" t="n"/>
      <c r="EM89" s="82" t="n">
        <v>80</v>
      </c>
      <c r="EN89" s="281" t="n">
        <v>0</v>
      </c>
      <c r="EO89" s="44" t="n">
        <v>0</v>
      </c>
      <c r="EP89" s="35" t="n"/>
      <c r="EQ89" s="82" t="n">
        <v>80</v>
      </c>
      <c r="ER89" s="281" t="n">
        <v>0</v>
      </c>
      <c r="ES89" s="44" t="n">
        <v>0</v>
      </c>
      <c r="ET89" s="35" t="n"/>
      <c r="EU89" s="82" t="n">
        <v>80</v>
      </c>
      <c r="EV89" s="281" t="n">
        <v>0</v>
      </c>
      <c r="EW89" s="44" t="n">
        <v>0</v>
      </c>
      <c r="EX89" s="35" t="n"/>
      <c r="EY89" s="82" t="n">
        <v>80</v>
      </c>
      <c r="EZ89" s="281" t="n">
        <v>0</v>
      </c>
      <c r="FA89" s="288" t="n">
        <v>0</v>
      </c>
      <c r="FB89" s="35" t="n"/>
      <c r="FC89" s="82" t="n">
        <v>80</v>
      </c>
      <c r="FD89" s="281" t="n">
        <v>0</v>
      </c>
      <c r="FE89" s="380" t="n">
        <v>0</v>
      </c>
      <c r="FF89" s="35" t="n"/>
      <c r="FG89" s="379">
        <f>DK89+DO89+DS89+DW89+EA89+EE89+EI89+EM89+EQ89+EU89+EY89+FC89</f>
        <v/>
      </c>
      <c r="FH89" s="379">
        <f>FG89*$I89</f>
        <v/>
      </c>
      <c r="FI89" s="47" t="n">
        <v>80</v>
      </c>
      <c r="FJ89" s="47" t="n"/>
      <c r="FK89" s="44" t="n">
        <v>0</v>
      </c>
      <c r="FL89" s="35" t="n"/>
      <c r="FM89" s="47" t="n">
        <v>80</v>
      </c>
      <c r="FN89" s="47" t="n"/>
      <c r="FO89" s="44" t="n">
        <v>0</v>
      </c>
      <c r="FP89" s="35" t="n"/>
      <c r="FQ89" s="47" t="n">
        <v>80</v>
      </c>
      <c r="FR89" s="47" t="n"/>
      <c r="FS89" s="44" t="n">
        <v>0</v>
      </c>
      <c r="FT89" s="36" t="n"/>
      <c r="FU89" s="47" t="n">
        <v>80</v>
      </c>
      <c r="FV89" s="47" t="n"/>
      <c r="FW89" s="44" t="n">
        <v>0</v>
      </c>
      <c r="FX89" s="36" t="n"/>
      <c r="FY89" s="47" t="n">
        <v>80</v>
      </c>
      <c r="FZ89" s="47" t="n"/>
      <c r="GA89" s="44" t="n">
        <v>0</v>
      </c>
      <c r="GB89" s="36" t="n"/>
      <c r="GC89" s="47" t="n">
        <v>80</v>
      </c>
      <c r="GD89" s="47" t="n"/>
      <c r="GE89" s="44" t="n">
        <v>0</v>
      </c>
      <c r="GF89" s="35" t="n"/>
      <c r="GG89" s="47" t="n">
        <v>80</v>
      </c>
      <c r="GH89" s="47" t="n"/>
      <c r="GI89" s="44" t="n">
        <v>0</v>
      </c>
      <c r="GJ89" s="35" t="n"/>
      <c r="GK89" s="47" t="n">
        <v>80</v>
      </c>
      <c r="GL89" s="47" t="n"/>
      <c r="GM89" s="44" t="n">
        <v>0</v>
      </c>
      <c r="GN89" s="35" t="n"/>
      <c r="GO89" s="47" t="n">
        <v>80</v>
      </c>
      <c r="GP89" s="47" t="n"/>
      <c r="GQ89" s="44" t="n">
        <v>0</v>
      </c>
      <c r="GR89" s="35" t="n"/>
      <c r="GS89" s="47" t="n">
        <v>80</v>
      </c>
      <c r="GT89" s="47" t="n"/>
      <c r="GU89" s="44" t="n">
        <v>0</v>
      </c>
      <c r="GV89" s="35" t="n"/>
      <c r="GW89" s="47" t="n">
        <v>80</v>
      </c>
      <c r="GX89" s="47" t="n"/>
      <c r="GY89" s="49" t="n">
        <v>0</v>
      </c>
      <c r="GZ89" s="35" t="n"/>
      <c r="HA89" s="47" t="n">
        <v>80</v>
      </c>
      <c r="HB89" s="47" t="n"/>
      <c r="HC89" s="380" t="n">
        <v>0</v>
      </c>
      <c r="HD89" s="35" t="n"/>
      <c r="HE89" s="379">
        <f>FI89+FM89+FQ89+FU89+FY89+GC89+GG89+GK89+GO89+GS89+GW89+HA89</f>
        <v/>
      </c>
      <c r="HF89" s="379">
        <f>HE89*$I89</f>
        <v/>
      </c>
      <c r="HG89" s="47" t="n">
        <v>80</v>
      </c>
      <c r="HH89" s="47" t="n"/>
      <c r="HI89" s="44" t="n">
        <v>0</v>
      </c>
      <c r="HJ89" s="35" t="n"/>
      <c r="HK89" s="47" t="n">
        <v>80</v>
      </c>
      <c r="HL89" s="47" t="n"/>
      <c r="HM89" s="44" t="n">
        <v>0</v>
      </c>
      <c r="HN89" s="35" t="n"/>
      <c r="HO89" s="47" t="n">
        <v>80</v>
      </c>
      <c r="HP89" s="47" t="n"/>
      <c r="HQ89" s="44" t="n">
        <v>0</v>
      </c>
      <c r="HR89" s="36" t="n"/>
      <c r="HS89" s="47" t="n">
        <v>80</v>
      </c>
      <c r="HT89" s="47" t="n"/>
      <c r="HU89" s="44" t="n">
        <v>0</v>
      </c>
      <c r="HV89" s="36" t="n"/>
      <c r="HW89" s="47" t="n">
        <v>80</v>
      </c>
      <c r="HX89" s="47" t="n"/>
      <c r="HY89" s="44" t="n">
        <v>0</v>
      </c>
      <c r="HZ89" s="36" t="n"/>
      <c r="IA89" s="47" t="n">
        <v>80</v>
      </c>
      <c r="IB89" s="47" t="n"/>
      <c r="IC89" s="44" t="n">
        <v>0</v>
      </c>
      <c r="ID89" s="35" t="n"/>
      <c r="IE89" s="47" t="n">
        <v>80</v>
      </c>
      <c r="IF89" s="47" t="n"/>
      <c r="IG89" s="44" t="n">
        <v>0</v>
      </c>
      <c r="IH89" s="35" t="n"/>
      <c r="II89" s="47" t="n">
        <v>80</v>
      </c>
      <c r="IJ89" s="47" t="n"/>
      <c r="IK89" s="44" t="n">
        <v>0</v>
      </c>
      <c r="IL89" s="35" t="n"/>
      <c r="IM89" s="47" t="n">
        <v>80</v>
      </c>
      <c r="IN89" s="47" t="n"/>
      <c r="IO89" s="44" t="n">
        <v>0</v>
      </c>
      <c r="IP89" s="35" t="n"/>
      <c r="IQ89" s="47" t="n">
        <v>80</v>
      </c>
      <c r="IR89" s="47" t="n"/>
      <c r="IS89" s="44" t="n">
        <v>0</v>
      </c>
      <c r="IT89" s="35" t="n"/>
      <c r="IU89" s="47" t="n">
        <v>80</v>
      </c>
      <c r="IV89" s="47" t="n"/>
      <c r="IW89" s="49" t="n">
        <v>0</v>
      </c>
      <c r="IX89" s="35" t="n"/>
      <c r="IY89" s="47" t="n">
        <v>80</v>
      </c>
      <c r="IZ89" s="47" t="n"/>
      <c r="JA89" s="380" t="n">
        <v>0</v>
      </c>
      <c r="JB89" s="35" t="n"/>
      <c r="JC89" s="381">
        <f>HG89+HK89+HO89+HS89+HW89+IA89+IE89+II89+IM89+IQ89+IU89+IY89</f>
        <v/>
      </c>
      <c r="JD89" s="381">
        <f>JC89*$I89</f>
        <v/>
      </c>
    </row>
    <row r="90" ht="16.2" customHeight="1">
      <c r="A90" s="382" t="n"/>
      <c r="B90" s="382" t="n"/>
      <c r="C90" s="382" t="n"/>
      <c r="D90" s="382" t="n"/>
      <c r="E90" s="25" t="n">
        <v>6</v>
      </c>
      <c r="F90" s="25" t="n">
        <v>1</v>
      </c>
      <c r="G90" s="26" t="n">
        <v>4491731400</v>
      </c>
      <c r="H90" s="27" t="inlineStr">
        <is>
          <t>Кабель питания для п/п 14 м</t>
        </is>
      </c>
      <c r="I90" s="28" t="n">
        <v>729.96</v>
      </c>
      <c r="J90" s="29" t="n">
        <v>729.96</v>
      </c>
      <c r="K90" s="297" t="n">
        <v>936</v>
      </c>
      <c r="L90" s="297" t="n">
        <v>936</v>
      </c>
      <c r="M90" s="29" t="n"/>
      <c r="N90" s="29" t="n"/>
      <c r="O90" s="30" t="n">
        <v>0</v>
      </c>
      <c r="P90" s="31" t="n">
        <v>0</v>
      </c>
      <c r="Q90" s="32" t="n">
        <v>0</v>
      </c>
      <c r="R90" s="31" t="n"/>
      <c r="S90" s="30" t="n"/>
      <c r="T90" s="31" t="n"/>
      <c r="U90" s="32" t="n"/>
      <c r="V90" s="31" t="n"/>
      <c r="W90" s="30" t="n"/>
      <c r="X90" s="31" t="n"/>
      <c r="Y90" s="32" t="n"/>
      <c r="Z90" s="58" t="n"/>
      <c r="AA90" s="30" t="n"/>
      <c r="AB90" s="31" t="n"/>
      <c r="AC90" s="32" t="n"/>
      <c r="AD90" s="36" t="n"/>
      <c r="AE90" s="30" t="n"/>
      <c r="AF90" s="31" t="n"/>
      <c r="AG90" s="32" t="n"/>
      <c r="AH90" s="36" t="n"/>
      <c r="AI90" s="30" t="n"/>
      <c r="AJ90" s="31" t="n"/>
      <c r="AK90" s="32" t="n"/>
      <c r="AL90" s="31" t="n"/>
      <c r="AM90" s="30" t="n"/>
      <c r="AN90" s="31" t="n"/>
      <c r="AO90" s="32" t="n"/>
      <c r="AP90" s="31" t="n"/>
      <c r="AQ90" s="30" t="n"/>
      <c r="AR90" s="31" t="n"/>
      <c r="AS90" s="32" t="n"/>
      <c r="AT90" s="31" t="n"/>
      <c r="AU90" s="30" t="n">
        <v>0</v>
      </c>
      <c r="AV90" s="37" t="n">
        <v>0</v>
      </c>
      <c r="AW90" s="32" t="n">
        <v>0</v>
      </c>
      <c r="AX90" s="31" t="n"/>
      <c r="AY90" s="30" t="n">
        <v>0</v>
      </c>
      <c r="AZ90" s="38" t="n">
        <v>0</v>
      </c>
      <c r="BA90" s="32" t="n">
        <v>0</v>
      </c>
      <c r="BB90" s="34" t="n"/>
      <c r="BC90" s="30" t="n">
        <v>0</v>
      </c>
      <c r="BD90" s="39" t="n">
        <v>0</v>
      </c>
      <c r="BE90" s="40" t="n">
        <v>0</v>
      </c>
      <c r="BF90" s="34" t="n"/>
      <c r="BG90" s="41" t="n">
        <v>0</v>
      </c>
      <c r="BH90" s="39" t="n">
        <v>0</v>
      </c>
      <c r="BI90" s="136" t="n">
        <v>0</v>
      </c>
      <c r="BJ90" s="34" t="n"/>
      <c r="BK90" s="381" t="n"/>
      <c r="BL90" s="381">
        <f>BK90*$I90</f>
        <v/>
      </c>
      <c r="BM90" s="41" t="n">
        <v>0</v>
      </c>
      <c r="BN90" s="47" t="n">
        <v>0</v>
      </c>
      <c r="BO90" s="32" t="n">
        <v>0</v>
      </c>
      <c r="BP90" s="31" t="n"/>
      <c r="BQ90" s="45" t="n">
        <v>0</v>
      </c>
      <c r="BR90" s="47" t="n">
        <v>0</v>
      </c>
      <c r="BS90" s="32" t="n">
        <v>0</v>
      </c>
      <c r="BT90" s="31" t="n"/>
      <c r="BU90" s="45" t="n">
        <v>0</v>
      </c>
      <c r="BV90" s="47" t="n">
        <v>0</v>
      </c>
      <c r="BW90" s="32" t="n"/>
      <c r="BX90" s="58" t="n"/>
      <c r="BY90" s="45" t="n">
        <v>0</v>
      </c>
      <c r="BZ90" s="47" t="n">
        <v>0</v>
      </c>
      <c r="CA90" s="32" t="n">
        <v>0</v>
      </c>
      <c r="CB90" s="36" t="n"/>
      <c r="CC90" s="45" t="n">
        <v>0</v>
      </c>
      <c r="CD90" s="47" t="n">
        <v>0</v>
      </c>
      <c r="CE90" s="44" t="n">
        <v>0</v>
      </c>
      <c r="CF90" s="36" t="n"/>
      <c r="CG90" s="45" t="n">
        <v>0</v>
      </c>
      <c r="CH90" s="47" t="n">
        <v>0</v>
      </c>
      <c r="CI90" s="44" t="n">
        <v>0</v>
      </c>
      <c r="CJ90" s="35" t="n"/>
      <c r="CK90" s="45" t="n">
        <v>0</v>
      </c>
      <c r="CL90" s="47" t="n">
        <v>0</v>
      </c>
      <c r="CM90" s="44" t="n">
        <v>0</v>
      </c>
      <c r="CN90" s="35" t="n"/>
      <c r="CO90" s="45" t="n">
        <v>0</v>
      </c>
      <c r="CP90" s="47" t="n">
        <v>0</v>
      </c>
      <c r="CQ90" s="44" t="n"/>
      <c r="CR90" s="35" t="n"/>
      <c r="CS90" s="45" t="n">
        <v>0</v>
      </c>
      <c r="CT90" s="47" t="n">
        <v>0</v>
      </c>
      <c r="CU90" s="44" t="n">
        <v>0</v>
      </c>
      <c r="CV90" s="35" t="n"/>
      <c r="CW90" s="51" t="n">
        <v>0</v>
      </c>
      <c r="CX90" s="47" t="n">
        <v>0</v>
      </c>
      <c r="CY90" s="44" t="n">
        <v>0</v>
      </c>
      <c r="CZ90" s="35" t="n"/>
      <c r="DA90" s="51" t="n">
        <v>0</v>
      </c>
      <c r="DB90" s="47" t="n">
        <v>0</v>
      </c>
      <c r="DC90" s="155" t="n">
        <v>5</v>
      </c>
      <c r="DD90" s="35" t="n"/>
      <c r="DE90" s="51" t="n">
        <v>0</v>
      </c>
      <c r="DF90" s="47" t="n">
        <v>0</v>
      </c>
      <c r="DG90" s="380" t="n">
        <v>32</v>
      </c>
      <c r="DH90" s="35" t="n"/>
      <c r="DI90" s="379">
        <f>BM90+BQ90+BU90+BY90+CC90+CG90+CK90+CO90+CS90+CW90+DA90+DE90</f>
        <v/>
      </c>
      <c r="DJ90" s="379">
        <f>DI90*$I90</f>
        <v/>
      </c>
      <c r="DK90" s="82" t="n">
        <v>0</v>
      </c>
      <c r="DL90" s="35" t="n">
        <v>32</v>
      </c>
      <c r="DM90" s="44" t="n">
        <v>0</v>
      </c>
      <c r="DN90" s="35" t="n"/>
      <c r="DO90" s="82" t="n">
        <v>0</v>
      </c>
      <c r="DP90" s="35" t="n">
        <v>50</v>
      </c>
      <c r="DQ90" s="44" t="n">
        <v>0</v>
      </c>
      <c r="DR90" s="35" t="n"/>
      <c r="DS90" s="82" t="n">
        <v>0</v>
      </c>
      <c r="DT90" s="305" t="n">
        <v>0</v>
      </c>
      <c r="DU90" s="44" t="n">
        <v>0</v>
      </c>
      <c r="DV90" s="35" t="n"/>
      <c r="DW90" s="82" t="n">
        <v>0</v>
      </c>
      <c r="DX90" s="305" t="n">
        <v>0</v>
      </c>
      <c r="DY90" s="44" t="n">
        <v>0</v>
      </c>
      <c r="DZ90" s="36" t="n"/>
      <c r="EA90" s="82" t="n">
        <v>0</v>
      </c>
      <c r="EB90" s="307" t="n">
        <v>0</v>
      </c>
      <c r="EC90" s="44" t="n">
        <v>0</v>
      </c>
      <c r="ED90" s="36" t="n"/>
      <c r="EE90" s="82" t="n">
        <v>0</v>
      </c>
      <c r="EF90" s="281" t="n">
        <v>0</v>
      </c>
      <c r="EG90" s="44" t="n"/>
      <c r="EH90" s="35" t="n"/>
      <c r="EI90" s="82" t="n">
        <v>0</v>
      </c>
      <c r="EJ90" s="281" t="n">
        <v>0</v>
      </c>
      <c r="EK90" s="44" t="n"/>
      <c r="EL90" s="35" t="n"/>
      <c r="EM90" s="82" t="n">
        <v>0</v>
      </c>
      <c r="EN90" s="281" t="n">
        <v>0</v>
      </c>
      <c r="EO90" s="44" t="n"/>
      <c r="EP90" s="35" t="n"/>
      <c r="EQ90" s="82" t="n">
        <v>0</v>
      </c>
      <c r="ER90" s="281" t="n">
        <v>0</v>
      </c>
      <c r="ES90" s="44" t="n"/>
      <c r="ET90" s="35" t="n"/>
      <c r="EU90" s="82" t="n">
        <v>0</v>
      </c>
      <c r="EV90" s="281" t="n">
        <v>0</v>
      </c>
      <c r="EW90" s="44" t="n"/>
      <c r="EX90" s="35" t="n"/>
      <c r="EY90" s="82" t="n">
        <v>0</v>
      </c>
      <c r="EZ90" s="281" t="n">
        <v>0</v>
      </c>
      <c r="FA90" s="288" t="n"/>
      <c r="FB90" s="35" t="n"/>
      <c r="FC90" s="82" t="n">
        <v>0</v>
      </c>
      <c r="FD90" s="281" t="n">
        <v>0</v>
      </c>
      <c r="FE90" s="380" t="n"/>
      <c r="FF90" s="35" t="n"/>
      <c r="FG90" s="379">
        <f>DK90+DO90+DS90+DW90+EA90+EE90+EI90+EM90+EQ90+EU90+EY90+FC90</f>
        <v/>
      </c>
      <c r="FH90" s="379">
        <f>FG90*$I90</f>
        <v/>
      </c>
      <c r="FI90" s="47" t="n">
        <v>0</v>
      </c>
      <c r="FJ90" s="47" t="n"/>
      <c r="FK90" s="44" t="n"/>
      <c r="FL90" s="35" t="n"/>
      <c r="FM90" s="47" t="n">
        <v>0</v>
      </c>
      <c r="FN90" s="47" t="n"/>
      <c r="FO90" s="44" t="n"/>
      <c r="FP90" s="35" t="n"/>
      <c r="FQ90" s="47" t="n">
        <v>0</v>
      </c>
      <c r="FR90" s="47" t="n"/>
      <c r="FS90" s="44" t="n"/>
      <c r="FT90" s="59" t="n"/>
      <c r="FU90" s="47" t="n">
        <v>0</v>
      </c>
      <c r="FV90" s="47" t="n"/>
      <c r="FW90" s="44" t="n"/>
      <c r="FX90" s="36" t="n"/>
      <c r="FY90" s="47" t="n">
        <v>0</v>
      </c>
      <c r="FZ90" s="47" t="n"/>
      <c r="GA90" s="44" t="n"/>
      <c r="GB90" s="36" t="n"/>
      <c r="GC90" s="47" t="n">
        <v>0</v>
      </c>
      <c r="GD90" s="47" t="n"/>
      <c r="GE90" s="44" t="n"/>
      <c r="GF90" s="35" t="n"/>
      <c r="GG90" s="47" t="n">
        <v>0</v>
      </c>
      <c r="GH90" s="47" t="n"/>
      <c r="GI90" s="44" t="n"/>
      <c r="GJ90" s="35" t="n"/>
      <c r="GK90" s="47" t="n">
        <v>0</v>
      </c>
      <c r="GL90" s="47" t="n"/>
      <c r="GM90" s="44" t="n"/>
      <c r="GN90" s="35" t="n"/>
      <c r="GO90" s="47" t="n">
        <v>0</v>
      </c>
      <c r="GP90" s="47" t="n"/>
      <c r="GQ90" s="44" t="n"/>
      <c r="GR90" s="35" t="n"/>
      <c r="GS90" s="47" t="n">
        <v>0</v>
      </c>
      <c r="GT90" s="47" t="n"/>
      <c r="GU90" s="44" t="n"/>
      <c r="GV90" s="35" t="n"/>
      <c r="GW90" s="47" t="n">
        <v>0</v>
      </c>
      <c r="GX90" s="47" t="n"/>
      <c r="GY90" s="49" t="n"/>
      <c r="GZ90" s="35" t="n"/>
      <c r="HA90" s="47" t="n">
        <v>0</v>
      </c>
      <c r="HB90" s="47" t="n"/>
      <c r="HC90" s="380" t="n"/>
      <c r="HD90" s="35" t="n"/>
      <c r="HE90" s="379">
        <f>FI90+FM90+FQ90+FU90+FY90+GC90+GG90+GK90+GO90+GS90+GW90+HA90</f>
        <v/>
      </c>
      <c r="HF90" s="379">
        <f>HE90*$I90</f>
        <v/>
      </c>
      <c r="HG90" s="47" t="n">
        <v>0</v>
      </c>
      <c r="HH90" s="47" t="n"/>
      <c r="HI90" s="44" t="n"/>
      <c r="HJ90" s="35" t="n"/>
      <c r="HK90" s="47" t="n">
        <v>0</v>
      </c>
      <c r="HL90" s="47" t="n"/>
      <c r="HM90" s="44" t="n"/>
      <c r="HN90" s="35" t="n"/>
      <c r="HO90" s="47" t="n">
        <v>0</v>
      </c>
      <c r="HP90" s="47" t="n"/>
      <c r="HQ90" s="44" t="n"/>
      <c r="HR90" s="59" t="n"/>
      <c r="HS90" s="47" t="n">
        <v>0</v>
      </c>
      <c r="HT90" s="47" t="n"/>
      <c r="HU90" s="44" t="n"/>
      <c r="HV90" s="36" t="n"/>
      <c r="HW90" s="47" t="n">
        <v>0</v>
      </c>
      <c r="HX90" s="47" t="n"/>
      <c r="HY90" s="44" t="n"/>
      <c r="HZ90" s="36" t="n"/>
      <c r="IA90" s="47" t="n">
        <v>0</v>
      </c>
      <c r="IB90" s="47" t="n"/>
      <c r="IC90" s="44" t="n"/>
      <c r="ID90" s="35" t="n"/>
      <c r="IE90" s="47" t="n">
        <v>0</v>
      </c>
      <c r="IF90" s="47" t="n"/>
      <c r="IG90" s="44" t="n"/>
      <c r="IH90" s="35" t="n"/>
      <c r="II90" s="47" t="n">
        <v>0</v>
      </c>
      <c r="IJ90" s="47" t="n"/>
      <c r="IK90" s="44" t="n"/>
      <c r="IL90" s="35" t="n"/>
      <c r="IM90" s="47" t="n">
        <v>0</v>
      </c>
      <c r="IN90" s="47" t="n"/>
      <c r="IO90" s="44" t="n"/>
      <c r="IP90" s="35" t="n"/>
      <c r="IQ90" s="47" t="n">
        <v>0</v>
      </c>
      <c r="IR90" s="47" t="n"/>
      <c r="IS90" s="44" t="n"/>
      <c r="IT90" s="35" t="n"/>
      <c r="IU90" s="47" t="n">
        <v>0</v>
      </c>
      <c r="IV90" s="47" t="n"/>
      <c r="IW90" s="49" t="n"/>
      <c r="IX90" s="35" t="n"/>
      <c r="IY90" s="47" t="n">
        <v>0</v>
      </c>
      <c r="IZ90" s="47" t="n"/>
      <c r="JA90" s="380" t="n"/>
      <c r="JB90" s="35" t="n"/>
      <c r="JC90" s="381">
        <f>HG90+HK90+HO90+HS90+HW90+IA90+IE90+II90+IM90+IQ90+IU90+IY90</f>
        <v/>
      </c>
      <c r="JD90" s="381">
        <f>JC90*$I90</f>
        <v/>
      </c>
    </row>
    <row r="91">
      <c r="A91" s="382" t="n"/>
      <c r="B91" s="382" t="n"/>
      <c r="C91" s="382" t="n"/>
      <c r="D91" s="382" t="n"/>
      <c r="E91" s="25" t="n">
        <v>7</v>
      </c>
      <c r="F91" s="25" t="n">
        <v>1</v>
      </c>
      <c r="G91" s="26" t="n">
        <v>4497230500</v>
      </c>
      <c r="H91" s="27" t="inlineStr">
        <is>
          <t>Кабель-удлинитель датчика АБС 5м</t>
        </is>
      </c>
      <c r="I91" s="28" t="n">
        <v>113.8</v>
      </c>
      <c r="J91" s="29" t="n">
        <v>113.8</v>
      </c>
      <c r="K91" s="297" t="n">
        <v>272</v>
      </c>
      <c r="L91" s="297" t="n">
        <v>272</v>
      </c>
      <c r="M91" s="29" t="n"/>
      <c r="N91" s="29" t="n"/>
      <c r="O91" s="30" t="n">
        <v>0</v>
      </c>
      <c r="P91" s="31" t="n">
        <v>0</v>
      </c>
      <c r="Q91" s="32" t="n">
        <v>0</v>
      </c>
      <c r="R91" s="31" t="n"/>
      <c r="S91" s="30" t="n">
        <v>0</v>
      </c>
      <c r="T91" s="31" t="n">
        <v>0</v>
      </c>
      <c r="U91" s="32" t="n">
        <v>0</v>
      </c>
      <c r="V91" s="31" t="n"/>
      <c r="W91" s="30" t="n">
        <v>0</v>
      </c>
      <c r="X91" s="31" t="n">
        <v>0</v>
      </c>
      <c r="Y91" s="32" t="n">
        <v>0</v>
      </c>
      <c r="Z91" s="34" t="n"/>
      <c r="AA91" s="30" t="n">
        <v>0</v>
      </c>
      <c r="AB91" s="31" t="n">
        <v>0</v>
      </c>
      <c r="AC91" s="32" t="n">
        <v>0</v>
      </c>
      <c r="AD91" s="36" t="n"/>
      <c r="AE91" s="30" t="n">
        <v>0</v>
      </c>
      <c r="AF91" s="31" t="n">
        <v>0</v>
      </c>
      <c r="AG91" s="32" t="n">
        <v>0</v>
      </c>
      <c r="AH91" s="36" t="n"/>
      <c r="AI91" s="30" t="n">
        <v>0</v>
      </c>
      <c r="AJ91" s="31" t="n">
        <v>0</v>
      </c>
      <c r="AK91" s="32" t="n">
        <v>0</v>
      </c>
      <c r="AL91" s="31" t="n"/>
      <c r="AM91" s="30" t="n">
        <v>0</v>
      </c>
      <c r="AN91" s="31" t="n">
        <v>0</v>
      </c>
      <c r="AO91" s="32" t="n">
        <v>0</v>
      </c>
      <c r="AP91" s="31" t="n"/>
      <c r="AQ91" s="30" t="n">
        <v>0</v>
      </c>
      <c r="AR91" s="31" t="n">
        <v>0</v>
      </c>
      <c r="AS91" s="32" t="n">
        <v>0</v>
      </c>
      <c r="AT91" s="31" t="n"/>
      <c r="AU91" s="30" t="n">
        <v>0</v>
      </c>
      <c r="AV91" s="37" t="n">
        <v>0</v>
      </c>
      <c r="AW91" s="32" t="n">
        <v>0</v>
      </c>
      <c r="AX91" s="31" t="n"/>
      <c r="AY91" s="30" t="n">
        <v>0</v>
      </c>
      <c r="AZ91" s="38" t="n">
        <v>0</v>
      </c>
      <c r="BA91" s="32" t="n">
        <v>0</v>
      </c>
      <c r="BB91" s="34" t="n"/>
      <c r="BC91" s="30" t="n">
        <v>0</v>
      </c>
      <c r="BD91" s="39" t="n">
        <v>80</v>
      </c>
      <c r="BE91" s="241" t="n">
        <v>160</v>
      </c>
      <c r="BF91" s="34" t="n"/>
      <c r="BG91" s="41" t="n">
        <v>0</v>
      </c>
      <c r="BH91" s="39" t="n">
        <v>80</v>
      </c>
      <c r="BI91" s="385" t="n">
        <v>100</v>
      </c>
      <c r="BJ91" s="34" t="n"/>
      <c r="BK91" s="381">
        <f>O91+S91+W91+AA91+AE91+AI91+AM91+AQ91+AU91+AY91+BC91+BG91</f>
        <v/>
      </c>
      <c r="BL91" s="381">
        <f>BK91*$I91</f>
        <v/>
      </c>
      <c r="BM91" s="41" t="n">
        <v>0</v>
      </c>
      <c r="BN91" s="47" t="n">
        <v>80</v>
      </c>
      <c r="BO91" s="32" t="n">
        <v>0</v>
      </c>
      <c r="BP91" s="31" t="n"/>
      <c r="BQ91" s="45" t="n">
        <v>80</v>
      </c>
      <c r="BR91" s="47" t="n">
        <v>0</v>
      </c>
      <c r="BS91" s="32" t="n">
        <v>0</v>
      </c>
      <c r="BT91" s="31" t="n"/>
      <c r="BU91" s="45" t="n">
        <v>80</v>
      </c>
      <c r="BV91" s="47" t="n">
        <v>80</v>
      </c>
      <c r="BW91" s="32" t="n">
        <v>0</v>
      </c>
      <c r="BX91" s="34" t="n"/>
      <c r="BY91" s="45" t="n">
        <v>80</v>
      </c>
      <c r="BZ91" s="47" t="n">
        <v>0</v>
      </c>
      <c r="CA91" s="32" t="n">
        <v>0</v>
      </c>
      <c r="CB91" s="36" t="n"/>
      <c r="CC91" s="45" t="n">
        <v>80</v>
      </c>
      <c r="CD91" s="47" t="n">
        <v>80</v>
      </c>
      <c r="CE91" s="44" t="n">
        <v>0</v>
      </c>
      <c r="CF91" s="36" t="n"/>
      <c r="CG91" s="45" t="n">
        <v>80</v>
      </c>
      <c r="CH91" s="242" t="n">
        <v>0</v>
      </c>
      <c r="CI91" s="44" t="n">
        <v>200</v>
      </c>
      <c r="CJ91" s="35" t="n"/>
      <c r="CK91" s="45" t="n">
        <v>80</v>
      </c>
      <c r="CL91" s="47" t="n">
        <v>80</v>
      </c>
      <c r="CM91" s="44" t="n">
        <v>0</v>
      </c>
      <c r="CN91" s="35" t="n"/>
      <c r="CO91" s="45" t="n">
        <v>80</v>
      </c>
      <c r="CP91" s="47" t="n">
        <v>80</v>
      </c>
      <c r="CQ91" s="44" t="n">
        <v>200</v>
      </c>
      <c r="CR91" s="35" t="n"/>
      <c r="CS91" s="45" t="n">
        <v>0</v>
      </c>
      <c r="CT91" s="47" t="n">
        <v>0</v>
      </c>
      <c r="CU91" s="44" t="n">
        <v>0</v>
      </c>
      <c r="CV91" s="35" t="n"/>
      <c r="CW91" s="51" t="n">
        <v>0</v>
      </c>
      <c r="CX91" s="47" t="n">
        <v>0</v>
      </c>
      <c r="CY91" s="44" t="n">
        <v>0</v>
      </c>
      <c r="CZ91" s="35" t="n"/>
      <c r="DA91" s="51" t="n">
        <v>56</v>
      </c>
      <c r="DB91" s="47" t="n">
        <v>56</v>
      </c>
      <c r="DC91" s="155" t="n">
        <v>10</v>
      </c>
      <c r="DD91" s="35" t="n"/>
      <c r="DE91" s="51" t="n">
        <v>200</v>
      </c>
      <c r="DF91" s="47" t="n">
        <v>64</v>
      </c>
      <c r="DG91" s="380" t="n">
        <v>64</v>
      </c>
      <c r="DH91" s="35" t="n"/>
      <c r="DI91" s="379">
        <f>BM91+BQ91+BU91+BY91+CC91+CG91+CK91+CO91+CS91+CW91+DA91+DE91</f>
        <v/>
      </c>
      <c r="DJ91" s="379">
        <f>DI91*$I91</f>
        <v/>
      </c>
      <c r="DK91" s="82" t="n">
        <v>0</v>
      </c>
      <c r="DL91" s="35" t="n">
        <v>64</v>
      </c>
      <c r="DM91" s="44" t="n">
        <v>0</v>
      </c>
      <c r="DN91" s="35" t="n"/>
      <c r="DO91" s="82" t="n">
        <v>80</v>
      </c>
      <c r="DP91" s="35" t="n">
        <v>100</v>
      </c>
      <c r="DQ91" s="44" t="n">
        <v>0</v>
      </c>
      <c r="DR91" s="35" t="n"/>
      <c r="DS91" s="82" t="n">
        <v>80</v>
      </c>
      <c r="DT91" s="305" t="n">
        <v>0</v>
      </c>
      <c r="DU91" s="44" t="n">
        <v>0</v>
      </c>
      <c r="DV91" s="35" t="n"/>
      <c r="DW91" s="82" t="n">
        <v>80</v>
      </c>
      <c r="DX91" s="305" t="n">
        <v>0</v>
      </c>
      <c r="DY91" s="44" t="n">
        <v>0</v>
      </c>
      <c r="DZ91" s="36" t="n"/>
      <c r="EA91" s="82" t="n">
        <v>160</v>
      </c>
      <c r="EB91" s="307" t="n">
        <v>0</v>
      </c>
      <c r="EC91" s="44" t="n">
        <v>0</v>
      </c>
      <c r="ED91" s="36" t="n"/>
      <c r="EE91" s="82" t="n">
        <v>160</v>
      </c>
      <c r="EF91" s="281" t="n">
        <v>0</v>
      </c>
      <c r="EG91" s="44" t="n">
        <v>0</v>
      </c>
      <c r="EH91" s="35" t="n"/>
      <c r="EI91" s="82" t="n">
        <v>160</v>
      </c>
      <c r="EJ91" s="281" t="n">
        <v>0</v>
      </c>
      <c r="EK91" s="44" t="n">
        <v>0</v>
      </c>
      <c r="EL91" s="35" t="n"/>
      <c r="EM91" s="82" t="n">
        <v>160</v>
      </c>
      <c r="EN91" s="281" t="n">
        <v>0</v>
      </c>
      <c r="EO91" s="44" t="n">
        <v>0</v>
      </c>
      <c r="EP91" s="35" t="n"/>
      <c r="EQ91" s="82" t="n">
        <v>160</v>
      </c>
      <c r="ER91" s="281" t="n">
        <v>0</v>
      </c>
      <c r="ES91" s="44" t="n">
        <v>0</v>
      </c>
      <c r="ET91" s="35" t="n"/>
      <c r="EU91" s="82" t="n">
        <v>160</v>
      </c>
      <c r="EV91" s="281" t="n">
        <v>0</v>
      </c>
      <c r="EW91" s="44" t="n">
        <v>0</v>
      </c>
      <c r="EX91" s="35" t="n"/>
      <c r="EY91" s="82" t="n">
        <v>160</v>
      </c>
      <c r="EZ91" s="281" t="n">
        <v>0</v>
      </c>
      <c r="FA91" s="288" t="n">
        <v>0</v>
      </c>
      <c r="FB91" s="35" t="n"/>
      <c r="FC91" s="82" t="n">
        <v>160</v>
      </c>
      <c r="FD91" s="281" t="n">
        <v>0</v>
      </c>
      <c r="FE91" s="380" t="n">
        <v>0</v>
      </c>
      <c r="FF91" s="35" t="n"/>
      <c r="FG91" s="379">
        <f>DK91+DO91+DS91+DW91+EA91+EE91+EI91+EM91+EQ91+EU91+EY91+FC91</f>
        <v/>
      </c>
      <c r="FH91" s="379">
        <f>FG91*$I91</f>
        <v/>
      </c>
      <c r="FI91" s="47" t="n">
        <v>160</v>
      </c>
      <c r="FJ91" s="47" t="n"/>
      <c r="FK91" s="44" t="n">
        <v>0</v>
      </c>
      <c r="FL91" s="35" t="n"/>
      <c r="FM91" s="47" t="n">
        <v>160</v>
      </c>
      <c r="FN91" s="47" t="n"/>
      <c r="FO91" s="44" t="n">
        <v>0</v>
      </c>
      <c r="FP91" s="35" t="n"/>
      <c r="FQ91" s="47" t="n">
        <v>160</v>
      </c>
      <c r="FR91" s="47" t="n"/>
      <c r="FS91" s="44" t="n">
        <v>0</v>
      </c>
      <c r="FT91" s="36" t="n"/>
      <c r="FU91" s="47" t="n">
        <v>160</v>
      </c>
      <c r="FV91" s="47" t="n"/>
      <c r="FW91" s="44" t="n">
        <v>0</v>
      </c>
      <c r="FX91" s="36" t="n"/>
      <c r="FY91" s="47" t="n">
        <v>160</v>
      </c>
      <c r="FZ91" s="47" t="n"/>
      <c r="GA91" s="44" t="n">
        <v>0</v>
      </c>
      <c r="GB91" s="36" t="n"/>
      <c r="GC91" s="47" t="n">
        <v>160</v>
      </c>
      <c r="GD91" s="47" t="n"/>
      <c r="GE91" s="44" t="n">
        <v>0</v>
      </c>
      <c r="GF91" s="35" t="n"/>
      <c r="GG91" s="47" t="n">
        <v>160</v>
      </c>
      <c r="GH91" s="47" t="n"/>
      <c r="GI91" s="44" t="n">
        <v>0</v>
      </c>
      <c r="GJ91" s="35" t="n"/>
      <c r="GK91" s="47" t="n">
        <v>160</v>
      </c>
      <c r="GL91" s="47" t="n"/>
      <c r="GM91" s="44" t="n">
        <v>0</v>
      </c>
      <c r="GN91" s="35" t="n"/>
      <c r="GO91" s="47" t="n">
        <v>160</v>
      </c>
      <c r="GP91" s="47" t="n"/>
      <c r="GQ91" s="44" t="n">
        <v>0</v>
      </c>
      <c r="GR91" s="35" t="n"/>
      <c r="GS91" s="47" t="n">
        <v>160</v>
      </c>
      <c r="GT91" s="47" t="n"/>
      <c r="GU91" s="44" t="n">
        <v>0</v>
      </c>
      <c r="GV91" s="35" t="n"/>
      <c r="GW91" s="47" t="n">
        <v>160</v>
      </c>
      <c r="GX91" s="47" t="n"/>
      <c r="GY91" s="49" t="n">
        <v>0</v>
      </c>
      <c r="GZ91" s="35" t="n"/>
      <c r="HA91" s="47" t="n">
        <v>160</v>
      </c>
      <c r="HB91" s="47" t="n"/>
      <c r="HC91" s="380" t="n">
        <v>0</v>
      </c>
      <c r="HD91" s="35" t="n"/>
      <c r="HE91" s="379">
        <f>FI91+FM91+FQ91+FU91+FY91+GC91+GG91+GK91+GO91+GS91+GW91+HA91</f>
        <v/>
      </c>
      <c r="HF91" s="379">
        <f>HE91*$I91</f>
        <v/>
      </c>
      <c r="HG91" s="47" t="n">
        <v>160</v>
      </c>
      <c r="HH91" s="47" t="n"/>
      <c r="HI91" s="44" t="n">
        <v>0</v>
      </c>
      <c r="HJ91" s="35" t="n"/>
      <c r="HK91" s="47" t="n">
        <v>160</v>
      </c>
      <c r="HL91" s="47" t="n"/>
      <c r="HM91" s="44" t="n">
        <v>0</v>
      </c>
      <c r="HN91" s="35" t="n"/>
      <c r="HO91" s="47" t="n">
        <v>160</v>
      </c>
      <c r="HP91" s="47" t="n"/>
      <c r="HQ91" s="44" t="n">
        <v>0</v>
      </c>
      <c r="HR91" s="36" t="n"/>
      <c r="HS91" s="47" t="n">
        <v>160</v>
      </c>
      <c r="HT91" s="47" t="n"/>
      <c r="HU91" s="44" t="n">
        <v>0</v>
      </c>
      <c r="HV91" s="36" t="n"/>
      <c r="HW91" s="47" t="n">
        <v>160</v>
      </c>
      <c r="HX91" s="47" t="n"/>
      <c r="HY91" s="44" t="n">
        <v>0</v>
      </c>
      <c r="HZ91" s="36" t="n"/>
      <c r="IA91" s="47" t="n">
        <v>160</v>
      </c>
      <c r="IB91" s="47" t="n"/>
      <c r="IC91" s="44" t="n">
        <v>0</v>
      </c>
      <c r="ID91" s="35" t="n"/>
      <c r="IE91" s="47" t="n">
        <v>160</v>
      </c>
      <c r="IF91" s="47" t="n"/>
      <c r="IG91" s="44" t="n">
        <v>0</v>
      </c>
      <c r="IH91" s="35" t="n"/>
      <c r="II91" s="47" t="n">
        <v>160</v>
      </c>
      <c r="IJ91" s="47" t="n"/>
      <c r="IK91" s="44" t="n">
        <v>0</v>
      </c>
      <c r="IL91" s="35" t="n"/>
      <c r="IM91" s="47" t="n">
        <v>160</v>
      </c>
      <c r="IN91" s="47" t="n"/>
      <c r="IO91" s="44" t="n">
        <v>0</v>
      </c>
      <c r="IP91" s="35" t="n"/>
      <c r="IQ91" s="47" t="n">
        <v>160</v>
      </c>
      <c r="IR91" s="47" t="n"/>
      <c r="IS91" s="44" t="n">
        <v>0</v>
      </c>
      <c r="IT91" s="35" t="n"/>
      <c r="IU91" s="47" t="n">
        <v>160</v>
      </c>
      <c r="IV91" s="47" t="n"/>
      <c r="IW91" s="49" t="n">
        <v>0</v>
      </c>
      <c r="IX91" s="35" t="n"/>
      <c r="IY91" s="47" t="n">
        <v>160</v>
      </c>
      <c r="IZ91" s="47" t="n"/>
      <c r="JA91" s="380" t="n">
        <v>0</v>
      </c>
      <c r="JB91" s="35" t="n"/>
      <c r="JC91" s="381">
        <f>HG91+HK91+HO91+HS91+HW91+IA91+IE91+II91+IM91+IQ91+IU91+IY91</f>
        <v/>
      </c>
      <c r="JD91" s="381">
        <f>JC91*$I91</f>
        <v/>
      </c>
    </row>
    <row r="92">
      <c r="A92" s="382" t="n"/>
      <c r="B92" s="382" t="n"/>
      <c r="C92" s="382" t="n"/>
      <c r="D92" s="382" t="n"/>
      <c r="E92" s="25" t="n">
        <v>8</v>
      </c>
      <c r="F92" s="25" t="n">
        <v>1</v>
      </c>
      <c r="G92" s="26" t="n">
        <v>4497230400</v>
      </c>
      <c r="H92" s="27" t="inlineStr">
        <is>
          <t>Кабель-удлинитель датчика АБС 4м</t>
        </is>
      </c>
      <c r="I92" s="28" t="n">
        <v>94.17</v>
      </c>
      <c r="J92" s="29" t="n">
        <v>94.17</v>
      </c>
      <c r="K92" s="295" t="n">
        <v>94</v>
      </c>
      <c r="L92" s="295" t="n">
        <v>94</v>
      </c>
      <c r="M92" s="29" t="n"/>
      <c r="N92" s="29" t="n"/>
      <c r="O92" s="30" t="n">
        <v>0</v>
      </c>
      <c r="P92" s="31" t="n">
        <v>0</v>
      </c>
      <c r="Q92" s="32" t="n">
        <v>0</v>
      </c>
      <c r="R92" s="60" t="n"/>
      <c r="S92" s="30" t="n">
        <v>0</v>
      </c>
      <c r="T92" s="31" t="n">
        <v>0</v>
      </c>
      <c r="U92" s="32" t="n">
        <v>0</v>
      </c>
      <c r="V92" s="31" t="n"/>
      <c r="W92" s="30" t="n">
        <v>0</v>
      </c>
      <c r="X92" s="31" t="n">
        <v>0</v>
      </c>
      <c r="Y92" s="32" t="n">
        <v>0</v>
      </c>
      <c r="Z92" s="34" t="n"/>
      <c r="AA92" s="30" t="n">
        <v>0</v>
      </c>
      <c r="AB92" s="31" t="n">
        <v>0</v>
      </c>
      <c r="AC92" s="32" t="n">
        <v>0</v>
      </c>
      <c r="AD92" s="36" t="n"/>
      <c r="AE92" s="30" t="n">
        <v>0</v>
      </c>
      <c r="AF92" s="31" t="n">
        <v>0</v>
      </c>
      <c r="AG92" s="32" t="n">
        <v>0</v>
      </c>
      <c r="AH92" s="36" t="n"/>
      <c r="AI92" s="30" t="n">
        <v>0</v>
      </c>
      <c r="AJ92" s="31" t="n">
        <v>0</v>
      </c>
      <c r="AK92" s="32" t="n">
        <v>0</v>
      </c>
      <c r="AL92" s="31" t="n"/>
      <c r="AM92" s="30" t="n">
        <v>0</v>
      </c>
      <c r="AN92" s="31" t="n">
        <v>0</v>
      </c>
      <c r="AO92" s="32" t="n">
        <v>0</v>
      </c>
      <c r="AP92" s="31" t="n"/>
      <c r="AQ92" s="30" t="n">
        <v>0</v>
      </c>
      <c r="AR92" s="31" t="n">
        <v>0</v>
      </c>
      <c r="AS92" s="32" t="n">
        <v>0</v>
      </c>
      <c r="AT92" s="31" t="n"/>
      <c r="AU92" s="30" t="n">
        <v>0</v>
      </c>
      <c r="AV92" s="37" t="n">
        <v>0</v>
      </c>
      <c r="AW92" s="32" t="n">
        <v>0</v>
      </c>
      <c r="AX92" s="31" t="n"/>
      <c r="AY92" s="30" t="n">
        <v>0</v>
      </c>
      <c r="AZ92" s="38" t="n">
        <v>0</v>
      </c>
      <c r="BA92" s="32" t="n">
        <v>0</v>
      </c>
      <c r="BB92" s="34" t="n"/>
      <c r="BC92" s="30" t="n">
        <v>0</v>
      </c>
      <c r="BD92" s="39" t="n">
        <v>80</v>
      </c>
      <c r="BE92" s="40" t="n">
        <v>0</v>
      </c>
      <c r="BF92" s="34" t="n"/>
      <c r="BG92" s="41" t="n">
        <v>0</v>
      </c>
      <c r="BH92" s="39" t="n">
        <v>80</v>
      </c>
      <c r="BI92" s="385" t="n">
        <v>100</v>
      </c>
      <c r="BJ92" s="34" t="n"/>
      <c r="BK92" s="381">
        <f>O92+S92+W92+AA92+AE92+AI92+AM92+AQ92+AU92+AY92+BC92+BG92</f>
        <v/>
      </c>
      <c r="BL92" s="381">
        <f>BK92*$I92</f>
        <v/>
      </c>
      <c r="BM92" s="41" t="n">
        <v>0</v>
      </c>
      <c r="BN92" s="47" t="n">
        <v>80</v>
      </c>
      <c r="BO92" s="32" t="n">
        <v>0</v>
      </c>
      <c r="BP92" s="60" t="n"/>
      <c r="BQ92" s="45" t="n">
        <v>80</v>
      </c>
      <c r="BR92" s="47" t="n">
        <v>0</v>
      </c>
      <c r="BS92" s="32" t="n">
        <v>0</v>
      </c>
      <c r="BT92" s="31" t="n"/>
      <c r="BU92" s="45" t="n">
        <v>80</v>
      </c>
      <c r="BV92" s="47" t="n">
        <v>80</v>
      </c>
      <c r="BW92" s="32" t="n">
        <v>0</v>
      </c>
      <c r="BX92" s="34" t="n"/>
      <c r="BY92" s="45" t="n">
        <v>80</v>
      </c>
      <c r="BZ92" s="47" t="n">
        <v>0</v>
      </c>
      <c r="CA92" s="32" t="n">
        <v>0</v>
      </c>
      <c r="CB92" s="36" t="n"/>
      <c r="CC92" s="45" t="n">
        <v>80</v>
      </c>
      <c r="CD92" s="47" t="n">
        <v>80</v>
      </c>
      <c r="CE92" s="44" t="n">
        <v>0</v>
      </c>
      <c r="CF92" s="36" t="n"/>
      <c r="CG92" s="45" t="n">
        <v>80</v>
      </c>
      <c r="CH92" s="242" t="n">
        <v>0</v>
      </c>
      <c r="CI92" s="44" t="n">
        <v>0</v>
      </c>
      <c r="CJ92" s="35" t="n"/>
      <c r="CK92" s="45" t="n">
        <v>80</v>
      </c>
      <c r="CL92" s="47" t="n">
        <v>80</v>
      </c>
      <c r="CM92" s="44" t="n">
        <v>0</v>
      </c>
      <c r="CN92" s="35" t="n"/>
      <c r="CO92" s="45" t="n">
        <v>80</v>
      </c>
      <c r="CP92" s="47" t="n">
        <v>80</v>
      </c>
      <c r="CQ92" s="44" t="n">
        <v>0</v>
      </c>
      <c r="CR92" s="35" t="n"/>
      <c r="CS92" s="45" t="n">
        <v>0</v>
      </c>
      <c r="CT92" s="47" t="n">
        <v>0</v>
      </c>
      <c r="CU92" s="44" t="n">
        <v>0</v>
      </c>
      <c r="CV92" s="35" t="n"/>
      <c r="CW92" s="51" t="n">
        <v>0</v>
      </c>
      <c r="CX92" s="47" t="n">
        <v>0</v>
      </c>
      <c r="CY92" s="44" t="n">
        <v>0</v>
      </c>
      <c r="CZ92" s="35" t="n"/>
      <c r="DA92" s="51" t="n">
        <v>28</v>
      </c>
      <c r="DB92" s="47" t="n">
        <v>28</v>
      </c>
      <c r="DC92" s="155" t="n">
        <v>0</v>
      </c>
      <c r="DD92" s="35" t="n"/>
      <c r="DE92" s="51" t="n">
        <v>100</v>
      </c>
      <c r="DF92" s="47" t="n">
        <v>32</v>
      </c>
      <c r="DG92" s="380" t="n">
        <v>0</v>
      </c>
      <c r="DH92" s="35" t="n"/>
      <c r="DI92" s="379">
        <f>BM92+BQ92+BU92+BY92+CC92+CG92+CK92+CO92+CS92+CW92+DA92+DE92</f>
        <v/>
      </c>
      <c r="DJ92" s="379">
        <f>DI92*$I92</f>
        <v/>
      </c>
      <c r="DK92" s="82" t="n">
        <v>0</v>
      </c>
      <c r="DL92" s="35" t="n">
        <v>0</v>
      </c>
      <c r="DM92" s="44" t="n">
        <v>0</v>
      </c>
      <c r="DN92" s="35" t="n"/>
      <c r="DO92" s="82" t="n">
        <v>40</v>
      </c>
      <c r="DP92" s="35" t="n">
        <v>0</v>
      </c>
      <c r="DQ92" s="44" t="n">
        <v>0</v>
      </c>
      <c r="DR92" s="35" t="n"/>
      <c r="DS92" s="82" t="n">
        <v>40</v>
      </c>
      <c r="DT92" s="47" t="n">
        <v>0</v>
      </c>
      <c r="DU92" s="44" t="n">
        <v>0</v>
      </c>
      <c r="DV92" s="35" t="n"/>
      <c r="DW92" s="82" t="n">
        <v>40</v>
      </c>
      <c r="DX92" s="47" t="n">
        <v>0</v>
      </c>
      <c r="DY92" s="44" t="n">
        <v>0</v>
      </c>
      <c r="DZ92" s="36" t="n"/>
      <c r="EA92" s="82" t="n">
        <v>80</v>
      </c>
      <c r="EB92" s="305" t="n">
        <v>0</v>
      </c>
      <c r="EC92" s="44" t="n">
        <v>0</v>
      </c>
      <c r="ED92" s="36" t="n"/>
      <c r="EE92" s="82" t="n">
        <v>80</v>
      </c>
      <c r="EF92" s="281" t="n">
        <v>0</v>
      </c>
      <c r="EG92" s="44" t="n">
        <v>0</v>
      </c>
      <c r="EH92" s="35" t="n"/>
      <c r="EI92" s="82" t="n">
        <v>80</v>
      </c>
      <c r="EJ92" s="281" t="n">
        <v>0</v>
      </c>
      <c r="EK92" s="44" t="n">
        <v>0</v>
      </c>
      <c r="EL92" s="35" t="n"/>
      <c r="EM92" s="82" t="n">
        <v>80</v>
      </c>
      <c r="EN92" s="281" t="n">
        <v>0</v>
      </c>
      <c r="EO92" s="44" t="n">
        <v>0</v>
      </c>
      <c r="EP92" s="35" t="n"/>
      <c r="EQ92" s="82" t="n">
        <v>80</v>
      </c>
      <c r="ER92" s="281" t="n">
        <v>0</v>
      </c>
      <c r="ES92" s="44" t="n">
        <v>0</v>
      </c>
      <c r="ET92" s="35" t="n"/>
      <c r="EU92" s="82" t="n">
        <v>80</v>
      </c>
      <c r="EV92" s="281" t="n">
        <v>0</v>
      </c>
      <c r="EW92" s="44" t="n">
        <v>0</v>
      </c>
      <c r="EX92" s="35" t="n"/>
      <c r="EY92" s="82" t="n">
        <v>80</v>
      </c>
      <c r="EZ92" s="281" t="n">
        <v>0</v>
      </c>
      <c r="FA92" s="288" t="n">
        <v>0</v>
      </c>
      <c r="FB92" s="35" t="n"/>
      <c r="FC92" s="82" t="n">
        <v>80</v>
      </c>
      <c r="FD92" s="281" t="n">
        <v>0</v>
      </c>
      <c r="FE92" s="380" t="n">
        <v>0</v>
      </c>
      <c r="FF92" s="35" t="n"/>
      <c r="FG92" s="379">
        <f>DK92+DO92+DS92+DW92+EA92+EE92+EI92+EM92+EQ92+EU92+EY92+FC92</f>
        <v/>
      </c>
      <c r="FH92" s="379">
        <f>FG92*$I92</f>
        <v/>
      </c>
      <c r="FI92" s="47" t="n">
        <v>80</v>
      </c>
      <c r="FJ92" s="47" t="n"/>
      <c r="FK92" s="44" t="n">
        <v>0</v>
      </c>
      <c r="FL92" s="61" t="n"/>
      <c r="FM92" s="47" t="n">
        <v>80</v>
      </c>
      <c r="FN92" s="47" t="n"/>
      <c r="FO92" s="44" t="n">
        <v>0</v>
      </c>
      <c r="FP92" s="35" t="n"/>
      <c r="FQ92" s="47" t="n">
        <v>80</v>
      </c>
      <c r="FR92" s="47" t="n"/>
      <c r="FS92" s="44" t="n">
        <v>0</v>
      </c>
      <c r="FT92" s="36" t="n"/>
      <c r="FU92" s="47" t="n">
        <v>80</v>
      </c>
      <c r="FV92" s="47" t="n"/>
      <c r="FW92" s="44" t="n">
        <v>0</v>
      </c>
      <c r="FX92" s="36" t="n"/>
      <c r="FY92" s="47" t="n">
        <v>80</v>
      </c>
      <c r="FZ92" s="47" t="n"/>
      <c r="GA92" s="44" t="n">
        <v>0</v>
      </c>
      <c r="GB92" s="36" t="n"/>
      <c r="GC92" s="47" t="n">
        <v>80</v>
      </c>
      <c r="GD92" s="47" t="n"/>
      <c r="GE92" s="44" t="n">
        <v>0</v>
      </c>
      <c r="GF92" s="35" t="n"/>
      <c r="GG92" s="47" t="n">
        <v>80</v>
      </c>
      <c r="GH92" s="47" t="n"/>
      <c r="GI92" s="44" t="n">
        <v>0</v>
      </c>
      <c r="GJ92" s="35" t="n"/>
      <c r="GK92" s="47" t="n">
        <v>80</v>
      </c>
      <c r="GL92" s="47" t="n"/>
      <c r="GM92" s="44" t="n">
        <v>0</v>
      </c>
      <c r="GN92" s="35" t="n"/>
      <c r="GO92" s="47" t="n">
        <v>80</v>
      </c>
      <c r="GP92" s="47" t="n"/>
      <c r="GQ92" s="44" t="n">
        <v>0</v>
      </c>
      <c r="GR92" s="35" t="n"/>
      <c r="GS92" s="47" t="n">
        <v>80</v>
      </c>
      <c r="GT92" s="47" t="n"/>
      <c r="GU92" s="44" t="n">
        <v>0</v>
      </c>
      <c r="GV92" s="35" t="n"/>
      <c r="GW92" s="47" t="n">
        <v>80</v>
      </c>
      <c r="GX92" s="47" t="n"/>
      <c r="GY92" s="49" t="n">
        <v>0</v>
      </c>
      <c r="GZ92" s="35" t="n"/>
      <c r="HA92" s="47" t="n">
        <v>80</v>
      </c>
      <c r="HB92" s="47" t="n"/>
      <c r="HC92" s="380" t="n">
        <v>0</v>
      </c>
      <c r="HD92" s="35" t="n"/>
      <c r="HE92" s="379">
        <f>FI92+FM92+FQ92+FU92+FY92+GC92+GG92+GK92+GO92+GS92+GW92+HA92</f>
        <v/>
      </c>
      <c r="HF92" s="379">
        <f>HE92*$I92</f>
        <v/>
      </c>
      <c r="HG92" s="47" t="n">
        <v>80</v>
      </c>
      <c r="HH92" s="47" t="n"/>
      <c r="HI92" s="44" t="n">
        <v>0</v>
      </c>
      <c r="HJ92" s="61" t="n"/>
      <c r="HK92" s="47" t="n">
        <v>80</v>
      </c>
      <c r="HL92" s="47" t="n"/>
      <c r="HM92" s="44" t="n">
        <v>0</v>
      </c>
      <c r="HN92" s="35" t="n"/>
      <c r="HO92" s="47" t="n">
        <v>80</v>
      </c>
      <c r="HP92" s="47" t="n"/>
      <c r="HQ92" s="44" t="n">
        <v>0</v>
      </c>
      <c r="HR92" s="36" t="n"/>
      <c r="HS92" s="47" t="n">
        <v>80</v>
      </c>
      <c r="HT92" s="47" t="n"/>
      <c r="HU92" s="44" t="n">
        <v>0</v>
      </c>
      <c r="HV92" s="36" t="n"/>
      <c r="HW92" s="47" t="n">
        <v>80</v>
      </c>
      <c r="HX92" s="47" t="n"/>
      <c r="HY92" s="44" t="n">
        <v>0</v>
      </c>
      <c r="HZ92" s="36" t="n"/>
      <c r="IA92" s="47" t="n">
        <v>80</v>
      </c>
      <c r="IB92" s="47" t="n"/>
      <c r="IC92" s="44" t="n">
        <v>0</v>
      </c>
      <c r="ID92" s="35" t="n"/>
      <c r="IE92" s="47" t="n">
        <v>80</v>
      </c>
      <c r="IF92" s="47" t="n"/>
      <c r="IG92" s="44" t="n">
        <v>0</v>
      </c>
      <c r="IH92" s="35" t="n"/>
      <c r="II92" s="47" t="n">
        <v>80</v>
      </c>
      <c r="IJ92" s="47" t="n"/>
      <c r="IK92" s="44" t="n">
        <v>0</v>
      </c>
      <c r="IL92" s="35" t="n"/>
      <c r="IM92" s="47" t="n">
        <v>80</v>
      </c>
      <c r="IN92" s="47" t="n"/>
      <c r="IO92" s="44" t="n">
        <v>0</v>
      </c>
      <c r="IP92" s="35" t="n"/>
      <c r="IQ92" s="47" t="n">
        <v>80</v>
      </c>
      <c r="IR92" s="47" t="n"/>
      <c r="IS92" s="44" t="n">
        <v>0</v>
      </c>
      <c r="IT92" s="35" t="n"/>
      <c r="IU92" s="47" t="n">
        <v>80</v>
      </c>
      <c r="IV92" s="47" t="n"/>
      <c r="IW92" s="49" t="n">
        <v>0</v>
      </c>
      <c r="IX92" s="35" t="n"/>
      <c r="IY92" s="47" t="n">
        <v>80</v>
      </c>
      <c r="IZ92" s="47" t="n"/>
      <c r="JA92" s="380" t="n">
        <v>0</v>
      </c>
      <c r="JB92" s="35" t="n"/>
      <c r="JC92" s="381">
        <f>HG92+HK92+HO92+HS92+HW92+IA92+IE92+II92+IM92+IQ92+IU92+IY92</f>
        <v/>
      </c>
      <c r="JD92" s="381">
        <f>JC92*$I92</f>
        <v/>
      </c>
    </row>
    <row r="93">
      <c r="A93" s="382" t="n"/>
      <c r="B93" s="382" t="n"/>
      <c r="C93" s="382" t="n"/>
      <c r="D93" s="382" t="n"/>
      <c r="E93" s="25" t="n">
        <v>9</v>
      </c>
      <c r="F93" s="25" t="n">
        <v>1</v>
      </c>
      <c r="G93" s="26" t="n">
        <v>4630320200</v>
      </c>
      <c r="H93" s="27" t="inlineStr">
        <is>
          <t>Кран управления пневмоподвеской без фитингов</t>
        </is>
      </c>
      <c r="I93" s="28" t="n">
        <v>220.18</v>
      </c>
      <c r="J93" s="29" t="n">
        <v>220.18</v>
      </c>
      <c r="K93" s="297" t="n">
        <v>300</v>
      </c>
      <c r="L93" s="297" t="n">
        <v>300</v>
      </c>
      <c r="M93" s="29" t="n"/>
      <c r="N93" s="29" t="n"/>
      <c r="O93" s="30" t="n">
        <v>0</v>
      </c>
      <c r="P93" s="31" t="n">
        <v>0</v>
      </c>
      <c r="Q93" s="32" t="n">
        <v>0</v>
      </c>
      <c r="R93" s="31" t="n"/>
      <c r="S93" s="30" t="n">
        <v>0</v>
      </c>
      <c r="T93" s="31" t="n">
        <v>0</v>
      </c>
      <c r="U93" s="32" t="n">
        <v>0</v>
      </c>
      <c r="V93" s="31" t="n"/>
      <c r="W93" s="30" t="n">
        <v>0</v>
      </c>
      <c r="X93" s="31" t="n">
        <v>0</v>
      </c>
      <c r="Y93" s="32" t="n">
        <v>0</v>
      </c>
      <c r="Z93" s="34" t="n"/>
      <c r="AA93" s="30" t="n">
        <v>0</v>
      </c>
      <c r="AB93" s="31" t="n">
        <v>0</v>
      </c>
      <c r="AC93" s="32" t="n">
        <v>0</v>
      </c>
      <c r="AD93" s="36" t="n"/>
      <c r="AE93" s="30" t="n">
        <v>0</v>
      </c>
      <c r="AF93" s="31" t="n">
        <v>0</v>
      </c>
      <c r="AG93" s="32" t="n">
        <v>0</v>
      </c>
      <c r="AH93" s="36" t="n"/>
      <c r="AI93" s="30" t="n">
        <v>0</v>
      </c>
      <c r="AJ93" s="31" t="n">
        <v>0</v>
      </c>
      <c r="AK93" s="32" t="n">
        <v>0</v>
      </c>
      <c r="AL93" s="31" t="n"/>
      <c r="AM93" s="30" t="n">
        <v>0</v>
      </c>
      <c r="AN93" s="31" t="n">
        <v>0</v>
      </c>
      <c r="AO93" s="32" t="n">
        <v>0</v>
      </c>
      <c r="AP93" s="31" t="n"/>
      <c r="AQ93" s="30" t="n">
        <v>0</v>
      </c>
      <c r="AR93" s="31" t="n">
        <v>0</v>
      </c>
      <c r="AS93" s="32" t="n">
        <v>0</v>
      </c>
      <c r="AT93" s="31" t="n"/>
      <c r="AU93" s="30" t="n">
        <v>0</v>
      </c>
      <c r="AV93" s="37" t="n">
        <v>0</v>
      </c>
      <c r="AW93" s="32" t="n">
        <v>0</v>
      </c>
      <c r="AX93" s="31" t="n"/>
      <c r="AY93" s="30" t="n">
        <v>0</v>
      </c>
      <c r="AZ93" s="38" t="n">
        <v>0</v>
      </c>
      <c r="BA93" s="32" t="n">
        <v>0</v>
      </c>
      <c r="BB93" s="34" t="n"/>
      <c r="BC93" s="30" t="n">
        <v>0</v>
      </c>
      <c r="BD93" s="39" t="n">
        <v>40</v>
      </c>
      <c r="BE93" s="241" t="n">
        <v>40</v>
      </c>
      <c r="BF93" s="34" t="n"/>
      <c r="BG93" s="62" t="n">
        <v>0</v>
      </c>
      <c r="BH93" s="39" t="n">
        <v>40</v>
      </c>
      <c r="BI93" s="385" t="n">
        <v>50</v>
      </c>
      <c r="BJ93" s="34" t="n"/>
      <c r="BK93" s="381">
        <f>O93+S93+W93+AA93+AE93+AI93+AM93+AQ93+AU93+AY93+BC93+BG93</f>
        <v/>
      </c>
      <c r="BL93" s="381">
        <f>BK93*$I93</f>
        <v/>
      </c>
      <c r="BM93" s="41" t="n">
        <v>0</v>
      </c>
      <c r="BN93" s="47" t="n">
        <v>40</v>
      </c>
      <c r="BO93" s="32" t="n">
        <v>0</v>
      </c>
      <c r="BP93" s="31" t="n"/>
      <c r="BQ93" s="45" t="n">
        <v>40</v>
      </c>
      <c r="BR93" s="47" t="n">
        <v>0</v>
      </c>
      <c r="BS93" s="32" t="n">
        <v>0</v>
      </c>
      <c r="BT93" s="31" t="n"/>
      <c r="BU93" s="45" t="n">
        <v>40</v>
      </c>
      <c r="BV93" s="47" t="n">
        <v>40</v>
      </c>
      <c r="BW93" s="32" t="n">
        <v>0</v>
      </c>
      <c r="BX93" s="34" t="n"/>
      <c r="BY93" s="45" t="n">
        <v>40</v>
      </c>
      <c r="BZ93" s="47" t="n">
        <v>0</v>
      </c>
      <c r="CA93" s="32" t="n">
        <v>0</v>
      </c>
      <c r="CB93" s="36" t="n"/>
      <c r="CC93" s="45" t="n">
        <v>40</v>
      </c>
      <c r="CD93" s="47" t="n">
        <v>0</v>
      </c>
      <c r="CE93" s="44" t="n">
        <v>0</v>
      </c>
      <c r="CF93" s="36" t="n"/>
      <c r="CG93" s="45" t="n">
        <v>40</v>
      </c>
      <c r="CH93" s="47" t="n">
        <v>0</v>
      </c>
      <c r="CI93" s="44" t="n">
        <v>0</v>
      </c>
      <c r="CJ93" s="35" t="n"/>
      <c r="CK93" s="45" t="n">
        <v>40</v>
      </c>
      <c r="CL93" s="47" t="n">
        <v>0</v>
      </c>
      <c r="CM93" s="44" t="n">
        <v>0</v>
      </c>
      <c r="CN93" s="35" t="n"/>
      <c r="CO93" s="45" t="n">
        <v>40</v>
      </c>
      <c r="CP93" s="47" t="n">
        <v>0</v>
      </c>
      <c r="CQ93" s="44" t="n">
        <v>0</v>
      </c>
      <c r="CR93" s="35" t="n"/>
      <c r="CS93" s="45" t="n">
        <v>0</v>
      </c>
      <c r="CT93" s="47" t="n">
        <v>0</v>
      </c>
      <c r="CU93" s="44" t="n">
        <v>0</v>
      </c>
      <c r="CV93" s="35" t="n"/>
      <c r="CW93" s="51" t="n">
        <v>0</v>
      </c>
      <c r="CX93" s="47" t="n">
        <v>0</v>
      </c>
      <c r="CY93" s="44" t="n">
        <v>0</v>
      </c>
      <c r="CZ93" s="35" t="n"/>
      <c r="DA93" s="51" t="n">
        <v>28</v>
      </c>
      <c r="DB93" s="47" t="n">
        <v>28</v>
      </c>
      <c r="DC93" s="155" t="n">
        <v>5</v>
      </c>
      <c r="DD93" s="35" t="n"/>
      <c r="DE93" s="51" t="n">
        <v>100</v>
      </c>
      <c r="DF93" s="47" t="n">
        <v>32</v>
      </c>
      <c r="DG93" s="380" t="n">
        <v>32</v>
      </c>
      <c r="DH93" s="35" t="n"/>
      <c r="DI93" s="379">
        <f>BM93+BQ93+BU93+BY93+CC93+CG93+CK93+CO93+CS93+CW93+DA93+DE93</f>
        <v/>
      </c>
      <c r="DJ93" s="379">
        <f>DI93*$I93</f>
        <v/>
      </c>
      <c r="DK93" s="82" t="n">
        <v>0</v>
      </c>
      <c r="DL93" s="35" t="n">
        <v>32</v>
      </c>
      <c r="DM93" s="44" t="n">
        <v>0</v>
      </c>
      <c r="DN93" s="35" t="n"/>
      <c r="DO93" s="82" t="n">
        <v>40</v>
      </c>
      <c r="DP93" s="35" t="n">
        <v>50</v>
      </c>
      <c r="DQ93" s="44" t="n">
        <v>0</v>
      </c>
      <c r="DR93" s="35" t="n"/>
      <c r="DS93" s="82" t="n">
        <v>40</v>
      </c>
      <c r="DT93" s="47" t="n">
        <v>0</v>
      </c>
      <c r="DU93" s="44" t="n">
        <v>0</v>
      </c>
      <c r="DV93" s="35" t="n"/>
      <c r="DW93" s="82" t="n">
        <v>40</v>
      </c>
      <c r="DX93" s="47" t="n">
        <v>0</v>
      </c>
      <c r="DY93" s="44" t="n">
        <v>0</v>
      </c>
      <c r="DZ93" s="36" t="n"/>
      <c r="EA93" s="82" t="n">
        <v>80</v>
      </c>
      <c r="EB93" s="307" t="n">
        <v>0</v>
      </c>
      <c r="EC93" s="44" t="n">
        <v>0</v>
      </c>
      <c r="ED93" s="36" t="n"/>
      <c r="EE93" s="82" t="n">
        <v>80</v>
      </c>
      <c r="EF93" s="281" t="n">
        <v>0</v>
      </c>
      <c r="EG93" s="44" t="n">
        <v>0</v>
      </c>
      <c r="EH93" s="35" t="n"/>
      <c r="EI93" s="82" t="n">
        <v>80</v>
      </c>
      <c r="EJ93" s="281" t="n">
        <v>0</v>
      </c>
      <c r="EK93" s="44" t="n">
        <v>0</v>
      </c>
      <c r="EL93" s="35" t="n"/>
      <c r="EM93" s="82" t="n">
        <v>80</v>
      </c>
      <c r="EN93" s="281" t="n">
        <v>0</v>
      </c>
      <c r="EO93" s="44" t="n">
        <v>0</v>
      </c>
      <c r="EP93" s="35" t="n"/>
      <c r="EQ93" s="82" t="n">
        <v>80</v>
      </c>
      <c r="ER93" s="281" t="n">
        <v>0</v>
      </c>
      <c r="ES93" s="44" t="n">
        <v>0</v>
      </c>
      <c r="ET93" s="35" t="n"/>
      <c r="EU93" s="82" t="n">
        <v>80</v>
      </c>
      <c r="EV93" s="281" t="n">
        <v>0</v>
      </c>
      <c r="EW93" s="44" t="n">
        <v>0</v>
      </c>
      <c r="EX93" s="35" t="n"/>
      <c r="EY93" s="82" t="n">
        <v>80</v>
      </c>
      <c r="EZ93" s="281" t="n">
        <v>0</v>
      </c>
      <c r="FA93" s="288" t="n">
        <v>0</v>
      </c>
      <c r="FB93" s="35" t="n"/>
      <c r="FC93" s="82" t="n">
        <v>80</v>
      </c>
      <c r="FD93" s="281" t="n">
        <v>0</v>
      </c>
      <c r="FE93" s="380" t="n">
        <v>0</v>
      </c>
      <c r="FF93" s="35" t="n"/>
      <c r="FG93" s="379">
        <f>DK93+DO93+DS93+DW93+EA93+EE93+EI93+EM93+EQ93+EU93+EY93+FC93</f>
        <v/>
      </c>
      <c r="FH93" s="379">
        <f>FG93*$I93</f>
        <v/>
      </c>
      <c r="FI93" s="47" t="n">
        <v>80</v>
      </c>
      <c r="FJ93" s="47" t="n"/>
      <c r="FK93" s="44" t="n">
        <v>0</v>
      </c>
      <c r="FL93" s="35" t="n"/>
      <c r="FM93" s="47" t="n">
        <v>80</v>
      </c>
      <c r="FN93" s="47" t="n"/>
      <c r="FO93" s="44" t="n">
        <v>0</v>
      </c>
      <c r="FP93" s="35" t="n"/>
      <c r="FQ93" s="47" t="n">
        <v>80</v>
      </c>
      <c r="FR93" s="47" t="n"/>
      <c r="FS93" s="44" t="n">
        <v>0</v>
      </c>
      <c r="FT93" s="36" t="n"/>
      <c r="FU93" s="47" t="n">
        <v>80</v>
      </c>
      <c r="FV93" s="47" t="n"/>
      <c r="FW93" s="44" t="n">
        <v>0</v>
      </c>
      <c r="FX93" s="36" t="n"/>
      <c r="FY93" s="47" t="n">
        <v>80</v>
      </c>
      <c r="FZ93" s="47" t="n"/>
      <c r="GA93" s="44" t="n">
        <v>0</v>
      </c>
      <c r="GB93" s="36" t="n"/>
      <c r="GC93" s="47" t="n">
        <v>80</v>
      </c>
      <c r="GD93" s="47" t="n"/>
      <c r="GE93" s="44" t="n">
        <v>0</v>
      </c>
      <c r="GF93" s="35" t="n"/>
      <c r="GG93" s="47" t="n">
        <v>80</v>
      </c>
      <c r="GH93" s="47" t="n"/>
      <c r="GI93" s="44" t="n">
        <v>0</v>
      </c>
      <c r="GJ93" s="35" t="n"/>
      <c r="GK93" s="47" t="n">
        <v>80</v>
      </c>
      <c r="GL93" s="47" t="n"/>
      <c r="GM93" s="44" t="n">
        <v>0</v>
      </c>
      <c r="GN93" s="35" t="n"/>
      <c r="GO93" s="47" t="n">
        <v>80</v>
      </c>
      <c r="GP93" s="47" t="n"/>
      <c r="GQ93" s="44" t="n">
        <v>0</v>
      </c>
      <c r="GR93" s="35" t="n"/>
      <c r="GS93" s="47" t="n">
        <v>80</v>
      </c>
      <c r="GT93" s="47" t="n"/>
      <c r="GU93" s="44" t="n">
        <v>0</v>
      </c>
      <c r="GV93" s="35" t="n"/>
      <c r="GW93" s="47" t="n">
        <v>80</v>
      </c>
      <c r="GX93" s="47" t="n"/>
      <c r="GY93" s="49" t="n">
        <v>0</v>
      </c>
      <c r="GZ93" s="35" t="n"/>
      <c r="HA93" s="47" t="n">
        <v>80</v>
      </c>
      <c r="HB93" s="47" t="n"/>
      <c r="HC93" s="380" t="n">
        <v>0</v>
      </c>
      <c r="HD93" s="35" t="n"/>
      <c r="HE93" s="379">
        <f>FI93+FM93+FQ93+FU93+FY93+GC93+GG93+GK93+GO93+GS93+GW93+HA93</f>
        <v/>
      </c>
      <c r="HF93" s="379">
        <f>HE93*$I93</f>
        <v/>
      </c>
      <c r="HG93" s="47" t="n">
        <v>80</v>
      </c>
      <c r="HH93" s="47" t="n"/>
      <c r="HI93" s="44" t="n">
        <v>0</v>
      </c>
      <c r="HJ93" s="35" t="n"/>
      <c r="HK93" s="47" t="n">
        <v>80</v>
      </c>
      <c r="HL93" s="47" t="n"/>
      <c r="HM93" s="44" t="n">
        <v>0</v>
      </c>
      <c r="HN93" s="35" t="n"/>
      <c r="HO93" s="47" t="n">
        <v>80</v>
      </c>
      <c r="HP93" s="47" t="n"/>
      <c r="HQ93" s="44" t="n">
        <v>0</v>
      </c>
      <c r="HR93" s="36" t="n"/>
      <c r="HS93" s="47" t="n">
        <v>80</v>
      </c>
      <c r="HT93" s="47" t="n"/>
      <c r="HU93" s="44" t="n">
        <v>0</v>
      </c>
      <c r="HV93" s="36" t="n"/>
      <c r="HW93" s="47" t="n">
        <v>80</v>
      </c>
      <c r="HX93" s="47" t="n"/>
      <c r="HY93" s="44" t="n">
        <v>0</v>
      </c>
      <c r="HZ93" s="36" t="n"/>
      <c r="IA93" s="47" t="n">
        <v>80</v>
      </c>
      <c r="IB93" s="47" t="n"/>
      <c r="IC93" s="44" t="n">
        <v>0</v>
      </c>
      <c r="ID93" s="35" t="n"/>
      <c r="IE93" s="47" t="n">
        <v>80</v>
      </c>
      <c r="IF93" s="47" t="n"/>
      <c r="IG93" s="44" t="n">
        <v>0</v>
      </c>
      <c r="IH93" s="35" t="n"/>
      <c r="II93" s="47" t="n">
        <v>80</v>
      </c>
      <c r="IJ93" s="47" t="n"/>
      <c r="IK93" s="44" t="n">
        <v>0</v>
      </c>
      <c r="IL93" s="35" t="n"/>
      <c r="IM93" s="47" t="n">
        <v>80</v>
      </c>
      <c r="IN93" s="47" t="n"/>
      <c r="IO93" s="44" t="n">
        <v>0</v>
      </c>
      <c r="IP93" s="35" t="n"/>
      <c r="IQ93" s="47" t="n">
        <v>80</v>
      </c>
      <c r="IR93" s="47" t="n"/>
      <c r="IS93" s="44" t="n">
        <v>0</v>
      </c>
      <c r="IT93" s="35" t="n"/>
      <c r="IU93" s="47" t="n">
        <v>80</v>
      </c>
      <c r="IV93" s="47" t="n"/>
      <c r="IW93" s="49" t="n">
        <v>0</v>
      </c>
      <c r="IX93" s="35" t="n"/>
      <c r="IY93" s="47" t="n">
        <v>80</v>
      </c>
      <c r="IZ93" s="47" t="n"/>
      <c r="JA93" s="380" t="n">
        <v>0</v>
      </c>
      <c r="JB93" s="35" t="n"/>
      <c r="JC93" s="381">
        <f>HG93+HK93+HO93+HS93+HW93+IA93+IE93+II93+IM93+IQ93+IU93+IY93</f>
        <v/>
      </c>
      <c r="JD93" s="381">
        <f>JC93*$I93</f>
        <v/>
      </c>
    </row>
    <row r="94">
      <c r="A94" s="382" t="n"/>
      <c r="B94" s="382" t="n"/>
      <c r="C94" s="382" t="n"/>
      <c r="D94" s="382" t="n"/>
      <c r="E94" s="25" t="n">
        <v>10</v>
      </c>
      <c r="F94" s="25" t="n">
        <v>1</v>
      </c>
      <c r="G94" s="26" t="n">
        <v>4334010030</v>
      </c>
      <c r="H94" s="27" t="inlineStr">
        <is>
          <t>Гибкий элемент для крана уровня пола</t>
        </is>
      </c>
      <c r="I94" s="28" t="n">
        <v>30.23</v>
      </c>
      <c r="J94" s="29" t="n">
        <v>30.23</v>
      </c>
      <c r="K94" s="297" t="n">
        <v>41.21</v>
      </c>
      <c r="L94" s="297" t="n">
        <v>41.21</v>
      </c>
      <c r="M94" s="29" t="n"/>
      <c r="N94" s="29" t="n"/>
      <c r="O94" s="30" t="n">
        <v>0</v>
      </c>
      <c r="P94" s="31" t="n">
        <v>0</v>
      </c>
      <c r="Q94" s="32" t="n">
        <v>0</v>
      </c>
      <c r="R94" s="31" t="n"/>
      <c r="S94" s="30" t="n">
        <v>0</v>
      </c>
      <c r="T94" s="31" t="n">
        <v>0</v>
      </c>
      <c r="U94" s="32" t="n">
        <v>0</v>
      </c>
      <c r="V94" s="31" t="n"/>
      <c r="W94" s="30" t="n">
        <v>0</v>
      </c>
      <c r="X94" s="31" t="n">
        <v>0</v>
      </c>
      <c r="Y94" s="32" t="n">
        <v>0</v>
      </c>
      <c r="Z94" s="34" t="n"/>
      <c r="AA94" s="30" t="n">
        <v>0</v>
      </c>
      <c r="AB94" s="31" t="n">
        <v>0</v>
      </c>
      <c r="AC94" s="32" t="n">
        <v>0</v>
      </c>
      <c r="AD94" s="36" t="n"/>
      <c r="AE94" s="30" t="n">
        <v>0</v>
      </c>
      <c r="AF94" s="31" t="n">
        <v>0</v>
      </c>
      <c r="AG94" s="32" t="n">
        <v>0</v>
      </c>
      <c r="AH94" s="36" t="n"/>
      <c r="AI94" s="30" t="n">
        <v>0</v>
      </c>
      <c r="AJ94" s="31" t="n">
        <v>0</v>
      </c>
      <c r="AK94" s="32" t="n">
        <v>0</v>
      </c>
      <c r="AL94" s="31" t="n"/>
      <c r="AM94" s="30" t="n">
        <v>0</v>
      </c>
      <c r="AN94" s="31" t="n">
        <v>0</v>
      </c>
      <c r="AO94" s="32" t="n">
        <v>0</v>
      </c>
      <c r="AP94" s="31" t="n"/>
      <c r="AQ94" s="30" t="n">
        <v>0</v>
      </c>
      <c r="AR94" s="31" t="n">
        <v>0</v>
      </c>
      <c r="AS94" s="32" t="n">
        <v>0</v>
      </c>
      <c r="AT94" s="31" t="n"/>
      <c r="AU94" s="30" t="n">
        <v>0</v>
      </c>
      <c r="AV94" s="37" t="n">
        <v>0</v>
      </c>
      <c r="AW94" s="32" t="n">
        <v>0</v>
      </c>
      <c r="AX94" s="31" t="n"/>
      <c r="AY94" s="30" t="n">
        <v>0</v>
      </c>
      <c r="AZ94" s="38" t="n">
        <v>0</v>
      </c>
      <c r="BA94" s="32" t="n">
        <v>0</v>
      </c>
      <c r="BB94" s="34" t="n"/>
      <c r="BC94" s="30" t="n">
        <v>0</v>
      </c>
      <c r="BD94" s="39" t="n">
        <v>40</v>
      </c>
      <c r="BE94" s="40" t="n">
        <v>40</v>
      </c>
      <c r="BF94" s="34" t="n"/>
      <c r="BG94" s="62" t="n">
        <v>0</v>
      </c>
      <c r="BH94" s="39" t="n">
        <v>40</v>
      </c>
      <c r="BI94" s="385" t="n">
        <v>50</v>
      </c>
      <c r="BJ94" s="34" t="n"/>
      <c r="BK94" s="381">
        <f>O94+S94+W94+AA94+AE94+AI94+AM94+AQ94+AU94+AY94+BC94+BG94</f>
        <v/>
      </c>
      <c r="BL94" s="381">
        <f>BK94*$I94</f>
        <v/>
      </c>
      <c r="BM94" s="41" t="n">
        <v>0</v>
      </c>
      <c r="BN94" s="47" t="n">
        <v>40</v>
      </c>
      <c r="BO94" s="32" t="n">
        <v>0</v>
      </c>
      <c r="BP94" s="31" t="n"/>
      <c r="BQ94" s="45" t="n">
        <v>40</v>
      </c>
      <c r="BR94" s="47" t="n">
        <v>0</v>
      </c>
      <c r="BS94" s="32" t="n">
        <v>0</v>
      </c>
      <c r="BT94" s="31" t="n"/>
      <c r="BU94" s="45" t="n">
        <v>40</v>
      </c>
      <c r="BV94" s="47" t="n">
        <v>40</v>
      </c>
      <c r="BW94" s="32" t="n">
        <v>0</v>
      </c>
      <c r="BX94" s="34" t="n"/>
      <c r="BY94" s="45" t="n">
        <v>40</v>
      </c>
      <c r="BZ94" s="47" t="n">
        <v>0</v>
      </c>
      <c r="CA94" s="32" t="n">
        <v>0</v>
      </c>
      <c r="CB94" s="36" t="n"/>
      <c r="CC94" s="45" t="n">
        <v>40</v>
      </c>
      <c r="CD94" s="47" t="n">
        <v>40</v>
      </c>
      <c r="CE94" s="44" t="n">
        <v>0</v>
      </c>
      <c r="CF94" s="36" t="n"/>
      <c r="CG94" s="45" t="n">
        <v>40</v>
      </c>
      <c r="CH94" s="175" t="n">
        <v>0</v>
      </c>
      <c r="CI94" s="44" t="n">
        <v>50</v>
      </c>
      <c r="CJ94" s="35" t="n"/>
      <c r="CK94" s="45" t="n">
        <v>40</v>
      </c>
      <c r="CL94" s="47" t="n">
        <v>40</v>
      </c>
      <c r="CM94" s="44" t="n">
        <v>0</v>
      </c>
      <c r="CN94" s="35" t="n"/>
      <c r="CO94" s="45" t="n">
        <v>40</v>
      </c>
      <c r="CP94" s="47" t="n">
        <v>40</v>
      </c>
      <c r="CQ94" s="56" t="n">
        <v>50</v>
      </c>
      <c r="CR94" s="35" t="n"/>
      <c r="CS94" s="45" t="n">
        <v>0</v>
      </c>
      <c r="CT94" s="47" t="n">
        <v>0</v>
      </c>
      <c r="CU94" s="44" t="n">
        <v>0</v>
      </c>
      <c r="CV94" s="35" t="n"/>
      <c r="CW94" s="51" t="n">
        <v>0</v>
      </c>
      <c r="CX94" s="47" t="n">
        <v>0</v>
      </c>
      <c r="CY94" s="44" t="n">
        <v>0</v>
      </c>
      <c r="CZ94" s="35" t="n"/>
      <c r="DA94" s="51" t="n">
        <v>28</v>
      </c>
      <c r="DB94" s="47" t="n">
        <v>28</v>
      </c>
      <c r="DC94" s="155" t="n">
        <v>5</v>
      </c>
      <c r="DD94" s="35" t="n"/>
      <c r="DE94" s="51" t="n">
        <v>100</v>
      </c>
      <c r="DF94" s="47" t="n">
        <v>32</v>
      </c>
      <c r="DG94" s="380" t="n">
        <v>32</v>
      </c>
      <c r="DH94" s="35" t="n"/>
      <c r="DI94" s="379">
        <f>BM94+BQ94+BU94+BY94+CC94+CG94+CK94+CO94+CS94+CW94+DA94+DE94</f>
        <v/>
      </c>
      <c r="DJ94" s="379">
        <f>DI94*$I94</f>
        <v/>
      </c>
      <c r="DK94" s="82" t="n">
        <v>0</v>
      </c>
      <c r="DL94" s="35" t="n">
        <v>32</v>
      </c>
      <c r="DM94" s="44" t="n">
        <v>0</v>
      </c>
      <c r="DN94" s="35" t="n"/>
      <c r="DO94" s="82" t="n">
        <v>40</v>
      </c>
      <c r="DP94" s="35" t="n">
        <v>50</v>
      </c>
      <c r="DQ94" s="44" t="n">
        <v>0</v>
      </c>
      <c r="DR94" s="35" t="n"/>
      <c r="DS94" s="82" t="n">
        <v>40</v>
      </c>
      <c r="DT94" s="305" t="n">
        <v>0</v>
      </c>
      <c r="DU94" s="44" t="n">
        <v>0</v>
      </c>
      <c r="DV94" s="35" t="n"/>
      <c r="DW94" s="82" t="n">
        <v>40</v>
      </c>
      <c r="DX94" s="305" t="n">
        <v>0</v>
      </c>
      <c r="DY94" s="44" t="n">
        <v>0</v>
      </c>
      <c r="DZ94" s="36" t="n"/>
      <c r="EA94" s="82" t="n">
        <v>80</v>
      </c>
      <c r="EB94" s="307" t="n">
        <v>0</v>
      </c>
      <c r="EC94" s="44" t="n">
        <v>0</v>
      </c>
      <c r="ED94" s="36" t="n"/>
      <c r="EE94" s="82" t="n">
        <v>80</v>
      </c>
      <c r="EF94" s="281" t="n">
        <v>0</v>
      </c>
      <c r="EG94" s="44" t="n">
        <v>0</v>
      </c>
      <c r="EH94" s="35" t="n"/>
      <c r="EI94" s="82" t="n">
        <v>80</v>
      </c>
      <c r="EJ94" s="281" t="n">
        <v>0</v>
      </c>
      <c r="EK94" s="44" t="n">
        <v>0</v>
      </c>
      <c r="EL94" s="35" t="n"/>
      <c r="EM94" s="82" t="n">
        <v>80</v>
      </c>
      <c r="EN94" s="281" t="n">
        <v>0</v>
      </c>
      <c r="EO94" s="44" t="n">
        <v>0</v>
      </c>
      <c r="EP94" s="35" t="n"/>
      <c r="EQ94" s="82" t="n">
        <v>80</v>
      </c>
      <c r="ER94" s="281" t="n">
        <v>0</v>
      </c>
      <c r="ES94" s="44" t="n">
        <v>0</v>
      </c>
      <c r="ET94" s="35" t="n"/>
      <c r="EU94" s="82" t="n">
        <v>80</v>
      </c>
      <c r="EV94" s="281" t="n">
        <v>0</v>
      </c>
      <c r="EW94" s="44" t="n">
        <v>0</v>
      </c>
      <c r="EX94" s="35" t="n"/>
      <c r="EY94" s="82" t="n">
        <v>80</v>
      </c>
      <c r="EZ94" s="281" t="n">
        <v>0</v>
      </c>
      <c r="FA94" s="288" t="n">
        <v>0</v>
      </c>
      <c r="FB94" s="35" t="n"/>
      <c r="FC94" s="82" t="n">
        <v>80</v>
      </c>
      <c r="FD94" s="281" t="n">
        <v>0</v>
      </c>
      <c r="FE94" s="380" t="n">
        <v>0</v>
      </c>
      <c r="FF94" s="35" t="n"/>
      <c r="FG94" s="379">
        <f>DK94+DO94+DS94+DW94+EA94+EE94+EI94+EM94+EQ94+EU94+EY94+FC94</f>
        <v/>
      </c>
      <c r="FH94" s="379">
        <f>FG94*$I94</f>
        <v/>
      </c>
      <c r="FI94" s="47" t="n">
        <v>80</v>
      </c>
      <c r="FJ94" s="47" t="n"/>
      <c r="FK94" s="44" t="n">
        <v>0</v>
      </c>
      <c r="FL94" s="35" t="n"/>
      <c r="FM94" s="47" t="n">
        <v>80</v>
      </c>
      <c r="FN94" s="47" t="n"/>
      <c r="FO94" s="44" t="n">
        <v>0</v>
      </c>
      <c r="FP94" s="35" t="n"/>
      <c r="FQ94" s="47" t="n">
        <v>80</v>
      </c>
      <c r="FR94" s="47" t="n"/>
      <c r="FS94" s="44" t="n">
        <v>0</v>
      </c>
      <c r="FT94" s="36" t="n"/>
      <c r="FU94" s="47" t="n">
        <v>80</v>
      </c>
      <c r="FV94" s="47" t="n"/>
      <c r="FW94" s="44" t="n">
        <v>0</v>
      </c>
      <c r="FX94" s="36" t="n"/>
      <c r="FY94" s="47" t="n">
        <v>80</v>
      </c>
      <c r="FZ94" s="47" t="n"/>
      <c r="GA94" s="44" t="n">
        <v>0</v>
      </c>
      <c r="GB94" s="36" t="n"/>
      <c r="GC94" s="47" t="n">
        <v>80</v>
      </c>
      <c r="GD94" s="47" t="n"/>
      <c r="GE94" s="44" t="n">
        <v>0</v>
      </c>
      <c r="GF94" s="35" t="n"/>
      <c r="GG94" s="47" t="n">
        <v>80</v>
      </c>
      <c r="GH94" s="47" t="n"/>
      <c r="GI94" s="44" t="n">
        <v>0</v>
      </c>
      <c r="GJ94" s="35" t="n"/>
      <c r="GK94" s="47" t="n">
        <v>80</v>
      </c>
      <c r="GL94" s="47" t="n"/>
      <c r="GM94" s="44" t="n">
        <v>0</v>
      </c>
      <c r="GN94" s="35" t="n"/>
      <c r="GO94" s="47" t="n">
        <v>80</v>
      </c>
      <c r="GP94" s="47" t="n"/>
      <c r="GQ94" s="44" t="n">
        <v>0</v>
      </c>
      <c r="GR94" s="35" t="n"/>
      <c r="GS94" s="47" t="n">
        <v>80</v>
      </c>
      <c r="GT94" s="47" t="n"/>
      <c r="GU94" s="44" t="n">
        <v>0</v>
      </c>
      <c r="GV94" s="35" t="n"/>
      <c r="GW94" s="47" t="n">
        <v>80</v>
      </c>
      <c r="GX94" s="47" t="n"/>
      <c r="GY94" s="49" t="n">
        <v>0</v>
      </c>
      <c r="GZ94" s="35" t="n"/>
      <c r="HA94" s="47" t="n">
        <v>80</v>
      </c>
      <c r="HB94" s="47" t="n"/>
      <c r="HC94" s="380" t="n">
        <v>0</v>
      </c>
      <c r="HD94" s="35" t="n"/>
      <c r="HE94" s="379">
        <f>FI94+FM94+FQ94+FU94+FY94+GC94+GG94+GK94+GO94+GS94+GW94+HA94</f>
        <v/>
      </c>
      <c r="HF94" s="379">
        <f>HE94*$I94</f>
        <v/>
      </c>
      <c r="HG94" s="47" t="n">
        <v>80</v>
      </c>
      <c r="HH94" s="47" t="n"/>
      <c r="HI94" s="44" t="n">
        <v>0</v>
      </c>
      <c r="HJ94" s="35" t="n"/>
      <c r="HK94" s="47" t="n">
        <v>80</v>
      </c>
      <c r="HL94" s="47" t="n"/>
      <c r="HM94" s="44" t="n">
        <v>0</v>
      </c>
      <c r="HN94" s="35" t="n"/>
      <c r="HO94" s="47" t="n">
        <v>80</v>
      </c>
      <c r="HP94" s="47" t="n"/>
      <c r="HQ94" s="44" t="n">
        <v>0</v>
      </c>
      <c r="HR94" s="36" t="n"/>
      <c r="HS94" s="47" t="n">
        <v>80</v>
      </c>
      <c r="HT94" s="47" t="n"/>
      <c r="HU94" s="44" t="n">
        <v>0</v>
      </c>
      <c r="HV94" s="36" t="n"/>
      <c r="HW94" s="47" t="n">
        <v>80</v>
      </c>
      <c r="HX94" s="47" t="n"/>
      <c r="HY94" s="44" t="n">
        <v>0</v>
      </c>
      <c r="HZ94" s="36" t="n"/>
      <c r="IA94" s="47" t="n">
        <v>80</v>
      </c>
      <c r="IB94" s="47" t="n"/>
      <c r="IC94" s="44" t="n">
        <v>0</v>
      </c>
      <c r="ID94" s="35" t="n"/>
      <c r="IE94" s="47" t="n">
        <v>80</v>
      </c>
      <c r="IF94" s="47" t="n"/>
      <c r="IG94" s="44" t="n">
        <v>0</v>
      </c>
      <c r="IH94" s="35" t="n"/>
      <c r="II94" s="47" t="n">
        <v>80</v>
      </c>
      <c r="IJ94" s="47" t="n"/>
      <c r="IK94" s="44" t="n">
        <v>0</v>
      </c>
      <c r="IL94" s="35" t="n"/>
      <c r="IM94" s="47" t="n">
        <v>80</v>
      </c>
      <c r="IN94" s="47" t="n"/>
      <c r="IO94" s="44" t="n">
        <v>0</v>
      </c>
      <c r="IP94" s="35" t="n"/>
      <c r="IQ94" s="47" t="n">
        <v>80</v>
      </c>
      <c r="IR94" s="47" t="n"/>
      <c r="IS94" s="44" t="n">
        <v>0</v>
      </c>
      <c r="IT94" s="35" t="n"/>
      <c r="IU94" s="47" t="n">
        <v>80</v>
      </c>
      <c r="IV94" s="47" t="n"/>
      <c r="IW94" s="49" t="n">
        <v>0</v>
      </c>
      <c r="IX94" s="35" t="n"/>
      <c r="IY94" s="47" t="n">
        <v>80</v>
      </c>
      <c r="IZ94" s="47" t="n"/>
      <c r="JA94" s="380" t="n">
        <v>0</v>
      </c>
      <c r="JB94" s="35" t="n"/>
      <c r="JC94" s="381">
        <f>HG94+HK94+HO94+HS94+HW94+IA94+IE94+II94+IM94+IQ94+IU94+IY94</f>
        <v/>
      </c>
      <c r="JD94" s="381">
        <f>JC94*$I94</f>
        <v/>
      </c>
    </row>
    <row r="95">
      <c r="A95" s="382" t="n"/>
      <c r="B95" s="382" t="n"/>
      <c r="C95" s="382" t="n"/>
      <c r="D95" s="382" t="n"/>
      <c r="E95" s="25" t="n">
        <v>11</v>
      </c>
      <c r="F95" s="25" t="n">
        <v>1</v>
      </c>
      <c r="G95" s="26" t="n">
        <v>4640061000</v>
      </c>
      <c r="H95" s="27" t="inlineStr">
        <is>
          <t>Кран уровня пола без фитингов</t>
        </is>
      </c>
      <c r="I95" s="28" t="n">
        <v>260.17</v>
      </c>
      <c r="J95" s="29" t="n">
        <v>260.17</v>
      </c>
      <c r="K95" s="297" t="n">
        <v>300</v>
      </c>
      <c r="L95" s="297" t="n">
        <v>300</v>
      </c>
      <c r="M95" s="29" t="n"/>
      <c r="N95" s="29" t="n"/>
      <c r="O95" s="30" t="n">
        <v>0</v>
      </c>
      <c r="P95" s="31" t="n">
        <v>0</v>
      </c>
      <c r="Q95" s="32" t="n">
        <v>0</v>
      </c>
      <c r="R95" s="60" t="n"/>
      <c r="S95" s="30" t="n">
        <v>0</v>
      </c>
      <c r="T95" s="31" t="n">
        <v>0</v>
      </c>
      <c r="U95" s="32" t="n">
        <v>0</v>
      </c>
      <c r="V95" s="31" t="n"/>
      <c r="W95" s="30" t="n">
        <v>0</v>
      </c>
      <c r="X95" s="31" t="n">
        <v>0</v>
      </c>
      <c r="Y95" s="32" t="n">
        <v>0</v>
      </c>
      <c r="Z95" s="34" t="n"/>
      <c r="AA95" s="30" t="n">
        <v>0</v>
      </c>
      <c r="AB95" s="31" t="n">
        <v>0</v>
      </c>
      <c r="AC95" s="32" t="n">
        <v>0</v>
      </c>
      <c r="AD95" s="36" t="n"/>
      <c r="AE95" s="30" t="n">
        <v>0</v>
      </c>
      <c r="AF95" s="31" t="n">
        <v>0</v>
      </c>
      <c r="AG95" s="32" t="n">
        <v>0</v>
      </c>
      <c r="AH95" s="36" t="n"/>
      <c r="AI95" s="30" t="n">
        <v>0</v>
      </c>
      <c r="AJ95" s="31" t="n">
        <v>0</v>
      </c>
      <c r="AK95" s="32" t="n">
        <v>0</v>
      </c>
      <c r="AL95" s="31" t="n"/>
      <c r="AM95" s="30" t="n">
        <v>0</v>
      </c>
      <c r="AN95" s="31" t="n">
        <v>0</v>
      </c>
      <c r="AO95" s="32" t="n">
        <v>0</v>
      </c>
      <c r="AP95" s="31" t="n"/>
      <c r="AQ95" s="30" t="n">
        <v>0</v>
      </c>
      <c r="AR95" s="31" t="n">
        <v>0</v>
      </c>
      <c r="AS95" s="32" t="n">
        <v>0</v>
      </c>
      <c r="AT95" s="31" t="n"/>
      <c r="AU95" s="30" t="n">
        <v>0</v>
      </c>
      <c r="AV95" s="37" t="n">
        <v>0</v>
      </c>
      <c r="AW95" s="32" t="n">
        <v>0</v>
      </c>
      <c r="AX95" s="31" t="n"/>
      <c r="AY95" s="30" t="n">
        <v>0</v>
      </c>
      <c r="AZ95" s="38" t="n">
        <v>0</v>
      </c>
      <c r="BA95" s="32" t="n">
        <v>0</v>
      </c>
      <c r="BB95" s="34" t="n"/>
      <c r="BC95" s="30" t="n">
        <v>0</v>
      </c>
      <c r="BD95" s="39" t="n">
        <v>40</v>
      </c>
      <c r="BE95" s="241" t="n">
        <v>40</v>
      </c>
      <c r="BF95" s="34" t="n"/>
      <c r="BG95" s="41" t="n">
        <v>0</v>
      </c>
      <c r="BH95" s="39" t="n">
        <v>40</v>
      </c>
      <c r="BI95" s="385" t="n">
        <v>50</v>
      </c>
      <c r="BJ95" s="34" t="n"/>
      <c r="BK95" s="381">
        <f>O95+S95+W95+AA95+AE95+AI95+AM95+AQ95+AU95+AY95+BC95+BG95</f>
        <v/>
      </c>
      <c r="BL95" s="381">
        <f>BK95*$I95</f>
        <v/>
      </c>
      <c r="BM95" s="41" t="n">
        <v>0</v>
      </c>
      <c r="BN95" s="47" t="n">
        <v>40</v>
      </c>
      <c r="BO95" s="32" t="n">
        <v>0</v>
      </c>
      <c r="BP95" s="60" t="n"/>
      <c r="BQ95" s="45" t="n">
        <v>40</v>
      </c>
      <c r="BR95" s="47" t="n">
        <v>0</v>
      </c>
      <c r="BS95" s="32" t="n">
        <v>0</v>
      </c>
      <c r="BT95" s="31" t="n"/>
      <c r="BU95" s="45" t="n">
        <v>40</v>
      </c>
      <c r="BV95" s="47" t="n">
        <v>40</v>
      </c>
      <c r="BW95" s="32" t="n">
        <v>0</v>
      </c>
      <c r="BX95" s="34" t="n"/>
      <c r="BY95" s="45" t="n">
        <v>40</v>
      </c>
      <c r="BZ95" s="47" t="n">
        <v>0</v>
      </c>
      <c r="CA95" s="32" t="n">
        <v>0</v>
      </c>
      <c r="CB95" s="36" t="n"/>
      <c r="CC95" s="45" t="n">
        <v>40</v>
      </c>
      <c r="CD95" s="47" t="n">
        <v>40</v>
      </c>
      <c r="CE95" s="44" t="n">
        <v>0</v>
      </c>
      <c r="CF95" s="36" t="n"/>
      <c r="CG95" s="45" t="n">
        <v>40</v>
      </c>
      <c r="CH95" s="242" t="n">
        <v>0</v>
      </c>
      <c r="CI95" s="44" t="n">
        <v>50</v>
      </c>
      <c r="CJ95" s="35" t="n"/>
      <c r="CK95" s="45" t="n">
        <v>40</v>
      </c>
      <c r="CL95" s="47" t="n">
        <v>40</v>
      </c>
      <c r="CM95" s="44" t="n">
        <v>0</v>
      </c>
      <c r="CN95" s="35" t="n"/>
      <c r="CO95" s="45" t="n">
        <v>40</v>
      </c>
      <c r="CP95" s="47" t="n">
        <v>40</v>
      </c>
      <c r="CQ95" s="44" t="n">
        <v>50</v>
      </c>
      <c r="CR95" s="35" t="n"/>
      <c r="CS95" s="45" t="n">
        <v>0</v>
      </c>
      <c r="CT95" s="47" t="n">
        <v>0</v>
      </c>
      <c r="CU95" s="44" t="n">
        <v>0</v>
      </c>
      <c r="CV95" s="35" t="n"/>
      <c r="CW95" s="51" t="n">
        <v>0</v>
      </c>
      <c r="CX95" s="47" t="n">
        <v>0</v>
      </c>
      <c r="CY95" s="44" t="n">
        <v>0</v>
      </c>
      <c r="CZ95" s="35" t="n"/>
      <c r="DA95" s="51" t="n">
        <v>28</v>
      </c>
      <c r="DB95" s="47" t="n">
        <v>28</v>
      </c>
      <c r="DC95" s="155" t="n">
        <v>0</v>
      </c>
      <c r="DD95" s="35" t="n"/>
      <c r="DE95" s="51" t="n">
        <v>100</v>
      </c>
      <c r="DF95" s="47" t="n">
        <v>32</v>
      </c>
      <c r="DG95" s="380" t="n">
        <v>0</v>
      </c>
      <c r="DH95" s="35" t="n"/>
      <c r="DI95" s="379">
        <f>BM95+BQ95+BU95+BY95+CC95+CG95+CK95+CO95+CS95+CW95+DA95+DE95</f>
        <v/>
      </c>
      <c r="DJ95" s="379">
        <f>DI95*$I95</f>
        <v/>
      </c>
      <c r="DK95" s="82" t="n">
        <v>0</v>
      </c>
      <c r="DL95" s="35" t="n">
        <v>32</v>
      </c>
      <c r="DM95" s="44" t="n">
        <v>0</v>
      </c>
      <c r="DN95" s="35" t="n"/>
      <c r="DO95" s="82" t="n">
        <v>40</v>
      </c>
      <c r="DP95" s="35" t="n">
        <v>50</v>
      </c>
      <c r="DQ95" s="44" t="n">
        <v>0</v>
      </c>
      <c r="DR95" s="35" t="n"/>
      <c r="DS95" s="82" t="n">
        <v>40</v>
      </c>
      <c r="DT95" s="305" t="n">
        <v>0</v>
      </c>
      <c r="DU95" s="44" t="n">
        <v>0</v>
      </c>
      <c r="DV95" s="35" t="n"/>
      <c r="DW95" s="82" t="n">
        <v>40</v>
      </c>
      <c r="DX95" s="305" t="n">
        <v>0</v>
      </c>
      <c r="DY95" s="44" t="n">
        <v>0</v>
      </c>
      <c r="DZ95" s="36" t="n"/>
      <c r="EA95" s="82" t="n">
        <v>80</v>
      </c>
      <c r="EB95" s="307" t="n">
        <v>0</v>
      </c>
      <c r="EC95" s="44" t="n">
        <v>0</v>
      </c>
      <c r="ED95" s="36" t="n"/>
      <c r="EE95" s="82" t="n">
        <v>80</v>
      </c>
      <c r="EF95" s="281" t="n">
        <v>0</v>
      </c>
      <c r="EG95" s="44" t="n">
        <v>0</v>
      </c>
      <c r="EH95" s="35" t="n"/>
      <c r="EI95" s="82" t="n">
        <v>80</v>
      </c>
      <c r="EJ95" s="281" t="n">
        <v>0</v>
      </c>
      <c r="EK95" s="44" t="n">
        <v>0</v>
      </c>
      <c r="EL95" s="35" t="n"/>
      <c r="EM95" s="82" t="n">
        <v>80</v>
      </c>
      <c r="EN95" s="281" t="n">
        <v>0</v>
      </c>
      <c r="EO95" s="44" t="n">
        <v>0</v>
      </c>
      <c r="EP95" s="35" t="n"/>
      <c r="EQ95" s="82" t="n">
        <v>80</v>
      </c>
      <c r="ER95" s="281" t="n">
        <v>0</v>
      </c>
      <c r="ES95" s="44" t="n">
        <v>0</v>
      </c>
      <c r="ET95" s="35" t="n"/>
      <c r="EU95" s="82" t="n">
        <v>80</v>
      </c>
      <c r="EV95" s="281" t="n">
        <v>0</v>
      </c>
      <c r="EW95" s="44" t="n">
        <v>0</v>
      </c>
      <c r="EX95" s="35" t="n"/>
      <c r="EY95" s="82" t="n">
        <v>80</v>
      </c>
      <c r="EZ95" s="281" t="n">
        <v>0</v>
      </c>
      <c r="FA95" s="288" t="n">
        <v>0</v>
      </c>
      <c r="FB95" s="35" t="n"/>
      <c r="FC95" s="82" t="n">
        <v>80</v>
      </c>
      <c r="FD95" s="281" t="n">
        <v>0</v>
      </c>
      <c r="FE95" s="380" t="n">
        <v>0</v>
      </c>
      <c r="FF95" s="35" t="n"/>
      <c r="FG95" s="379">
        <f>DK95+DO95+DS95+DW95+EA95+EE95+EI95+EM95+EQ95+EU95+EY95+FC95</f>
        <v/>
      </c>
      <c r="FH95" s="379">
        <f>FG95*$I95</f>
        <v/>
      </c>
      <c r="FI95" s="47" t="n">
        <v>80</v>
      </c>
      <c r="FJ95" s="47" t="n"/>
      <c r="FK95" s="44" t="n">
        <v>0</v>
      </c>
      <c r="FL95" s="61" t="n"/>
      <c r="FM95" s="47" t="n">
        <v>80</v>
      </c>
      <c r="FN95" s="47" t="n"/>
      <c r="FO95" s="44" t="n">
        <v>0</v>
      </c>
      <c r="FP95" s="35" t="n"/>
      <c r="FQ95" s="47" t="n">
        <v>80</v>
      </c>
      <c r="FR95" s="47" t="n"/>
      <c r="FS95" s="44" t="n">
        <v>0</v>
      </c>
      <c r="FT95" s="36" t="n"/>
      <c r="FU95" s="47" t="n">
        <v>80</v>
      </c>
      <c r="FV95" s="47" t="n"/>
      <c r="FW95" s="44" t="n">
        <v>0</v>
      </c>
      <c r="FX95" s="36" t="n"/>
      <c r="FY95" s="47" t="n">
        <v>80</v>
      </c>
      <c r="FZ95" s="47" t="n"/>
      <c r="GA95" s="44" t="n">
        <v>0</v>
      </c>
      <c r="GB95" s="36" t="n"/>
      <c r="GC95" s="47" t="n">
        <v>80</v>
      </c>
      <c r="GD95" s="47" t="n"/>
      <c r="GE95" s="44" t="n">
        <v>0</v>
      </c>
      <c r="GF95" s="35" t="n"/>
      <c r="GG95" s="47" t="n">
        <v>80</v>
      </c>
      <c r="GH95" s="47" t="n"/>
      <c r="GI95" s="44" t="n">
        <v>0</v>
      </c>
      <c r="GJ95" s="35" t="n"/>
      <c r="GK95" s="47" t="n">
        <v>80</v>
      </c>
      <c r="GL95" s="47" t="n"/>
      <c r="GM95" s="44" t="n">
        <v>0</v>
      </c>
      <c r="GN95" s="35" t="n"/>
      <c r="GO95" s="47" t="n">
        <v>80</v>
      </c>
      <c r="GP95" s="47" t="n"/>
      <c r="GQ95" s="44" t="n">
        <v>0</v>
      </c>
      <c r="GR95" s="35" t="n"/>
      <c r="GS95" s="47" t="n">
        <v>80</v>
      </c>
      <c r="GT95" s="47" t="n"/>
      <c r="GU95" s="44" t="n">
        <v>0</v>
      </c>
      <c r="GV95" s="35" t="n"/>
      <c r="GW95" s="47" t="n">
        <v>80</v>
      </c>
      <c r="GX95" s="47" t="n"/>
      <c r="GY95" s="49" t="n">
        <v>0</v>
      </c>
      <c r="GZ95" s="35" t="n"/>
      <c r="HA95" s="47" t="n">
        <v>80</v>
      </c>
      <c r="HB95" s="47" t="n"/>
      <c r="HC95" s="380" t="n">
        <v>0</v>
      </c>
      <c r="HD95" s="35" t="n"/>
      <c r="HE95" s="379">
        <f>FI95+FM95+FQ95+FU95+FY95+GC95+GG95+GK95+GO95+GS95+GW95+HA95</f>
        <v/>
      </c>
      <c r="HF95" s="379">
        <f>HE95*$I95</f>
        <v/>
      </c>
      <c r="HG95" s="47" t="n">
        <v>80</v>
      </c>
      <c r="HH95" s="47" t="n"/>
      <c r="HI95" s="44" t="n">
        <v>0</v>
      </c>
      <c r="HJ95" s="61" t="n"/>
      <c r="HK95" s="47" t="n">
        <v>80</v>
      </c>
      <c r="HL95" s="47" t="n"/>
      <c r="HM95" s="44" t="n">
        <v>0</v>
      </c>
      <c r="HN95" s="35" t="n"/>
      <c r="HO95" s="47" t="n">
        <v>80</v>
      </c>
      <c r="HP95" s="47" t="n"/>
      <c r="HQ95" s="44" t="n">
        <v>0</v>
      </c>
      <c r="HR95" s="36" t="n"/>
      <c r="HS95" s="47" t="n">
        <v>80</v>
      </c>
      <c r="HT95" s="47" t="n"/>
      <c r="HU95" s="44" t="n">
        <v>0</v>
      </c>
      <c r="HV95" s="36" t="n"/>
      <c r="HW95" s="47" t="n">
        <v>80</v>
      </c>
      <c r="HX95" s="47" t="n"/>
      <c r="HY95" s="44" t="n">
        <v>0</v>
      </c>
      <c r="HZ95" s="36" t="n"/>
      <c r="IA95" s="47" t="n">
        <v>80</v>
      </c>
      <c r="IB95" s="47" t="n"/>
      <c r="IC95" s="44" t="n">
        <v>0</v>
      </c>
      <c r="ID95" s="35" t="n"/>
      <c r="IE95" s="47" t="n">
        <v>80</v>
      </c>
      <c r="IF95" s="47" t="n"/>
      <c r="IG95" s="44" t="n">
        <v>0</v>
      </c>
      <c r="IH95" s="35" t="n"/>
      <c r="II95" s="47" t="n">
        <v>80</v>
      </c>
      <c r="IJ95" s="47" t="n"/>
      <c r="IK95" s="44" t="n">
        <v>0</v>
      </c>
      <c r="IL95" s="35" t="n"/>
      <c r="IM95" s="47" t="n">
        <v>80</v>
      </c>
      <c r="IN95" s="47" t="n"/>
      <c r="IO95" s="44" t="n">
        <v>0</v>
      </c>
      <c r="IP95" s="35" t="n"/>
      <c r="IQ95" s="47" t="n">
        <v>80</v>
      </c>
      <c r="IR95" s="47" t="n"/>
      <c r="IS95" s="44" t="n">
        <v>0</v>
      </c>
      <c r="IT95" s="35" t="n"/>
      <c r="IU95" s="47" t="n">
        <v>80</v>
      </c>
      <c r="IV95" s="47" t="n"/>
      <c r="IW95" s="49" t="n">
        <v>0</v>
      </c>
      <c r="IX95" s="35" t="n"/>
      <c r="IY95" s="47" t="n">
        <v>80</v>
      </c>
      <c r="IZ95" s="47" t="n"/>
      <c r="JA95" s="380" t="n">
        <v>0</v>
      </c>
      <c r="JB95" s="35" t="n"/>
      <c r="JC95" s="381">
        <f>HG95+HK95+HO95+HS95+HW95+IA95+IE95+II95+IM95+IQ95+IU95+IY95</f>
        <v/>
      </c>
      <c r="JD95" s="381">
        <f>JC95*$I95</f>
        <v/>
      </c>
    </row>
    <row r="96">
      <c r="A96" s="382" t="n"/>
      <c r="B96" s="382" t="n"/>
      <c r="C96" s="382" t="n"/>
      <c r="D96" s="382" t="n"/>
      <c r="E96" s="25" t="n">
        <v>12</v>
      </c>
      <c r="F96" s="25" t="n">
        <v>1</v>
      </c>
      <c r="G96" s="26" t="n">
        <v>4630840310</v>
      </c>
      <c r="H96" s="27" t="inlineStr">
        <is>
          <t>Клапан подъема оси</t>
        </is>
      </c>
      <c r="I96" s="28" t="n">
        <v>417.5</v>
      </c>
      <c r="J96" s="29" t="n">
        <v>417.5</v>
      </c>
      <c r="K96" s="297" t="n">
        <v>409</v>
      </c>
      <c r="L96" s="297" t="n">
        <v>409</v>
      </c>
      <c r="M96" s="29" t="n"/>
      <c r="N96" s="29" t="n"/>
      <c r="O96" s="30" t="n">
        <v>0</v>
      </c>
      <c r="P96" s="31" t="n">
        <v>0</v>
      </c>
      <c r="Q96" s="32" t="n">
        <v>0</v>
      </c>
      <c r="R96" s="31" t="n"/>
      <c r="S96" s="30" t="n">
        <v>0</v>
      </c>
      <c r="T96" s="31" t="n">
        <v>0</v>
      </c>
      <c r="U96" s="32" t="n">
        <v>0</v>
      </c>
      <c r="V96" s="31" t="n"/>
      <c r="W96" s="30" t="n">
        <v>0</v>
      </c>
      <c r="X96" s="31" t="n">
        <v>0</v>
      </c>
      <c r="Y96" s="32" t="n">
        <v>0</v>
      </c>
      <c r="Z96" s="34" t="n"/>
      <c r="AA96" s="30" t="n">
        <v>0</v>
      </c>
      <c r="AB96" s="31" t="n">
        <v>0</v>
      </c>
      <c r="AC96" s="32" t="n">
        <v>0</v>
      </c>
      <c r="AD96" s="36" t="n"/>
      <c r="AE96" s="30" t="n">
        <v>0</v>
      </c>
      <c r="AF96" s="31" t="n">
        <v>0</v>
      </c>
      <c r="AG96" s="32" t="n">
        <v>0</v>
      </c>
      <c r="AH96" s="36" t="n"/>
      <c r="AI96" s="30" t="n">
        <v>0</v>
      </c>
      <c r="AJ96" s="31" t="n">
        <v>0</v>
      </c>
      <c r="AK96" s="32" t="n">
        <v>0</v>
      </c>
      <c r="AL96" s="31" t="n"/>
      <c r="AM96" s="30" t="n">
        <v>0</v>
      </c>
      <c r="AN96" s="31" t="n">
        <v>0</v>
      </c>
      <c r="AO96" s="32" t="n">
        <v>0</v>
      </c>
      <c r="AP96" s="31" t="n"/>
      <c r="AQ96" s="30" t="n">
        <v>0</v>
      </c>
      <c r="AR96" s="31" t="n">
        <v>0</v>
      </c>
      <c r="AS96" s="32" t="n">
        <v>0</v>
      </c>
      <c r="AT96" s="31" t="n"/>
      <c r="AU96" s="30" t="n">
        <v>0</v>
      </c>
      <c r="AV96" s="37" t="n">
        <v>0</v>
      </c>
      <c r="AW96" s="32" t="n">
        <v>0</v>
      </c>
      <c r="AX96" s="31" t="n"/>
      <c r="AY96" s="30" t="n">
        <v>0</v>
      </c>
      <c r="AZ96" s="38" t="n">
        <v>0</v>
      </c>
      <c r="BA96" s="32" t="n">
        <v>0</v>
      </c>
      <c r="BB96" s="34" t="n"/>
      <c r="BC96" s="30" t="n">
        <v>0</v>
      </c>
      <c r="BD96" s="39" t="n">
        <v>80</v>
      </c>
      <c r="BE96" s="40" t="n">
        <v>80</v>
      </c>
      <c r="BF96" s="34" t="n"/>
      <c r="BG96" s="41" t="n">
        <v>0</v>
      </c>
      <c r="BH96" s="39" t="n">
        <v>80</v>
      </c>
      <c r="BI96" s="136" t="n">
        <v>0</v>
      </c>
      <c r="BJ96" s="34" t="n"/>
      <c r="BK96" s="381">
        <f>O96+S96+W96+AA96+AE96+AI96+AM96+AQ96+AU96+AY96+BC96+BG96</f>
        <v/>
      </c>
      <c r="BL96" s="381">
        <f>BK96*$I96</f>
        <v/>
      </c>
      <c r="BM96" s="41" t="n">
        <v>0</v>
      </c>
      <c r="BN96" s="47" t="n">
        <v>80</v>
      </c>
      <c r="BO96" s="32" t="n">
        <v>0</v>
      </c>
      <c r="BP96" s="31" t="n"/>
      <c r="BQ96" s="45" t="n">
        <v>80</v>
      </c>
      <c r="BR96" s="47" t="n">
        <v>0</v>
      </c>
      <c r="BS96" s="32" t="n">
        <v>0</v>
      </c>
      <c r="BT96" s="31" t="n"/>
      <c r="BU96" s="45" t="n">
        <v>80</v>
      </c>
      <c r="BV96" s="47" t="n">
        <v>80</v>
      </c>
      <c r="BW96" s="32" t="n">
        <v>0</v>
      </c>
      <c r="BX96" s="34" t="n"/>
      <c r="BY96" s="45" t="n">
        <v>80</v>
      </c>
      <c r="BZ96" s="47" t="n">
        <v>0</v>
      </c>
      <c r="CA96" s="32" t="n">
        <v>0</v>
      </c>
      <c r="CB96" s="36" t="n"/>
      <c r="CC96" s="45" t="n">
        <v>80</v>
      </c>
      <c r="CD96" s="47" t="n">
        <v>80</v>
      </c>
      <c r="CE96" s="44" t="n">
        <v>0</v>
      </c>
      <c r="CF96" s="36" t="n"/>
      <c r="CG96" s="45" t="n">
        <v>80</v>
      </c>
      <c r="CH96" s="242" t="n">
        <v>0</v>
      </c>
      <c r="CI96" s="44" t="n">
        <v>50</v>
      </c>
      <c r="CJ96" s="35" t="n"/>
      <c r="CK96" s="45" t="n">
        <v>80</v>
      </c>
      <c r="CL96" s="47" t="n">
        <v>80</v>
      </c>
      <c r="CM96" s="44" t="n">
        <v>0</v>
      </c>
      <c r="CN96" s="35" t="n"/>
      <c r="CO96" s="45" t="n">
        <v>80</v>
      </c>
      <c r="CP96" s="47" t="n">
        <v>80</v>
      </c>
      <c r="CQ96" s="44" t="n">
        <v>100</v>
      </c>
      <c r="CR96" s="35" t="n"/>
      <c r="CS96" s="45" t="n">
        <v>0</v>
      </c>
      <c r="CT96" s="47" t="n">
        <v>0</v>
      </c>
      <c r="CU96" s="44" t="n">
        <v>0</v>
      </c>
      <c r="CV96" s="35" t="n"/>
      <c r="CW96" s="51" t="n">
        <v>0</v>
      </c>
      <c r="CX96" s="47" t="n">
        <v>0</v>
      </c>
      <c r="CY96" s="44" t="n">
        <v>0</v>
      </c>
      <c r="CZ96" s="35" t="n"/>
      <c r="DA96" s="51" t="n">
        <v>28</v>
      </c>
      <c r="DB96" s="47" t="n">
        <v>28</v>
      </c>
      <c r="DC96" s="155" t="n">
        <v>7</v>
      </c>
      <c r="DD96" s="35" t="n"/>
      <c r="DE96" s="51" t="n">
        <v>100</v>
      </c>
      <c r="DF96" s="47" t="n">
        <v>32</v>
      </c>
      <c r="DG96" s="380" t="n">
        <v>32</v>
      </c>
      <c r="DH96" s="35" t="n"/>
      <c r="DI96" s="379">
        <f>BM96+BQ96+BU96+BY96+CC96+CG96+CK96+CO96+CS96+CW96+DA96+DE96</f>
        <v/>
      </c>
      <c r="DJ96" s="379">
        <f>DI96*$I96</f>
        <v/>
      </c>
      <c r="DK96" s="82" t="n">
        <v>0</v>
      </c>
      <c r="DL96" s="35" t="n">
        <v>32</v>
      </c>
      <c r="DM96" s="44" t="n">
        <v>0</v>
      </c>
      <c r="DN96" s="35" t="n"/>
      <c r="DO96" s="82" t="n">
        <v>40</v>
      </c>
      <c r="DP96" s="35" t="n">
        <v>50</v>
      </c>
      <c r="DQ96" s="44" t="n">
        <v>0</v>
      </c>
      <c r="DR96" s="35" t="n"/>
      <c r="DS96" s="82" t="n">
        <v>40</v>
      </c>
      <c r="DT96" s="305" t="n">
        <v>0</v>
      </c>
      <c r="DU96" s="44" t="n">
        <v>0</v>
      </c>
      <c r="DV96" s="35" t="n"/>
      <c r="DW96" s="82" t="n">
        <v>40</v>
      </c>
      <c r="DX96" s="305" t="n">
        <v>0</v>
      </c>
      <c r="DY96" s="44" t="n">
        <v>0</v>
      </c>
      <c r="DZ96" s="36" t="n"/>
      <c r="EA96" s="82" t="n">
        <v>80</v>
      </c>
      <c r="EB96" s="307" t="n">
        <v>0</v>
      </c>
      <c r="EC96" s="44" t="n">
        <v>0</v>
      </c>
      <c r="ED96" s="36" t="n"/>
      <c r="EE96" s="82" t="n">
        <v>80</v>
      </c>
      <c r="EF96" s="281" t="n">
        <v>0</v>
      </c>
      <c r="EG96" s="44" t="n">
        <v>0</v>
      </c>
      <c r="EH96" s="35" t="n"/>
      <c r="EI96" s="82" t="n">
        <v>80</v>
      </c>
      <c r="EJ96" s="281" t="n">
        <v>0</v>
      </c>
      <c r="EK96" s="44" t="n">
        <v>0</v>
      </c>
      <c r="EL96" s="35" t="n"/>
      <c r="EM96" s="82" t="n">
        <v>80</v>
      </c>
      <c r="EN96" s="281" t="n">
        <v>0</v>
      </c>
      <c r="EO96" s="44" t="n">
        <v>0</v>
      </c>
      <c r="EP96" s="35" t="n"/>
      <c r="EQ96" s="82" t="n">
        <v>80</v>
      </c>
      <c r="ER96" s="281" t="n">
        <v>0</v>
      </c>
      <c r="ES96" s="44" t="n">
        <v>0</v>
      </c>
      <c r="ET96" s="35" t="n"/>
      <c r="EU96" s="82" t="n">
        <v>80</v>
      </c>
      <c r="EV96" s="281" t="n">
        <v>0</v>
      </c>
      <c r="EW96" s="44" t="n">
        <v>0</v>
      </c>
      <c r="EX96" s="35" t="n"/>
      <c r="EY96" s="82" t="n">
        <v>80</v>
      </c>
      <c r="EZ96" s="281" t="n">
        <v>0</v>
      </c>
      <c r="FA96" s="288" t="n">
        <v>0</v>
      </c>
      <c r="FB96" s="35" t="n"/>
      <c r="FC96" s="82" t="n">
        <v>80</v>
      </c>
      <c r="FD96" s="281" t="n">
        <v>0</v>
      </c>
      <c r="FE96" s="380" t="n">
        <v>0</v>
      </c>
      <c r="FF96" s="35" t="n"/>
      <c r="FG96" s="379">
        <f>DK96+DO96+DS96+DW96+EA96+EE96+EI96+EM96+EQ96+EU96+EY96+FC96</f>
        <v/>
      </c>
      <c r="FH96" s="379">
        <f>FG96*$I96</f>
        <v/>
      </c>
      <c r="FI96" s="47" t="n">
        <v>80</v>
      </c>
      <c r="FJ96" s="47" t="n"/>
      <c r="FK96" s="44" t="n">
        <v>0</v>
      </c>
      <c r="FL96" s="35" t="n"/>
      <c r="FM96" s="47" t="n">
        <v>80</v>
      </c>
      <c r="FN96" s="47" t="n"/>
      <c r="FO96" s="44" t="n">
        <v>0</v>
      </c>
      <c r="FP96" s="35" t="n"/>
      <c r="FQ96" s="47" t="n">
        <v>80</v>
      </c>
      <c r="FR96" s="47" t="n"/>
      <c r="FS96" s="44" t="n">
        <v>0</v>
      </c>
      <c r="FT96" s="36" t="n"/>
      <c r="FU96" s="47" t="n">
        <v>80</v>
      </c>
      <c r="FV96" s="47" t="n"/>
      <c r="FW96" s="44" t="n">
        <v>0</v>
      </c>
      <c r="FX96" s="36" t="n"/>
      <c r="FY96" s="47" t="n">
        <v>80</v>
      </c>
      <c r="FZ96" s="47" t="n"/>
      <c r="GA96" s="44" t="n">
        <v>0</v>
      </c>
      <c r="GB96" s="36" t="n"/>
      <c r="GC96" s="47" t="n">
        <v>80</v>
      </c>
      <c r="GD96" s="47" t="n"/>
      <c r="GE96" s="44" t="n">
        <v>0</v>
      </c>
      <c r="GF96" s="35" t="n"/>
      <c r="GG96" s="47" t="n">
        <v>80</v>
      </c>
      <c r="GH96" s="47" t="n"/>
      <c r="GI96" s="44" t="n">
        <v>0</v>
      </c>
      <c r="GJ96" s="35" t="n"/>
      <c r="GK96" s="47" t="n">
        <v>80</v>
      </c>
      <c r="GL96" s="47" t="n"/>
      <c r="GM96" s="44" t="n">
        <v>0</v>
      </c>
      <c r="GN96" s="35" t="n"/>
      <c r="GO96" s="47" t="n">
        <v>80</v>
      </c>
      <c r="GP96" s="47" t="n"/>
      <c r="GQ96" s="44" t="n">
        <v>0</v>
      </c>
      <c r="GR96" s="35" t="n"/>
      <c r="GS96" s="47" t="n">
        <v>80</v>
      </c>
      <c r="GT96" s="47" t="n"/>
      <c r="GU96" s="44" t="n">
        <v>0</v>
      </c>
      <c r="GV96" s="35" t="n"/>
      <c r="GW96" s="47" t="n">
        <v>80</v>
      </c>
      <c r="GX96" s="47" t="n"/>
      <c r="GY96" s="49" t="n">
        <v>0</v>
      </c>
      <c r="GZ96" s="35" t="n"/>
      <c r="HA96" s="47" t="n">
        <v>80</v>
      </c>
      <c r="HB96" s="47" t="n"/>
      <c r="HC96" s="380" t="n">
        <v>0</v>
      </c>
      <c r="HD96" s="35" t="n"/>
      <c r="HE96" s="379">
        <f>FI96+FM96+FQ96+FU96+FY96+GC96+GG96+GK96+GO96+GS96+GW96+HA96</f>
        <v/>
      </c>
      <c r="HF96" s="379">
        <f>HE96*$I96</f>
        <v/>
      </c>
      <c r="HG96" s="47" t="n">
        <v>80</v>
      </c>
      <c r="HH96" s="47" t="n"/>
      <c r="HI96" s="44" t="n">
        <v>0</v>
      </c>
      <c r="HJ96" s="35" t="n"/>
      <c r="HK96" s="47" t="n">
        <v>80</v>
      </c>
      <c r="HL96" s="47" t="n"/>
      <c r="HM96" s="44" t="n">
        <v>0</v>
      </c>
      <c r="HN96" s="35" t="n"/>
      <c r="HO96" s="47" t="n">
        <v>80</v>
      </c>
      <c r="HP96" s="47" t="n"/>
      <c r="HQ96" s="44" t="n">
        <v>0</v>
      </c>
      <c r="HR96" s="36" t="n"/>
      <c r="HS96" s="47" t="n">
        <v>80</v>
      </c>
      <c r="HT96" s="47" t="n"/>
      <c r="HU96" s="44" t="n">
        <v>0</v>
      </c>
      <c r="HV96" s="36" t="n"/>
      <c r="HW96" s="47" t="n">
        <v>80</v>
      </c>
      <c r="HX96" s="47" t="n"/>
      <c r="HY96" s="44" t="n">
        <v>0</v>
      </c>
      <c r="HZ96" s="36" t="n"/>
      <c r="IA96" s="47" t="n">
        <v>80</v>
      </c>
      <c r="IB96" s="47" t="n"/>
      <c r="IC96" s="44" t="n">
        <v>0</v>
      </c>
      <c r="ID96" s="35" t="n"/>
      <c r="IE96" s="47" t="n">
        <v>80</v>
      </c>
      <c r="IF96" s="47" t="n"/>
      <c r="IG96" s="44" t="n">
        <v>0</v>
      </c>
      <c r="IH96" s="35" t="n"/>
      <c r="II96" s="47" t="n">
        <v>80</v>
      </c>
      <c r="IJ96" s="47" t="n"/>
      <c r="IK96" s="44" t="n">
        <v>0</v>
      </c>
      <c r="IL96" s="35" t="n"/>
      <c r="IM96" s="47" t="n">
        <v>80</v>
      </c>
      <c r="IN96" s="47" t="n"/>
      <c r="IO96" s="44" t="n">
        <v>0</v>
      </c>
      <c r="IP96" s="35" t="n"/>
      <c r="IQ96" s="47" t="n">
        <v>80</v>
      </c>
      <c r="IR96" s="47" t="n"/>
      <c r="IS96" s="44" t="n">
        <v>0</v>
      </c>
      <c r="IT96" s="35" t="n"/>
      <c r="IU96" s="47" t="n">
        <v>80</v>
      </c>
      <c r="IV96" s="47" t="n"/>
      <c r="IW96" s="49" t="n">
        <v>0</v>
      </c>
      <c r="IX96" s="35" t="n"/>
      <c r="IY96" s="47" t="n">
        <v>80</v>
      </c>
      <c r="IZ96" s="47" t="n"/>
      <c r="JA96" s="380" t="n">
        <v>0</v>
      </c>
      <c r="JB96" s="35" t="n"/>
      <c r="JC96" s="381">
        <f>HG96+HK96+HO96+HS96+HW96+IA96+IE96+II96+IM96+IQ96+IU96+IY96</f>
        <v/>
      </c>
      <c r="JD96" s="381">
        <f>JC96*$I96</f>
        <v/>
      </c>
    </row>
    <row r="97">
      <c r="A97" s="382" t="n"/>
      <c r="B97" s="382" t="n"/>
      <c r="C97" s="382" t="n"/>
      <c r="D97" s="382" t="n"/>
      <c r="E97" s="25" t="n">
        <v>13</v>
      </c>
      <c r="F97" s="25" t="n">
        <v>1</v>
      </c>
      <c r="G97" s="26" t="n">
        <v>4494430600</v>
      </c>
      <c r="H97" s="27" t="inlineStr">
        <is>
          <t>Кабель клапана подъема оси</t>
        </is>
      </c>
      <c r="I97" s="28" t="n">
        <v>124.17</v>
      </c>
      <c r="J97" s="29" t="n">
        <v>124.17</v>
      </c>
      <c r="K97" s="297" t="n">
        <v>123.78</v>
      </c>
      <c r="L97" s="297" t="n">
        <v>123.78</v>
      </c>
      <c r="M97" s="29" t="n"/>
      <c r="N97" s="29" t="n"/>
      <c r="O97" s="30" t="n">
        <v>0</v>
      </c>
      <c r="P97" s="31" t="n">
        <v>0</v>
      </c>
      <c r="Q97" s="32" t="n">
        <v>0</v>
      </c>
      <c r="R97" s="31" t="n"/>
      <c r="S97" s="30" t="n">
        <v>0</v>
      </c>
      <c r="T97" s="31" t="n">
        <v>0</v>
      </c>
      <c r="U97" s="32" t="n">
        <v>0</v>
      </c>
      <c r="V97" s="31" t="n"/>
      <c r="W97" s="30" t="n">
        <v>0</v>
      </c>
      <c r="X97" s="31" t="n">
        <v>0</v>
      </c>
      <c r="Y97" s="32" t="n">
        <v>0</v>
      </c>
      <c r="Z97" s="31" t="n"/>
      <c r="AA97" s="30" t="n">
        <v>0</v>
      </c>
      <c r="AB97" s="31" t="n">
        <v>0</v>
      </c>
      <c r="AC97" s="32" t="n">
        <v>0</v>
      </c>
      <c r="AD97" s="36" t="n"/>
      <c r="AE97" s="30" t="n">
        <v>0</v>
      </c>
      <c r="AF97" s="31" t="n">
        <v>0</v>
      </c>
      <c r="AG97" s="32" t="n">
        <v>0</v>
      </c>
      <c r="AH97" s="36" t="n"/>
      <c r="AI97" s="30" t="n">
        <v>0</v>
      </c>
      <c r="AJ97" s="31" t="n">
        <v>0</v>
      </c>
      <c r="AK97" s="32" t="n">
        <v>0</v>
      </c>
      <c r="AL97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M97" s="30" t="n">
        <v>0</v>
      </c>
      <c r="AN97" s="31" t="n">
        <v>0</v>
      </c>
      <c r="AO97" s="32" t="n">
        <v>0</v>
      </c>
      <c r="AP97" s="3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AQ97" s="30" t="n">
        <v>0</v>
      </c>
      <c r="AR97" s="31" t="n">
        <v>0</v>
      </c>
      <c r="AS97" s="32" t="n">
        <v>0</v>
      </c>
      <c r="AT97" s="31" t="n"/>
      <c r="AU97" s="30" t="n">
        <v>0</v>
      </c>
      <c r="AV97" s="31" t="n">
        <v>0</v>
      </c>
      <c r="AW97" s="32" t="n">
        <v>0</v>
      </c>
      <c r="AX97" s="31" t="n"/>
      <c r="AY97" s="30" t="n">
        <v>0</v>
      </c>
      <c r="AZ97" s="31" t="n">
        <v>0</v>
      </c>
      <c r="BA97" s="32" t="n">
        <v>0</v>
      </c>
      <c r="BB97" s="34" t="n"/>
      <c r="BC97" s="30" t="n">
        <v>0</v>
      </c>
      <c r="BD97" s="37" t="n">
        <v>0</v>
      </c>
      <c r="BE97" s="241" t="n">
        <v>0</v>
      </c>
      <c r="BF97" s="34" t="n"/>
      <c r="BG97" s="41" t="n">
        <v>0</v>
      </c>
      <c r="BH97" s="37" t="n">
        <v>0</v>
      </c>
      <c r="BI97" s="136" t="n">
        <v>0</v>
      </c>
      <c r="BJ97" s="34" t="n"/>
      <c r="BK97" s="381">
        <f>O97+S97+W97+AA97+AE97+AI97+AM97+AQ97+AU97+AY97+BC97+BG97</f>
        <v/>
      </c>
      <c r="BL97" s="381">
        <f>BK97*$I97</f>
        <v/>
      </c>
      <c r="BM97" s="41" t="n">
        <v>0</v>
      </c>
      <c r="BN97" s="35" t="n">
        <v>0</v>
      </c>
      <c r="BO97" s="32" t="n">
        <v>0</v>
      </c>
      <c r="BP97" s="31" t="n"/>
      <c r="BQ97" s="45" t="n">
        <v>0</v>
      </c>
      <c r="BR97" s="35" t="n">
        <v>0</v>
      </c>
      <c r="BS97" s="32" t="n">
        <v>0</v>
      </c>
      <c r="BT97" s="31" t="n"/>
      <c r="BU97" s="45" t="n">
        <v>0</v>
      </c>
      <c r="BV97" s="35" t="n">
        <v>0</v>
      </c>
      <c r="BW97" s="32" t="n"/>
      <c r="BX97" s="31" t="n"/>
      <c r="BY97" s="45" t="n">
        <v>0</v>
      </c>
      <c r="BZ97" s="35" t="n">
        <v>0</v>
      </c>
      <c r="CA97" s="32" t="n">
        <v>0</v>
      </c>
      <c r="CB97" s="36" t="n"/>
      <c r="CC97" s="45" t="n">
        <v>0</v>
      </c>
      <c r="CD97" s="35" t="n">
        <v>0</v>
      </c>
      <c r="CE97" s="44" t="n">
        <v>0</v>
      </c>
      <c r="CF97" s="36" t="n"/>
      <c r="CG97" s="45" t="n">
        <v>0</v>
      </c>
      <c r="CH97" s="35" t="n">
        <v>0</v>
      </c>
      <c r="CI97" s="44" t="n">
        <v>0</v>
      </c>
      <c r="CJ97" s="35" t="n"/>
      <c r="CK97" s="45" t="n">
        <v>0</v>
      </c>
      <c r="CL97" s="35" t="n">
        <v>0</v>
      </c>
      <c r="CM97" s="44" t="n">
        <v>0</v>
      </c>
      <c r="CN97" s="35" t="n"/>
      <c r="CO97" s="45" t="n">
        <v>0</v>
      </c>
      <c r="CP97" s="35" t="n">
        <v>0</v>
      </c>
      <c r="CQ97" s="44" t="n"/>
      <c r="CR97" s="35" t="n"/>
      <c r="CS97" s="45" t="n">
        <v>0</v>
      </c>
      <c r="CT97" s="35" t="n">
        <v>0</v>
      </c>
      <c r="CU97" s="44" t="n"/>
      <c r="CV97" s="35" t="n"/>
      <c r="CW97" s="51" t="n">
        <v>0</v>
      </c>
      <c r="CX97" s="47" t="n">
        <v>0</v>
      </c>
      <c r="CY97" s="44" t="n">
        <v>0</v>
      </c>
      <c r="CZ97" s="35" t="n"/>
      <c r="DA97" s="51" t="n">
        <v>0</v>
      </c>
      <c r="DB97" s="47" t="n">
        <v>0</v>
      </c>
      <c r="DC97" s="155" t="n">
        <v>7</v>
      </c>
      <c r="DD97" s="35" t="n"/>
      <c r="DE97" s="51" t="n">
        <v>0</v>
      </c>
      <c r="DF97" s="47" t="n">
        <v>32</v>
      </c>
      <c r="DG97" s="380" t="n">
        <v>32</v>
      </c>
      <c r="DH97" s="35" t="n"/>
      <c r="DI97" s="379">
        <f>BM97+BQ97+BU97+BY97+CC97+CG97+CK97+CO97+CS97+CW97+DA97+DE97</f>
        <v/>
      </c>
      <c r="DJ97" s="379">
        <f>DI97*$I97</f>
        <v/>
      </c>
      <c r="DK97" s="82" t="n">
        <v>0</v>
      </c>
      <c r="DL97" s="35" t="n"/>
      <c r="DM97" s="44" t="n">
        <v>0</v>
      </c>
      <c r="DN97" s="35" t="n"/>
      <c r="DO97" s="82" t="n">
        <v>0</v>
      </c>
      <c r="DP97" s="35" t="n"/>
      <c r="DQ97" s="44" t="n">
        <v>0</v>
      </c>
      <c r="DR97" s="35" t="n"/>
      <c r="DS97" s="82" t="n">
        <v>0</v>
      </c>
      <c r="DT97" s="35" t="n"/>
      <c r="DU97" s="44" t="n">
        <v>0</v>
      </c>
      <c r="DV97" s="35" t="n"/>
      <c r="DW97" s="82" t="n">
        <v>0</v>
      </c>
      <c r="DX97" s="35" t="n">
        <v>0</v>
      </c>
      <c r="DY97" s="44" t="n">
        <v>0</v>
      </c>
      <c r="DZ97" s="36" t="n"/>
      <c r="EA97" s="82" t="n">
        <v>0</v>
      </c>
      <c r="EB97" s="35" t="n">
        <v>0</v>
      </c>
      <c r="EC97" s="44" t="n">
        <v>0</v>
      </c>
      <c r="ED97" s="36" t="n"/>
      <c r="EE97" s="82" t="n">
        <v>0</v>
      </c>
      <c r="EF97" s="282" t="n">
        <v>0</v>
      </c>
      <c r="EG97" s="44" t="n"/>
      <c r="EH97" s="35" t="n"/>
      <c r="EI97" s="82" t="n">
        <v>0</v>
      </c>
      <c r="EJ97" s="282" t="n">
        <v>0</v>
      </c>
      <c r="EK97" s="44" t="n"/>
      <c r="EL97" s="35" t="n"/>
      <c r="EM97" s="82" t="n">
        <v>0</v>
      </c>
      <c r="EN97" s="282" t="n">
        <v>0</v>
      </c>
      <c r="EO97" s="44" t="n"/>
      <c r="EP97" s="35" t="n"/>
      <c r="EQ97" s="82" t="n">
        <v>0</v>
      </c>
      <c r="ER97" s="282" t="n">
        <v>0</v>
      </c>
      <c r="ES97" s="44" t="n"/>
      <c r="ET97" s="35" t="n"/>
      <c r="EU97" s="82" t="n">
        <v>0</v>
      </c>
      <c r="EV97" s="35" t="n">
        <v>0</v>
      </c>
      <c r="EW97" s="44" t="n"/>
      <c r="EX97" s="35" t="n"/>
      <c r="EY97" s="82" t="n">
        <v>0</v>
      </c>
      <c r="EZ97" s="35" t="n">
        <v>0</v>
      </c>
      <c r="FA97" s="288" t="n"/>
      <c r="FB97" s="35" t="n"/>
      <c r="FC97" s="82" t="n">
        <v>0</v>
      </c>
      <c r="FD97" s="35" t="n">
        <v>0</v>
      </c>
      <c r="FE97" s="380" t="n"/>
      <c r="FF97" s="35" t="n"/>
      <c r="FG97" s="379">
        <f>DK97+DO97+DS97+DW97+EA97+EE97+EI97+EM97+EQ97+EU97+EY97+FC97</f>
        <v/>
      </c>
      <c r="FH97" s="379">
        <f>FG97*$I97</f>
        <v/>
      </c>
      <c r="FI97" s="35" t="n">
        <v>0</v>
      </c>
      <c r="FJ97" s="35" t="n"/>
      <c r="FK97" s="44" t="n"/>
      <c r="FL97" s="35" t="n"/>
      <c r="FM97" s="35" t="n">
        <v>0</v>
      </c>
      <c r="FN97" s="35" t="n"/>
      <c r="FO97" s="44" t="n"/>
      <c r="FP97" s="35" t="n"/>
      <c r="FQ97" s="35" t="n">
        <v>0</v>
      </c>
      <c r="FR97" s="35" t="n"/>
      <c r="FS97" s="44" t="n"/>
      <c r="FT97" s="35" t="n"/>
      <c r="FU97" s="35" t="n">
        <v>0</v>
      </c>
      <c r="FV97" s="35" t="n"/>
      <c r="FW97" s="44" t="n"/>
      <c r="FX97" s="36" t="n"/>
      <c r="FY97" s="35" t="n">
        <v>0</v>
      </c>
      <c r="FZ97" s="35" t="n"/>
      <c r="GA97" s="44" t="n"/>
      <c r="GB97" s="36" t="n"/>
      <c r="GC97" s="35" t="n">
        <v>0</v>
      </c>
      <c r="GD97" s="35" t="n"/>
      <c r="GE97" s="44" t="n"/>
      <c r="GF97" s="35" t="n"/>
      <c r="GG97" s="35" t="n">
        <v>0</v>
      </c>
      <c r="GH97" s="35" t="n"/>
      <c r="GI97" s="44" t="n"/>
      <c r="GJ97" s="35" t="n"/>
      <c r="GK97" s="35" t="n">
        <v>0</v>
      </c>
      <c r="GL97" s="35" t="n"/>
      <c r="GM97" s="44" t="n"/>
      <c r="GN97" s="35" t="n"/>
      <c r="GO97" s="35" t="n">
        <v>0</v>
      </c>
      <c r="GP97" s="35" t="n"/>
      <c r="GQ97" s="44" t="n"/>
      <c r="GR97" s="35" t="n"/>
      <c r="GS97" s="35" t="n">
        <v>0</v>
      </c>
      <c r="GT97" s="47" t="n"/>
      <c r="GU97" s="44" t="n"/>
      <c r="GV97" s="35" t="n"/>
      <c r="GW97" s="35" t="n">
        <v>0</v>
      </c>
      <c r="GX97" s="47" t="n"/>
      <c r="GY97" s="49" t="n"/>
      <c r="GZ97" s="35" t="n"/>
      <c r="HA97" s="35" t="n">
        <v>0</v>
      </c>
      <c r="HB97" s="47" t="n"/>
      <c r="HC97" s="380" t="n"/>
      <c r="HD97" s="35" t="n"/>
      <c r="HE97" s="379">
        <f>FI97+FM97+FQ97+FU97+FY97+GC97+GG97+GK97+GO97+GS97+GW97+HA97</f>
        <v/>
      </c>
      <c r="HF97" s="379">
        <f>HE97*$I97</f>
        <v/>
      </c>
      <c r="HG97" s="35" t="n">
        <v>0</v>
      </c>
      <c r="HH97" s="35" t="n"/>
      <c r="HI97" s="44" t="n"/>
      <c r="HJ97" s="35" t="n"/>
      <c r="HK97" s="35" t="n">
        <v>0</v>
      </c>
      <c r="HL97" s="35" t="n"/>
      <c r="HM97" s="44" t="n"/>
      <c r="HN97" s="35" t="n"/>
      <c r="HO97" s="35" t="n">
        <v>0</v>
      </c>
      <c r="HP97" s="35" t="n"/>
      <c r="HQ97" s="44" t="n"/>
      <c r="HR97" s="35" t="n"/>
      <c r="HS97" s="35" t="n">
        <v>0</v>
      </c>
      <c r="HT97" s="35" t="n"/>
      <c r="HU97" s="44" t="n"/>
      <c r="HV97" s="36" t="n"/>
      <c r="HW97" s="35" t="n">
        <v>0</v>
      </c>
      <c r="HX97" s="35" t="n"/>
      <c r="HY97" s="44" t="n"/>
      <c r="HZ97" s="36" t="n"/>
      <c r="IA97" s="35" t="n">
        <v>0</v>
      </c>
      <c r="IB97" s="35" t="n"/>
      <c r="IC97" s="44" t="n"/>
      <c r="ID97" s="35" t="n"/>
      <c r="IE97" s="35" t="n">
        <v>0</v>
      </c>
      <c r="IF97" s="35" t="n"/>
      <c r="IG97" s="44" t="n"/>
      <c r="IH97" s="35" t="n"/>
      <c r="II97" s="35" t="n">
        <v>0</v>
      </c>
      <c r="IJ97" s="35" t="n"/>
      <c r="IK97" s="44" t="n"/>
      <c r="IL97" s="35" t="n"/>
      <c r="IM97" s="35" t="n">
        <v>0</v>
      </c>
      <c r="IN97" s="35" t="n"/>
      <c r="IO97" s="44" t="n"/>
      <c r="IP97" s="35" t="n"/>
      <c r="IQ97" s="35" t="n">
        <v>0</v>
      </c>
      <c r="IR97" s="47" t="n"/>
      <c r="IS97" s="44" t="n"/>
      <c r="IT97" s="35" t="n"/>
      <c r="IU97" s="35" t="n">
        <v>0</v>
      </c>
      <c r="IV97" s="47" t="n"/>
      <c r="IW97" s="49" t="n"/>
      <c r="IX97" s="35" t="n"/>
      <c r="IY97" s="35" t="n">
        <v>0</v>
      </c>
      <c r="IZ97" s="47" t="n"/>
      <c r="JA97" s="380" t="n"/>
      <c r="JB97" s="35" t="n"/>
      <c r="JC97" s="381">
        <f>HG97+HK97+HO97+HS97+HW97+IA97+IE97+II97+IM97+IQ97+IU97+IY97</f>
        <v/>
      </c>
      <c r="JD97" s="381">
        <f>JC97*$I97</f>
        <v/>
      </c>
    </row>
    <row r="98" customFormat="1" s="64">
      <c r="A98" s="382" t="n"/>
      <c r="B98" s="382" t="n"/>
      <c r="C98" s="382" t="n"/>
      <c r="D98" s="382" t="n"/>
      <c r="E98" s="25" t="n">
        <v>14</v>
      </c>
      <c r="F98" s="25" t="n">
        <v>1</v>
      </c>
      <c r="G98" s="66" t="n">
        <v>4491731500</v>
      </c>
      <c r="H98" s="67" t="inlineStr">
        <is>
          <t>Кабель питания для п/п 15 м</t>
        </is>
      </c>
      <c r="I98" s="68" t="n">
        <v>860.87</v>
      </c>
      <c r="J98" s="69" t="n">
        <v>860.87</v>
      </c>
      <c r="K98" s="69" t="n">
        <v>0</v>
      </c>
      <c r="L98" s="69" t="n">
        <v>0</v>
      </c>
      <c r="M98" s="69" t="n"/>
      <c r="N98" s="69" t="n"/>
      <c r="O98" s="70" t="n"/>
      <c r="P98" s="71" t="n"/>
      <c r="Q98" s="72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4" t="n"/>
      <c r="AC98" s="73" t="n"/>
      <c r="AD98" s="75" t="n"/>
      <c r="AE98" s="73" t="n"/>
      <c r="AF98" s="76" t="n"/>
      <c r="AG98" s="73" t="n"/>
      <c r="AH98" s="75" t="n"/>
      <c r="AI98" s="77" t="n"/>
      <c r="AJ98" s="78" t="n"/>
      <c r="AK98" s="73" t="n"/>
      <c r="AL98" s="73" t="n"/>
      <c r="AM98" s="77" t="n"/>
      <c r="AN98" s="77" t="n"/>
      <c r="AO98" s="73" t="n"/>
      <c r="AP98" s="73" t="n"/>
      <c r="AQ98" s="77" t="n"/>
      <c r="AR98" s="79" t="n"/>
      <c r="AS98" s="73" t="n"/>
      <c r="AT98" s="73" t="n"/>
      <c r="AU98" s="77" t="n"/>
      <c r="AV98" s="77" t="n"/>
      <c r="AW98" s="73" t="n"/>
      <c r="AX98" s="73" t="n"/>
      <c r="AY98" s="70" t="n"/>
      <c r="AZ98" s="80" t="n"/>
      <c r="BA98" s="32" t="n">
        <v>0</v>
      </c>
      <c r="BB98" s="100" t="n"/>
      <c r="BC98" s="30" t="n"/>
      <c r="BD98" s="31" t="n"/>
      <c r="BE98" s="40" t="n">
        <v>0</v>
      </c>
      <c r="BF98" s="34" t="n"/>
      <c r="BG98" s="41" t="n"/>
      <c r="BH98" s="31" t="n"/>
      <c r="BI98" s="136" t="n">
        <v>0</v>
      </c>
      <c r="BJ98" s="34" t="n"/>
      <c r="BK98" s="381" t="n"/>
      <c r="BL98" s="381" t="n"/>
      <c r="BM98" s="41" t="n"/>
      <c r="BN98" s="37" t="n"/>
      <c r="BO98" s="32" t="n"/>
      <c r="BP98" s="31" t="n"/>
      <c r="BQ98" s="41" t="n"/>
      <c r="BR98" s="37" t="n"/>
      <c r="BS98" s="32" t="n"/>
      <c r="BT98" s="31" t="n"/>
      <c r="BU98" s="41" t="n"/>
      <c r="BV98" s="31" t="n"/>
      <c r="BW98" s="32" t="n"/>
      <c r="BX98" s="31" t="n"/>
      <c r="BY98" s="41" t="n"/>
      <c r="BZ98" s="35" t="n"/>
      <c r="CA98" s="32" t="n"/>
      <c r="CB98" s="36" t="n"/>
      <c r="CC98" s="41" t="n"/>
      <c r="CD98" s="35" t="n"/>
      <c r="CE98" s="44" t="n">
        <v>0</v>
      </c>
      <c r="CF98" s="36" t="n"/>
      <c r="CG98" s="45" t="n"/>
      <c r="CH98" s="35" t="n"/>
      <c r="CI98" s="44" t="n">
        <v>0</v>
      </c>
      <c r="CJ98" s="35" t="n"/>
      <c r="CK98" s="45" t="n"/>
      <c r="CL98" s="35" t="n"/>
      <c r="CM98" s="44" t="n">
        <v>0</v>
      </c>
      <c r="CN98" s="35" t="n"/>
      <c r="CO98" s="45" t="n"/>
      <c r="CP98" s="35" t="n"/>
      <c r="CQ98" s="44" t="n"/>
      <c r="CR98" s="35" t="n"/>
      <c r="CS98" s="45" t="n"/>
      <c r="CT98" s="35" t="n"/>
      <c r="CU98" s="44" t="n"/>
      <c r="CV98" s="35" t="n"/>
      <c r="CW98" s="45" t="n"/>
      <c r="CX98" s="35" t="n"/>
      <c r="CY98" s="44" t="n">
        <v>0</v>
      </c>
      <c r="CZ98" s="35" t="n"/>
      <c r="DA98" s="45" t="n"/>
      <c r="DB98" s="53" t="n"/>
      <c r="DC98" s="155" t="n"/>
      <c r="DD98" s="35" t="n"/>
      <c r="DE98" s="45" t="n"/>
      <c r="DF98" s="53" t="n"/>
      <c r="DG98" s="380" t="n"/>
      <c r="DH98" s="35" t="n"/>
      <c r="DI98" s="379" t="n"/>
      <c r="DJ98" s="379" t="n"/>
      <c r="DK98" s="82" t="n"/>
      <c r="DL98" s="35" t="n"/>
      <c r="DM98" s="44" t="n">
        <v>0</v>
      </c>
      <c r="DN98" s="35" t="n"/>
      <c r="DO98" s="82" t="n"/>
      <c r="DP98" s="35" t="n"/>
      <c r="DQ98" s="44" t="n">
        <v>0</v>
      </c>
      <c r="DR98" s="35" t="n"/>
      <c r="DS98" s="82" t="n"/>
      <c r="DT98" s="35" t="n"/>
      <c r="DU98" s="44" t="n">
        <v>0</v>
      </c>
      <c r="DV98" s="35" t="n"/>
      <c r="DW98" s="82" t="n"/>
      <c r="DX98" s="35" t="n"/>
      <c r="DY98" s="44" t="n">
        <v>0</v>
      </c>
      <c r="DZ98" s="36" t="n"/>
      <c r="EA98" s="82" t="n"/>
      <c r="EB98" s="35" t="n"/>
      <c r="EC98" s="44" t="n">
        <v>0</v>
      </c>
      <c r="ED98" s="36" t="n"/>
      <c r="EE98" s="82" t="n"/>
      <c r="EF98" s="35" t="n"/>
      <c r="EG98" s="44" t="n"/>
      <c r="EH98" s="35" t="n"/>
      <c r="EI98" s="82" t="n"/>
      <c r="EJ98" s="35" t="n"/>
      <c r="EK98" s="44" t="n"/>
      <c r="EL98" s="35" t="n"/>
      <c r="EM98" s="82" t="n"/>
      <c r="EN98" s="35" t="n"/>
      <c r="EO98" s="44" t="n"/>
      <c r="EP98" s="35" t="n"/>
      <c r="EQ98" s="82" t="n"/>
      <c r="ER98" s="91" t="n"/>
      <c r="ES98" s="44" t="n"/>
      <c r="ET98" s="35" t="n"/>
      <c r="EU98" s="82" t="n"/>
      <c r="EV98" s="91" t="n"/>
      <c r="EW98" s="44" t="n"/>
      <c r="EX98" s="35" t="n"/>
      <c r="EY98" s="82" t="n"/>
      <c r="EZ98" s="53" t="n"/>
      <c r="FA98" s="288" t="n"/>
      <c r="FB98" s="35" t="n"/>
      <c r="FC98" s="82" t="n"/>
      <c r="FD98" s="92" t="n"/>
      <c r="FE98" s="380" t="n"/>
      <c r="FF98" s="35" t="n"/>
      <c r="FG98" s="379" t="n"/>
      <c r="FH98" s="379" t="n"/>
      <c r="FI98" s="35" t="n"/>
      <c r="FJ98" s="35" t="n"/>
      <c r="FK98" s="44" t="n"/>
      <c r="FL98" s="35" t="n"/>
      <c r="FM98" s="35" t="n"/>
      <c r="FN98" s="35" t="n"/>
      <c r="FO98" s="44" t="n"/>
      <c r="FP98" s="35" t="n"/>
      <c r="FQ98" s="35" t="n"/>
      <c r="FR98" s="35" t="n"/>
      <c r="FS98" s="44" t="n"/>
      <c r="FT98" s="35" t="n"/>
      <c r="FU98" s="35" t="n"/>
      <c r="FV98" s="35" t="n"/>
      <c r="FW98" s="44" t="n"/>
      <c r="FX98" s="36" t="n"/>
      <c r="FY98" s="35" t="n"/>
      <c r="FZ98" s="35" t="n"/>
      <c r="GA98" s="44" t="n"/>
      <c r="GB98" s="36" t="n"/>
      <c r="GC98" s="35" t="n"/>
      <c r="GD98" s="35" t="n"/>
      <c r="GE98" s="44" t="n"/>
      <c r="GF98" s="35" t="n"/>
      <c r="GG98" s="35" t="n"/>
      <c r="GH98" s="35" t="n"/>
      <c r="GI98" s="44" t="n"/>
      <c r="GJ98" s="35" t="n"/>
      <c r="GK98" s="35" t="n"/>
      <c r="GL98" s="35" t="n"/>
      <c r="GM98" s="44" t="n"/>
      <c r="GN98" s="35" t="n"/>
      <c r="GO98" s="35" t="n"/>
      <c r="GP98" s="35" t="n"/>
      <c r="GQ98" s="44" t="n"/>
      <c r="GR98" s="35" t="n"/>
      <c r="GS98" s="35" t="n"/>
      <c r="GT98" s="35" t="n"/>
      <c r="GU98" s="44" t="n"/>
      <c r="GV98" s="35" t="n"/>
      <c r="GW98" s="35" t="n"/>
      <c r="GX98" s="53" t="n"/>
      <c r="GY98" s="49" t="n"/>
      <c r="GZ98" s="35" t="n"/>
      <c r="HA98" s="35" t="n"/>
      <c r="HB98" s="53" t="n"/>
      <c r="HC98" s="380" t="n"/>
      <c r="HD98" s="35" t="n"/>
      <c r="HE98" s="379" t="n"/>
      <c r="HF98" s="379" t="n"/>
      <c r="HG98" s="35" t="n"/>
      <c r="HH98" s="35" t="n"/>
      <c r="HI98" s="44" t="n"/>
      <c r="HJ98" s="35" t="n"/>
      <c r="HK98" s="35" t="n"/>
      <c r="HL98" s="35" t="n"/>
      <c r="HM98" s="44" t="n"/>
      <c r="HN98" s="35" t="n"/>
      <c r="HO98" s="35" t="n"/>
      <c r="HP98" s="35" t="n"/>
      <c r="HQ98" s="44" t="n"/>
      <c r="HR98" s="35" t="n"/>
      <c r="HS98" s="35" t="n"/>
      <c r="HT98" s="35" t="n"/>
      <c r="HU98" s="44" t="n"/>
      <c r="HV98" s="36" t="n"/>
      <c r="HW98" s="35" t="n"/>
      <c r="HX98" s="35" t="n"/>
      <c r="HY98" s="44" t="n"/>
      <c r="HZ98" s="36" t="n"/>
      <c r="IA98" s="35" t="n"/>
      <c r="IB98" s="35" t="n"/>
      <c r="IC98" s="44" t="n"/>
      <c r="ID98" s="35" t="n"/>
      <c r="IE98" s="35" t="n"/>
      <c r="IF98" s="35" t="n"/>
      <c r="IG98" s="44" t="n"/>
      <c r="IH98" s="35" t="n"/>
      <c r="II98" s="35" t="n"/>
      <c r="IJ98" s="35" t="n"/>
      <c r="IK98" s="44" t="n"/>
      <c r="IL98" s="35" t="n"/>
      <c r="IM98" s="35" t="n"/>
      <c r="IN98" s="35" t="n"/>
      <c r="IO98" s="44" t="n"/>
      <c r="IP98" s="35" t="n"/>
      <c r="IQ98" s="35" t="n"/>
      <c r="IR98" s="35" t="n"/>
      <c r="IS98" s="44" t="n"/>
      <c r="IT98" s="35" t="n"/>
      <c r="IU98" s="35" t="n"/>
      <c r="IV98" s="53" t="n"/>
      <c r="IW98" s="49" t="n"/>
      <c r="IX98" s="35" t="n"/>
      <c r="IY98" s="35" t="n"/>
      <c r="IZ98" s="53" t="n"/>
      <c r="JA98" s="380" t="n"/>
      <c r="JB98" s="35" t="n"/>
      <c r="JC98" s="381">
        <f>HG98+HK98+HO98+HS98+HW98+IA98+IE98+II98+IM98+IQ98+IU98+IY98</f>
        <v/>
      </c>
      <c r="JD98" s="381">
        <f>JC98*$I98</f>
        <v/>
      </c>
    </row>
    <row r="99" ht="14.7" customFormat="1" customHeight="1" s="93">
      <c r="A99" s="382" t="n"/>
      <c r="B99" s="382" t="n"/>
      <c r="C99" s="382" t="n"/>
      <c r="D99" s="382" t="n"/>
      <c r="E99" s="25" t="n">
        <v>15</v>
      </c>
      <c r="F99" s="83" t="n">
        <v>1</v>
      </c>
      <c r="G99" s="83" t="n">
        <v>9730110000</v>
      </c>
      <c r="H99" s="67" t="inlineStr">
        <is>
          <t>Ускорительный клапан</t>
        </is>
      </c>
      <c r="I99" s="84" t="n"/>
      <c r="J99" s="85" t="n">
        <v>117.5</v>
      </c>
      <c r="K99" s="296" t="n">
        <v>118</v>
      </c>
      <c r="L99" s="296" t="n">
        <v>118</v>
      </c>
      <c r="M99" s="85" t="n"/>
      <c r="N99" s="85" t="n"/>
      <c r="O99" s="70" t="n"/>
      <c r="P99" s="71" t="n"/>
      <c r="Q99" s="72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4" t="n"/>
      <c r="AC99" s="73" t="n"/>
      <c r="AD99" s="75" t="n"/>
      <c r="AE99" s="73" t="n"/>
      <c r="AF99" s="76" t="n"/>
      <c r="AG99" s="73" t="n"/>
      <c r="AH99" s="75" t="n"/>
      <c r="AI99" s="77" t="n"/>
      <c r="AJ99" s="78" t="n"/>
      <c r="AK99" s="73" t="n"/>
      <c r="AL99" s="73" t="n"/>
      <c r="AM99" s="77" t="n"/>
      <c r="AN99" s="77" t="n"/>
      <c r="AO99" s="73" t="n"/>
      <c r="AP99" s="73" t="n"/>
      <c r="AQ99" s="77" t="n"/>
      <c r="AR99" s="79" t="n"/>
      <c r="AS99" s="73" t="n"/>
      <c r="AT99" s="73" t="n"/>
      <c r="AU99" s="77" t="n"/>
      <c r="AV99" s="77" t="n"/>
      <c r="AW99" s="73" t="n"/>
      <c r="AX99" s="73" t="n"/>
      <c r="AY99" s="70" t="n"/>
      <c r="AZ99" s="80" t="n"/>
      <c r="BA99" s="32" t="n"/>
      <c r="BB99" s="81" t="n"/>
      <c r="BC99" s="30" t="n"/>
      <c r="BD99" s="86" t="n"/>
      <c r="BE99" s="87" t="n"/>
      <c r="BF99" s="34" t="n"/>
      <c r="BG99" s="41" t="n"/>
      <c r="BH99" s="88" t="n">
        <v>0</v>
      </c>
      <c r="BI99" s="42" t="n">
        <v>0</v>
      </c>
      <c r="BJ99" s="34" t="n"/>
      <c r="BK99" s="381" t="n"/>
      <c r="BL99" s="381" t="n"/>
      <c r="BM99" s="41" t="n"/>
      <c r="BN99" s="35" t="n">
        <v>0</v>
      </c>
      <c r="BO99" s="44" t="n">
        <v>0</v>
      </c>
      <c r="BP99" s="35" t="n"/>
      <c r="BQ99" s="45" t="n"/>
      <c r="BR99" s="82" t="n">
        <v>0</v>
      </c>
      <c r="BS99" s="44" t="n">
        <v>0</v>
      </c>
      <c r="BT99" s="35" t="n"/>
      <c r="BU99" s="45" t="n"/>
      <c r="BV99" s="46" t="n">
        <v>0</v>
      </c>
      <c r="BW99" s="44" t="n"/>
      <c r="BX99" s="35" t="n"/>
      <c r="BY99" s="45" t="n"/>
      <c r="BZ99" s="82" t="n">
        <v>0</v>
      </c>
      <c r="CA99" s="44" t="n"/>
      <c r="CB99" s="36" t="n"/>
      <c r="CC99" s="45" t="n"/>
      <c r="CD99" s="52" t="n">
        <v>30</v>
      </c>
      <c r="CE99" s="44" t="n">
        <v>0</v>
      </c>
      <c r="CF99" s="36" t="n"/>
      <c r="CG99" s="45" t="n"/>
      <c r="CH99" s="242" t="n">
        <v>0</v>
      </c>
      <c r="CI99" s="44" t="n">
        <v>0</v>
      </c>
      <c r="CJ99" s="35" t="n"/>
      <c r="CK99" s="45" t="n"/>
      <c r="CL99" s="242" t="n">
        <v>0</v>
      </c>
      <c r="CM99" s="44" t="n">
        <v>0</v>
      </c>
      <c r="CN99" s="35" t="n"/>
      <c r="CO99" s="45" t="n"/>
      <c r="CP99" s="243" t="n">
        <v>0</v>
      </c>
      <c r="CQ99" s="44" t="n"/>
      <c r="CR99" s="35" t="n"/>
      <c r="CS99" s="45" t="n"/>
      <c r="CT99" s="91" t="n">
        <v>0</v>
      </c>
      <c r="CU99" s="44" t="n"/>
      <c r="CV99" s="35" t="n"/>
      <c r="CW99" s="45" t="n"/>
      <c r="CX99" s="91" t="n">
        <v>0</v>
      </c>
      <c r="CY99" s="44" t="n">
        <v>0</v>
      </c>
      <c r="CZ99" s="35" t="n"/>
      <c r="DA99" s="45" t="n"/>
      <c r="DB99" s="53" t="n">
        <v>0</v>
      </c>
      <c r="DC99" s="284" t="n"/>
      <c r="DD99" s="35" t="n"/>
      <c r="DE99" s="45" t="n"/>
      <c r="DF99" s="92" t="n">
        <v>0</v>
      </c>
      <c r="DG99" s="380" t="n"/>
      <c r="DH99" s="35" t="n"/>
      <c r="DI99" s="379">
        <f>BM99+BQ99+BU99+BY99+CC99+CG99+CK99+CO99+CS99+CW99+DA99+DE99</f>
        <v/>
      </c>
      <c r="DJ99" s="379" t="n"/>
      <c r="DK99" s="82" t="n"/>
      <c r="DL99" s="35" t="n"/>
      <c r="DM99" s="44" t="n">
        <v>0</v>
      </c>
      <c r="DN99" s="35" t="n"/>
      <c r="DO99" s="82" t="n">
        <v>0</v>
      </c>
      <c r="DP99" s="35" t="n"/>
      <c r="DQ99" s="44" t="n">
        <v>0</v>
      </c>
      <c r="DR99" s="35" t="n"/>
      <c r="DS99" s="82" t="n">
        <v>0</v>
      </c>
      <c r="DT99" s="35" t="n"/>
      <c r="DU99" s="44" t="n">
        <v>0</v>
      </c>
      <c r="DV99" s="35" t="n"/>
      <c r="DW99" s="82" t="n">
        <v>0</v>
      </c>
      <c r="DX99" s="35" t="n">
        <v>0</v>
      </c>
      <c r="DY99" s="44" t="n">
        <v>0</v>
      </c>
      <c r="DZ99" s="36" t="n"/>
      <c r="EA99" s="82" t="n">
        <v>0</v>
      </c>
      <c r="EB99" s="35" t="n">
        <v>0</v>
      </c>
      <c r="EC99" s="44" t="n">
        <v>0</v>
      </c>
      <c r="ED99" s="36" t="n"/>
      <c r="EE99" s="82" t="n">
        <v>0</v>
      </c>
      <c r="EF99" s="35" t="n">
        <v>0</v>
      </c>
      <c r="EG99" s="44" t="n"/>
      <c r="EH99" s="35" t="n"/>
      <c r="EI99" s="82" t="n">
        <v>0</v>
      </c>
      <c r="EJ99" s="35" t="n">
        <v>0</v>
      </c>
      <c r="EK99" s="44" t="n"/>
      <c r="EL99" s="35" t="n"/>
      <c r="EM99" s="82" t="n">
        <v>0</v>
      </c>
      <c r="EN99" s="35" t="n">
        <v>0</v>
      </c>
      <c r="EO99" s="44" t="n"/>
      <c r="EP99" s="35" t="n"/>
      <c r="EQ99" s="82" t="n">
        <v>0</v>
      </c>
      <c r="ER99" s="91" t="n">
        <v>0</v>
      </c>
      <c r="ES99" s="44" t="n"/>
      <c r="ET99" s="35" t="n"/>
      <c r="EU99" s="82" t="n">
        <v>0</v>
      </c>
      <c r="EV99" s="91" t="n">
        <v>0</v>
      </c>
      <c r="EW99" s="44" t="n"/>
      <c r="EX99" s="35" t="n"/>
      <c r="EY99" s="82" t="n">
        <v>0</v>
      </c>
      <c r="EZ99" s="53" t="n">
        <v>0</v>
      </c>
      <c r="FA99" s="288" t="n"/>
      <c r="FB99" s="35" t="n"/>
      <c r="FC99" s="82" t="n">
        <v>0</v>
      </c>
      <c r="FD99" s="92" t="n">
        <v>0</v>
      </c>
      <c r="FE99" s="380" t="n"/>
      <c r="FF99" s="35" t="n"/>
      <c r="FG99" s="379">
        <f>DK99+DO99+DS99+DW99+EA99+EE99+EI99+EM99+EQ99+EU99+EY99+FC99</f>
        <v/>
      </c>
      <c r="FH99" s="379" t="n"/>
      <c r="FI99" s="52" t="n">
        <v>0</v>
      </c>
      <c r="FJ99" s="35" t="n"/>
      <c r="FK99" s="44" t="n"/>
      <c r="FL99" s="35" t="n"/>
      <c r="FM99" s="52" t="n">
        <v>0</v>
      </c>
      <c r="FN99" s="82" t="n"/>
      <c r="FO99" s="44" t="n"/>
      <c r="FP99" s="35" t="n"/>
      <c r="FQ99" s="52" t="n">
        <v>0</v>
      </c>
      <c r="FR99" s="46" t="n"/>
      <c r="FS99" s="44" t="n"/>
      <c r="FT99" s="35" t="n"/>
      <c r="FU99" s="52" t="n">
        <v>0</v>
      </c>
      <c r="FV99" s="82" t="n"/>
      <c r="FW99" s="44" t="n"/>
      <c r="FX99" s="36" t="n"/>
      <c r="FY99" s="52" t="n">
        <v>0</v>
      </c>
      <c r="FZ99" s="52" t="n"/>
      <c r="GA99" s="44" t="n"/>
      <c r="GB99" s="36" t="n"/>
      <c r="GC99" s="52" t="n">
        <v>0</v>
      </c>
      <c r="GD99" s="52" t="n"/>
      <c r="GE99" s="44" t="n"/>
      <c r="GF99" s="35" t="n"/>
      <c r="GG99" s="52" t="n">
        <v>0</v>
      </c>
      <c r="GH99" s="52" t="n"/>
      <c r="GI99" s="44" t="n"/>
      <c r="GJ99" s="35" t="n"/>
      <c r="GK99" s="52" t="n">
        <v>0</v>
      </c>
      <c r="GL99" s="91" t="n"/>
      <c r="GM99" s="44" t="n"/>
      <c r="GN99" s="35" t="n"/>
      <c r="GO99" s="52" t="n">
        <v>0</v>
      </c>
      <c r="GP99" s="91" t="n"/>
      <c r="GQ99" s="44" t="n"/>
      <c r="GR99" s="35" t="n"/>
      <c r="GS99" s="52" t="n">
        <v>0</v>
      </c>
      <c r="GT99" s="91" t="n"/>
      <c r="GU99" s="44" t="n"/>
      <c r="GV99" s="35" t="n"/>
      <c r="GW99" s="52" t="n">
        <v>0</v>
      </c>
      <c r="GX99" s="53" t="n"/>
      <c r="GY99" s="90" t="n"/>
      <c r="GZ99" s="35" t="n"/>
      <c r="HA99" s="52" t="n">
        <v>0</v>
      </c>
      <c r="HB99" s="92" t="n"/>
      <c r="HC99" s="380" t="n"/>
      <c r="HD99" s="35" t="n"/>
      <c r="HE99" s="379">
        <f>FI99+FM99+FQ99+FU99+FY99+GC99+GG99+GK99+GO99+GS99+GW99+HA99</f>
        <v/>
      </c>
      <c r="HF99" s="379" t="n"/>
      <c r="HG99" s="52" t="n">
        <v>0</v>
      </c>
      <c r="HH99" s="35" t="n"/>
      <c r="HI99" s="44" t="n"/>
      <c r="HJ99" s="35" t="n"/>
      <c r="HK99" s="52" t="n">
        <v>0</v>
      </c>
      <c r="HL99" s="82" t="n"/>
      <c r="HM99" s="44" t="n"/>
      <c r="HN99" s="35" t="n"/>
      <c r="HO99" s="52" t="n">
        <v>0</v>
      </c>
      <c r="HP99" s="46" t="n"/>
      <c r="HQ99" s="44" t="n"/>
      <c r="HR99" s="35" t="n"/>
      <c r="HS99" s="52" t="n">
        <v>0</v>
      </c>
      <c r="HT99" s="82" t="n"/>
      <c r="HU99" s="44" t="n"/>
      <c r="HV99" s="36" t="n"/>
      <c r="HW99" s="52" t="n">
        <v>0</v>
      </c>
      <c r="HX99" s="52" t="n"/>
      <c r="HY99" s="44" t="n"/>
      <c r="HZ99" s="36" t="n"/>
      <c r="IA99" s="52" t="n">
        <v>0</v>
      </c>
      <c r="IB99" s="52" t="n"/>
      <c r="IC99" s="44" t="n"/>
      <c r="ID99" s="35" t="n"/>
      <c r="IE99" s="52" t="n">
        <v>0</v>
      </c>
      <c r="IF99" s="52" t="n"/>
      <c r="IG99" s="44" t="n"/>
      <c r="IH99" s="35" t="n"/>
      <c r="II99" s="52" t="n">
        <v>0</v>
      </c>
      <c r="IJ99" s="91" t="n"/>
      <c r="IK99" s="44" t="n"/>
      <c r="IL99" s="35" t="n"/>
      <c r="IM99" s="52" t="n">
        <v>0</v>
      </c>
      <c r="IN99" s="91" t="n"/>
      <c r="IO99" s="44" t="n"/>
      <c r="IP99" s="35" t="n"/>
      <c r="IQ99" s="52" t="n">
        <v>0</v>
      </c>
      <c r="IR99" s="91" t="n"/>
      <c r="IS99" s="44" t="n"/>
      <c r="IT99" s="35" t="n"/>
      <c r="IU99" s="52" t="n">
        <v>0</v>
      </c>
      <c r="IV99" s="53" t="n"/>
      <c r="IW99" s="90" t="n"/>
      <c r="IX99" s="35" t="n"/>
      <c r="IY99" s="52" t="n">
        <v>0</v>
      </c>
      <c r="IZ99" s="92" t="n"/>
      <c r="JA99" s="380" t="n"/>
      <c r="JB99" s="35" t="n"/>
      <c r="JC99" s="381">
        <f>HG99+HK99+HO99+HS99+HW99+IA99+IE99+II99+IM99+IQ99+IU99+IY99</f>
        <v/>
      </c>
      <c r="JD99" s="381" t="n"/>
    </row>
    <row r="100" ht="14.7" customFormat="1" customHeight="1" s="93">
      <c r="A100" s="382" t="n"/>
      <c r="B100" s="382" t="n"/>
      <c r="C100" s="382" t="n"/>
      <c r="D100" s="382" t="n"/>
      <c r="E100" s="25" t="n">
        <v>16</v>
      </c>
      <c r="F100" s="83" t="n"/>
      <c r="G100" s="83" t="n">
        <v>4640060020</v>
      </c>
      <c r="H100" s="67" t="inlineStr">
        <is>
          <t>Кран уровня пола без фитингов</t>
        </is>
      </c>
      <c r="I100" s="84" t="n">
        <v>281.85</v>
      </c>
      <c r="J100" s="85" t="n">
        <v>281.85</v>
      </c>
      <c r="K100" s="85" t="n">
        <v>281.85</v>
      </c>
      <c r="L100" s="85" t="n">
        <v>281.85</v>
      </c>
      <c r="M100" s="85" t="n"/>
      <c r="N100" s="85" t="n"/>
      <c r="O100" s="70" t="n"/>
      <c r="P100" s="71" t="n"/>
      <c r="Q100" s="72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4" t="n"/>
      <c r="AC100" s="73" t="n"/>
      <c r="AD100" s="75" t="n"/>
      <c r="AE100" s="73" t="n"/>
      <c r="AF100" s="76" t="n"/>
      <c r="AG100" s="73" t="n"/>
      <c r="AH100" s="75" t="n"/>
      <c r="AI100" s="77" t="n"/>
      <c r="AJ100" s="78" t="n"/>
      <c r="AK100" s="73" t="n"/>
      <c r="AL100" s="73" t="n"/>
      <c r="AM100" s="77" t="n"/>
      <c r="AN100" s="77" t="n"/>
      <c r="AO100" s="73" t="n"/>
      <c r="AP100" s="73" t="n"/>
      <c r="AQ100" s="77" t="n"/>
      <c r="AR100" s="79" t="n"/>
      <c r="AS100" s="73" t="n"/>
      <c r="AT100" s="73" t="n"/>
      <c r="AU100" s="77" t="n"/>
      <c r="AV100" s="77" t="n"/>
      <c r="AW100" s="73" t="n"/>
      <c r="AX100" s="73" t="n"/>
      <c r="AY100" s="70" t="n"/>
      <c r="AZ100" s="80" t="n"/>
      <c r="BA100" s="32" t="n"/>
      <c r="BB100" s="81" t="n"/>
      <c r="BC100" s="30" t="n"/>
      <c r="BD100" s="86" t="n"/>
      <c r="BE100" s="87" t="n"/>
      <c r="BF100" s="34" t="n"/>
      <c r="BG100" s="41" t="n"/>
      <c r="BH100" s="88" t="n"/>
      <c r="BI100" s="42" t="n"/>
      <c r="BJ100" s="34" t="n"/>
      <c r="BK100" s="381" t="n"/>
      <c r="BL100" s="381" t="n"/>
      <c r="BM100" s="41" t="n"/>
      <c r="BN100" s="35" t="n"/>
      <c r="BO100" s="44" t="n"/>
      <c r="BP100" s="35" t="n"/>
      <c r="BQ100" s="45" t="n"/>
      <c r="BR100" s="82" t="n"/>
      <c r="BS100" s="44" t="n"/>
      <c r="BT100" s="35" t="n"/>
      <c r="BU100" s="45" t="n"/>
      <c r="BV100" s="46" t="n"/>
      <c r="BW100" s="44" t="n"/>
      <c r="BX100" s="35" t="n"/>
      <c r="BY100" s="45" t="n"/>
      <c r="BZ100" s="82" t="n"/>
      <c r="CA100" s="44" t="n"/>
      <c r="CB100" s="36" t="n"/>
      <c r="CC100" s="45" t="n"/>
      <c r="CD100" s="52" t="n"/>
      <c r="CE100" s="44" t="n"/>
      <c r="CF100" s="36" t="n"/>
      <c r="CG100" s="45" t="n"/>
      <c r="CH100" s="242" t="n"/>
      <c r="CI100" s="44" t="n"/>
      <c r="CJ100" s="35" t="n"/>
      <c r="CK100" s="45" t="n"/>
      <c r="CL100" s="242" t="n"/>
      <c r="CM100" s="44" t="n"/>
      <c r="CN100" s="35" t="n"/>
      <c r="CO100" s="45" t="n"/>
      <c r="CP100" s="243" t="n"/>
      <c r="CQ100" s="44" t="n"/>
      <c r="CR100" s="35" t="n"/>
      <c r="CS100" s="45" t="n"/>
      <c r="CT100" s="91" t="n"/>
      <c r="CU100" s="44" t="n"/>
      <c r="CV100" s="35" t="n"/>
      <c r="CW100" s="45" t="n"/>
      <c r="CX100" s="91" t="n"/>
      <c r="CY100" s="44" t="n"/>
      <c r="CZ100" s="35" t="n"/>
      <c r="DA100" s="45" t="n"/>
      <c r="DB100" s="53" t="n"/>
      <c r="DC100" s="284" t="n">
        <v>5</v>
      </c>
      <c r="DD100" s="35" t="n"/>
      <c r="DE100" s="45" t="n"/>
      <c r="DF100" s="289" t="n">
        <v>32</v>
      </c>
      <c r="DG100" s="380" t="n">
        <v>32</v>
      </c>
      <c r="DH100" s="35" t="n"/>
      <c r="DI100" s="379" t="n"/>
      <c r="DJ100" s="379" t="n"/>
      <c r="DK100" s="82" t="n"/>
      <c r="DL100" s="35" t="n"/>
      <c r="DM100" s="44" t="n"/>
      <c r="DN100" s="35" t="n"/>
      <c r="DO100" s="82" t="n"/>
      <c r="DP100" s="35" t="n"/>
      <c r="DQ100" s="44" t="n">
        <v>0</v>
      </c>
      <c r="DR100" s="35" t="n"/>
      <c r="DS100" s="82" t="n"/>
      <c r="DT100" s="35" t="n"/>
      <c r="DU100" s="44" t="n"/>
      <c r="DV100" s="35" t="n"/>
      <c r="DW100" s="82" t="n"/>
      <c r="DX100" s="35" t="n"/>
      <c r="DY100" s="44" t="n">
        <v>0</v>
      </c>
      <c r="DZ100" s="36" t="n"/>
      <c r="EA100" s="82" t="n"/>
      <c r="EB100" s="35" t="n"/>
      <c r="EC100" s="44" t="n">
        <v>0</v>
      </c>
      <c r="ED100" s="36" t="n"/>
      <c r="EE100" s="82" t="n"/>
      <c r="EF100" s="35" t="n"/>
      <c r="EG100" s="44" t="n"/>
      <c r="EH100" s="35" t="n"/>
      <c r="EI100" s="82" t="n"/>
      <c r="EJ100" s="35" t="n"/>
      <c r="EK100" s="44" t="n"/>
      <c r="EL100" s="35" t="n"/>
      <c r="EM100" s="82" t="n"/>
      <c r="EN100" s="35" t="n"/>
      <c r="EO100" s="44" t="n"/>
      <c r="EP100" s="35" t="n"/>
      <c r="EQ100" s="82" t="n"/>
      <c r="ER100" s="91" t="n"/>
      <c r="ES100" s="44" t="n"/>
      <c r="ET100" s="35" t="n"/>
      <c r="EU100" s="82" t="n"/>
      <c r="EV100" s="91" t="n"/>
      <c r="EW100" s="44" t="n"/>
      <c r="EX100" s="35" t="n"/>
      <c r="EY100" s="82" t="n"/>
      <c r="EZ100" s="53" t="n"/>
      <c r="FA100" s="288" t="n"/>
      <c r="FB100" s="35" t="n"/>
      <c r="FC100" s="82" t="n"/>
      <c r="FD100" s="92" t="n"/>
      <c r="FE100" s="380" t="n"/>
      <c r="FF100" s="35" t="n"/>
      <c r="FG100" s="379" t="n"/>
      <c r="FH100" s="379" t="n"/>
      <c r="FI100" s="52" t="n"/>
      <c r="FJ100" s="35" t="n"/>
      <c r="FK100" s="44" t="n"/>
      <c r="FL100" s="35" t="n"/>
      <c r="FM100" s="52" t="n"/>
      <c r="FN100" s="82" t="n"/>
      <c r="FO100" s="44" t="n"/>
      <c r="FP100" s="35" t="n"/>
      <c r="FQ100" s="52" t="n"/>
      <c r="FR100" s="46" t="n"/>
      <c r="FS100" s="44" t="n"/>
      <c r="FT100" s="35" t="n"/>
      <c r="FU100" s="52" t="n"/>
      <c r="FV100" s="82" t="n"/>
      <c r="FW100" s="44" t="n"/>
      <c r="FX100" s="36" t="n"/>
      <c r="FY100" s="52" t="n"/>
      <c r="FZ100" s="52" t="n"/>
      <c r="GA100" s="44" t="n"/>
      <c r="GB100" s="36" t="n"/>
      <c r="GC100" s="52" t="n"/>
      <c r="GD100" s="52" t="n"/>
      <c r="GE100" s="44" t="n"/>
      <c r="GF100" s="35" t="n"/>
      <c r="GG100" s="52" t="n"/>
      <c r="GH100" s="52" t="n"/>
      <c r="GI100" s="44" t="n"/>
      <c r="GJ100" s="35" t="n"/>
      <c r="GK100" s="52" t="n"/>
      <c r="GL100" s="91" t="n"/>
      <c r="GM100" s="44" t="n"/>
      <c r="GN100" s="35" t="n"/>
      <c r="GO100" s="52" t="n"/>
      <c r="GP100" s="91" t="n"/>
      <c r="GQ100" s="44" t="n"/>
      <c r="GR100" s="35" t="n"/>
      <c r="GS100" s="52" t="n"/>
      <c r="GT100" s="91" t="n"/>
      <c r="GU100" s="44" t="n"/>
      <c r="GV100" s="35" t="n"/>
      <c r="GW100" s="52" t="n"/>
      <c r="GX100" s="53" t="n"/>
      <c r="GY100" s="90" t="n"/>
      <c r="GZ100" s="35" t="n"/>
      <c r="HA100" s="52" t="n"/>
      <c r="HB100" s="92" t="n"/>
      <c r="HC100" s="380" t="n"/>
      <c r="HD100" s="35" t="n"/>
      <c r="HE100" s="379" t="n"/>
      <c r="HF100" s="379" t="n"/>
      <c r="HG100" s="52" t="n"/>
      <c r="HH100" s="35" t="n"/>
      <c r="HI100" s="44" t="n"/>
      <c r="HJ100" s="35" t="n"/>
      <c r="HK100" s="52" t="n"/>
      <c r="HL100" s="82" t="n"/>
      <c r="HM100" s="44" t="n"/>
      <c r="HN100" s="35" t="n"/>
      <c r="HO100" s="52" t="n"/>
      <c r="HP100" s="46" t="n"/>
      <c r="HQ100" s="44" t="n"/>
      <c r="HR100" s="35" t="n"/>
      <c r="HS100" s="52" t="n"/>
      <c r="HT100" s="82" t="n"/>
      <c r="HU100" s="44" t="n"/>
      <c r="HV100" s="36" t="n"/>
      <c r="HW100" s="52" t="n"/>
      <c r="HX100" s="52" t="n"/>
      <c r="HY100" s="44" t="n"/>
      <c r="HZ100" s="36" t="n"/>
      <c r="IA100" s="52" t="n"/>
      <c r="IB100" s="52" t="n"/>
      <c r="IC100" s="44" t="n"/>
      <c r="ID100" s="35" t="n"/>
      <c r="IE100" s="52" t="n"/>
      <c r="IF100" s="52" t="n"/>
      <c r="IG100" s="44" t="n"/>
      <c r="IH100" s="35" t="n"/>
      <c r="II100" s="52" t="n"/>
      <c r="IJ100" s="91" t="n"/>
      <c r="IK100" s="44" t="n"/>
      <c r="IL100" s="35" t="n"/>
      <c r="IM100" s="52" t="n"/>
      <c r="IN100" s="91" t="n"/>
      <c r="IO100" s="44" t="n"/>
      <c r="IP100" s="35" t="n"/>
      <c r="IQ100" s="52" t="n"/>
      <c r="IR100" s="91" t="n"/>
      <c r="IS100" s="44" t="n"/>
      <c r="IT100" s="35" t="n"/>
      <c r="IU100" s="52" t="n"/>
      <c r="IV100" s="53" t="n"/>
      <c r="IW100" s="90" t="n"/>
      <c r="IX100" s="35" t="n"/>
      <c r="IY100" s="52" t="n"/>
      <c r="IZ100" s="92" t="n"/>
      <c r="JA100" s="380" t="n"/>
      <c r="JB100" s="35" t="n"/>
      <c r="JC100" s="381" t="n"/>
      <c r="JD100" s="381" t="n"/>
    </row>
    <row r="101">
      <c r="A101" s="232" t="n"/>
      <c r="B101" s="232" t="n"/>
      <c r="C101" s="232" t="n"/>
      <c r="D101" s="382" t="n"/>
      <c r="E101" s="25" t="n">
        <v>17</v>
      </c>
      <c r="F101" s="83" t="n">
        <v>1</v>
      </c>
      <c r="G101" s="83" t="n">
        <v>4750103050</v>
      </c>
      <c r="H101" s="67" t="inlineStr">
        <is>
          <t>Клапан ограничения давления</t>
        </is>
      </c>
      <c r="I101" s="84" t="n"/>
      <c r="J101" s="85" t="n">
        <v>61.39</v>
      </c>
      <c r="K101" s="85" t="n">
        <v>0</v>
      </c>
      <c r="L101" s="85" t="n">
        <v>0</v>
      </c>
      <c r="M101" s="85" t="n"/>
      <c r="N101" s="85" t="n"/>
      <c r="O101" s="70" t="n"/>
      <c r="P101" s="71" t="n"/>
      <c r="Q101" s="72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4" t="n"/>
      <c r="AC101" s="73" t="n"/>
      <c r="AD101" s="75" t="n"/>
      <c r="AE101" s="73" t="n"/>
      <c r="AF101" s="76" t="n"/>
      <c r="AG101" s="73" t="n"/>
      <c r="AH101" s="75" t="n"/>
      <c r="AI101" s="77" t="n"/>
      <c r="AJ101" s="78" t="n"/>
      <c r="AK101" s="73" t="n"/>
      <c r="AL101" s="73" t="n"/>
      <c r="AM101" s="77" t="n"/>
      <c r="AN101" s="77" t="n"/>
      <c r="AO101" s="73" t="n"/>
      <c r="AP101" s="73" t="n"/>
      <c r="AQ101" s="77" t="n"/>
      <c r="AR101" s="79" t="n"/>
      <c r="AS101" s="73" t="n"/>
      <c r="AT101" s="73" t="n"/>
      <c r="AU101" s="77" t="n"/>
      <c r="AV101" s="77" t="n"/>
      <c r="AW101" s="73" t="n"/>
      <c r="AX101" s="73" t="n"/>
      <c r="AY101" s="70" t="n"/>
      <c r="AZ101" s="80" t="n"/>
      <c r="BA101" s="32" t="n"/>
      <c r="BB101" s="81" t="n"/>
      <c r="BC101" s="30" t="n"/>
      <c r="BD101" s="86" t="n"/>
      <c r="BE101" s="87" t="n"/>
      <c r="BF101" s="34" t="n"/>
      <c r="BG101" s="41" t="n"/>
      <c r="BH101" s="88" t="n">
        <v>0</v>
      </c>
      <c r="BI101" s="42" t="n">
        <v>0</v>
      </c>
      <c r="BJ101" s="34" t="n"/>
      <c r="BK101" s="381" t="n"/>
      <c r="BL101" s="381" t="n"/>
      <c r="BM101" s="41" t="n"/>
      <c r="BN101" s="35" t="n">
        <v>0</v>
      </c>
      <c r="BO101" s="44" t="n">
        <v>0</v>
      </c>
      <c r="BP101" s="35" t="n"/>
      <c r="BQ101" s="45" t="n"/>
      <c r="BR101" s="82" t="n">
        <v>0</v>
      </c>
      <c r="BS101" s="44" t="n">
        <v>0</v>
      </c>
      <c r="BT101" s="35" t="n"/>
      <c r="BU101" s="45" t="n"/>
      <c r="BV101" s="82" t="n">
        <v>0</v>
      </c>
      <c r="BW101" s="44" t="n"/>
      <c r="BX101" s="35" t="n"/>
      <c r="BY101" s="45" t="n"/>
      <c r="BZ101" s="82" t="n">
        <v>0</v>
      </c>
      <c r="CA101" s="44" t="n"/>
      <c r="CB101" s="36" t="n"/>
      <c r="CC101" s="45" t="n"/>
      <c r="CD101" s="52" t="n">
        <v>30</v>
      </c>
      <c r="CE101" s="44" t="n">
        <v>0</v>
      </c>
      <c r="CF101" s="36" t="n"/>
      <c r="CG101" s="45" t="n"/>
      <c r="CH101" s="242" t="n">
        <v>0</v>
      </c>
      <c r="CI101" s="44" t="n">
        <v>0</v>
      </c>
      <c r="CJ101" s="35" t="n"/>
      <c r="CK101" s="45" t="n"/>
      <c r="CL101" s="242" t="n">
        <v>0</v>
      </c>
      <c r="CM101" s="44" t="n">
        <v>0</v>
      </c>
      <c r="CN101" s="35" t="n"/>
      <c r="CO101" s="45" t="n"/>
      <c r="CP101" s="243" t="n">
        <v>0</v>
      </c>
      <c r="CQ101" s="44" t="n"/>
      <c r="CR101" s="35" t="n"/>
      <c r="CS101" s="45" t="n"/>
      <c r="CT101" s="91" t="n">
        <v>0</v>
      </c>
      <c r="CU101" s="44" t="n"/>
      <c r="CV101" s="35" t="n"/>
      <c r="CW101" s="45" t="n"/>
      <c r="CX101" s="91" t="n">
        <v>0</v>
      </c>
      <c r="CY101" s="44" t="n">
        <v>0</v>
      </c>
      <c r="CZ101" s="35" t="n"/>
      <c r="DA101" s="45" t="n"/>
      <c r="DB101" s="53" t="n">
        <v>0</v>
      </c>
      <c r="DC101" s="284" t="n"/>
      <c r="DD101" s="35" t="n"/>
      <c r="DE101" s="45" t="n"/>
      <c r="DF101" s="92" t="n">
        <v>0</v>
      </c>
      <c r="DG101" s="380" t="n"/>
      <c r="DH101" s="35" t="n"/>
      <c r="DI101" s="379">
        <f>BM101+BQ101+BU101+BY101+CC101+CG101+CK101+CO101+CS101+CW101+DA101+DE101</f>
        <v/>
      </c>
      <c r="DJ101" s="379" t="n"/>
      <c r="DK101" s="82" t="n"/>
      <c r="DL101" s="35" t="n"/>
      <c r="DM101" s="44" t="n"/>
      <c r="DN101" s="35" t="n"/>
      <c r="DO101" s="82" t="n">
        <v>0</v>
      </c>
      <c r="DP101" s="35" t="n"/>
      <c r="DQ101" s="44" t="n">
        <v>0</v>
      </c>
      <c r="DR101" s="35" t="n"/>
      <c r="DS101" s="82" t="n">
        <v>0</v>
      </c>
      <c r="DT101" s="35" t="n"/>
      <c r="DU101" s="44" t="n"/>
      <c r="DV101" s="35" t="n"/>
      <c r="DW101" s="82" t="n">
        <v>0</v>
      </c>
      <c r="DX101" s="35" t="n">
        <v>0</v>
      </c>
      <c r="DY101" s="44" t="n">
        <v>0</v>
      </c>
      <c r="DZ101" s="36" t="n"/>
      <c r="EA101" s="82" t="n">
        <v>0</v>
      </c>
      <c r="EB101" s="35" t="n">
        <v>0</v>
      </c>
      <c r="EC101" s="44" t="n"/>
      <c r="ED101" s="36" t="n"/>
      <c r="EE101" s="82" t="n">
        <v>0</v>
      </c>
      <c r="EF101" s="35" t="n">
        <v>0</v>
      </c>
      <c r="EG101" s="44" t="n"/>
      <c r="EH101" s="35" t="n"/>
      <c r="EI101" s="82" t="n">
        <v>0</v>
      </c>
      <c r="EJ101" s="35" t="n">
        <v>0</v>
      </c>
      <c r="EK101" s="44" t="n"/>
      <c r="EL101" s="35" t="n"/>
      <c r="EM101" s="82" t="n">
        <v>0</v>
      </c>
      <c r="EN101" s="35" t="n">
        <v>0</v>
      </c>
      <c r="EO101" s="44" t="n"/>
      <c r="EP101" s="35" t="n"/>
      <c r="EQ101" s="82" t="n">
        <v>0</v>
      </c>
      <c r="ER101" s="91" t="n">
        <v>0</v>
      </c>
      <c r="ES101" s="44" t="n"/>
      <c r="ET101" s="35" t="n"/>
      <c r="EU101" s="82" t="n">
        <v>0</v>
      </c>
      <c r="EV101" s="91" t="n">
        <v>0</v>
      </c>
      <c r="EW101" s="44" t="n"/>
      <c r="EX101" s="35" t="n"/>
      <c r="EY101" s="82" t="n">
        <v>0</v>
      </c>
      <c r="EZ101" s="53" t="n">
        <v>0</v>
      </c>
      <c r="FA101" s="288" t="n"/>
      <c r="FB101" s="35" t="n"/>
      <c r="FC101" s="82" t="n">
        <v>0</v>
      </c>
      <c r="FD101" s="92" t="n">
        <v>0</v>
      </c>
      <c r="FE101" s="380" t="n"/>
      <c r="FF101" s="35" t="n"/>
      <c r="FG101" s="379">
        <f>DK101+DO101+DS101+DW101+EA101+EE101+EI101+EM101+EQ101+EU101+EY101+FC101</f>
        <v/>
      </c>
      <c r="FH101" s="379" t="n"/>
      <c r="FI101" s="52" t="n">
        <v>0</v>
      </c>
      <c r="FJ101" s="35" t="n"/>
      <c r="FK101" s="44" t="n"/>
      <c r="FL101" s="35" t="n"/>
      <c r="FM101" s="52" t="n">
        <v>0</v>
      </c>
      <c r="FN101" s="82" t="n"/>
      <c r="FO101" s="44" t="n"/>
      <c r="FP101" s="35" t="n"/>
      <c r="FQ101" s="52" t="n">
        <v>0</v>
      </c>
      <c r="FR101" s="82" t="n"/>
      <c r="FS101" s="44" t="n"/>
      <c r="FT101" s="35" t="n"/>
      <c r="FU101" s="52" t="n">
        <v>0</v>
      </c>
      <c r="FV101" s="82" t="n"/>
      <c r="FW101" s="44" t="n"/>
      <c r="FX101" s="36" t="n"/>
      <c r="FY101" s="52" t="n">
        <v>0</v>
      </c>
      <c r="FZ101" s="52" t="n"/>
      <c r="GA101" s="44" t="n"/>
      <c r="GB101" s="36" t="n"/>
      <c r="GC101" s="52" t="n">
        <v>0</v>
      </c>
      <c r="GD101" s="52" t="n"/>
      <c r="GE101" s="44" t="n"/>
      <c r="GF101" s="35" t="n"/>
      <c r="GG101" s="52" t="n">
        <v>0</v>
      </c>
      <c r="GH101" s="52" t="n"/>
      <c r="GI101" s="44" t="n"/>
      <c r="GJ101" s="35" t="n"/>
      <c r="GK101" s="52" t="n">
        <v>0</v>
      </c>
      <c r="GL101" s="91" t="n"/>
      <c r="GM101" s="44" t="n"/>
      <c r="GN101" s="35" t="n"/>
      <c r="GO101" s="52" t="n">
        <v>0</v>
      </c>
      <c r="GP101" s="91" t="n"/>
      <c r="GQ101" s="44" t="n"/>
      <c r="GR101" s="35" t="n"/>
      <c r="GS101" s="52" t="n">
        <v>0</v>
      </c>
      <c r="GT101" s="91" t="n"/>
      <c r="GU101" s="44" t="n"/>
      <c r="GV101" s="35" t="n"/>
      <c r="GW101" s="52" t="n">
        <v>0</v>
      </c>
      <c r="GX101" s="53" t="n"/>
      <c r="GY101" s="90" t="n"/>
      <c r="GZ101" s="35" t="n"/>
      <c r="HA101" s="52" t="n">
        <v>0</v>
      </c>
      <c r="HB101" s="92" t="n"/>
      <c r="HC101" s="380" t="n"/>
      <c r="HD101" s="35" t="n"/>
      <c r="HE101" s="379">
        <f>FI101+FM101+FQ101+FU101+FY101+GC101+GG101+GK101+GO101+GS101+GW101+HA101</f>
        <v/>
      </c>
      <c r="HF101" s="379" t="n"/>
      <c r="HG101" s="52" t="n">
        <v>0</v>
      </c>
      <c r="HH101" s="35" t="n"/>
      <c r="HI101" s="44" t="n"/>
      <c r="HJ101" s="35" t="n"/>
      <c r="HK101" s="52" t="n">
        <v>0</v>
      </c>
      <c r="HL101" s="82" t="n"/>
      <c r="HM101" s="44" t="n"/>
      <c r="HN101" s="35" t="n"/>
      <c r="HO101" s="52" t="n">
        <v>0</v>
      </c>
      <c r="HP101" s="82" t="n"/>
      <c r="HQ101" s="44" t="n"/>
      <c r="HR101" s="35" t="n"/>
      <c r="HS101" s="52" t="n">
        <v>0</v>
      </c>
      <c r="HT101" s="82" t="n"/>
      <c r="HU101" s="44" t="n"/>
      <c r="HV101" s="36" t="n"/>
      <c r="HW101" s="52" t="n">
        <v>0</v>
      </c>
      <c r="HX101" s="52" t="n"/>
      <c r="HY101" s="44" t="n"/>
      <c r="HZ101" s="36" t="n"/>
      <c r="IA101" s="52" t="n">
        <v>0</v>
      </c>
      <c r="IB101" s="52" t="n"/>
      <c r="IC101" s="44" t="n"/>
      <c r="ID101" s="35" t="n"/>
      <c r="IE101" s="52" t="n">
        <v>0</v>
      </c>
      <c r="IF101" s="52" t="n"/>
      <c r="IG101" s="44" t="n"/>
      <c r="IH101" s="35" t="n"/>
      <c r="II101" s="52" t="n">
        <v>0</v>
      </c>
      <c r="IJ101" s="91" t="n"/>
      <c r="IK101" s="44" t="n"/>
      <c r="IL101" s="35" t="n"/>
      <c r="IM101" s="52" t="n">
        <v>0</v>
      </c>
      <c r="IN101" s="91" t="n"/>
      <c r="IO101" s="44" t="n"/>
      <c r="IP101" s="35" t="n"/>
      <c r="IQ101" s="52" t="n">
        <v>0</v>
      </c>
      <c r="IR101" s="91" t="n"/>
      <c r="IS101" s="44" t="n"/>
      <c r="IT101" s="35" t="n"/>
      <c r="IU101" s="52" t="n">
        <v>0</v>
      </c>
      <c r="IV101" s="53" t="n"/>
      <c r="IW101" s="90" t="n"/>
      <c r="IX101" s="35" t="n"/>
      <c r="IY101" s="52" t="n">
        <v>0</v>
      </c>
      <c r="IZ101" s="92" t="n"/>
      <c r="JA101" s="380" t="n"/>
      <c r="JB101" s="35" t="n"/>
      <c r="JC101" s="381">
        <f>HG101+HK101+HO101+HS101+HW101+IA101+IE101+II101+IM101+IQ101+IU101+IY101</f>
        <v/>
      </c>
      <c r="JD101" s="381" t="n"/>
    </row>
    <row r="102">
      <c r="A102" s="247" t="n"/>
      <c r="B102" s="247" t="n"/>
      <c r="C102" s="247" t="n"/>
      <c r="D102" s="247" t="n"/>
      <c r="E102" s="96" t="n"/>
      <c r="F102" s="96" t="n"/>
      <c r="G102" s="160" t="n"/>
      <c r="H102" s="98" t="inlineStr">
        <is>
          <t>Итого</t>
        </is>
      </c>
      <c r="I102" s="99" t="n"/>
      <c r="J102" s="99" t="n"/>
      <c r="K102" s="99" t="n"/>
      <c r="L102" s="99" t="n"/>
      <c r="M102" s="99" t="n"/>
      <c r="N102" s="99" t="n"/>
      <c r="O102" s="70" t="n"/>
      <c r="P102" s="71" t="n"/>
      <c r="Q102" s="72" t="n"/>
      <c r="R102" s="71" t="n"/>
      <c r="S102" s="70" t="n"/>
      <c r="T102" s="71" t="n"/>
      <c r="U102" s="72" t="n"/>
      <c r="V102" s="71" t="n"/>
      <c r="W102" s="70" t="n"/>
      <c r="X102" s="71" t="n"/>
      <c r="Y102" s="72" t="n"/>
      <c r="Z102" s="71" t="n"/>
      <c r="AA102" s="70" t="n"/>
      <c r="AB102" s="71" t="n"/>
      <c r="AC102" s="32" t="n"/>
      <c r="AD102" s="100" t="n"/>
      <c r="AE102" s="70" t="n"/>
      <c r="AF102" s="101" t="n"/>
      <c r="AG102" s="72" t="n"/>
      <c r="AH102" s="71" t="n"/>
      <c r="AI102" s="102" t="n"/>
      <c r="AJ102" s="103" t="n"/>
      <c r="AK102" s="32" t="n"/>
      <c r="AL102" s="71" t="n"/>
      <c r="AM102" s="102" t="n"/>
      <c r="AN102" s="104" t="n"/>
      <c r="AO102" s="32" t="n"/>
      <c r="AP102" s="71" t="n"/>
      <c r="AQ102" s="102" t="n"/>
      <c r="AR102" s="103" t="n"/>
      <c r="AS102" s="32" t="n"/>
      <c r="AT102" s="71" t="n"/>
      <c r="AU102" s="102" t="n"/>
      <c r="AV102" s="104" t="n"/>
      <c r="AW102" s="32" t="n"/>
      <c r="AX102" s="71" t="n"/>
      <c r="AY102" s="70" t="n"/>
      <c r="AZ102" s="104" t="n"/>
      <c r="BA102" s="72" t="n"/>
      <c r="BB102" s="100" t="n"/>
      <c r="BC102" s="70" t="n"/>
      <c r="BD102" s="53" t="n"/>
      <c r="BE102" s="105" t="n"/>
      <c r="BF102" s="100" t="n"/>
      <c r="BG102" s="106" t="n"/>
      <c r="BH102" s="107" t="n"/>
      <c r="BI102" s="383" t="n"/>
      <c r="BJ102" s="100" t="n"/>
      <c r="BK102" s="384">
        <f>SUM(BK85:BK97)</f>
        <v/>
      </c>
      <c r="BL102" s="384">
        <f>SUM(BL85:BL97)</f>
        <v/>
      </c>
      <c r="BM102" s="70" t="n"/>
      <c r="BN102" s="71" t="n"/>
      <c r="BO102" s="72" t="n"/>
      <c r="BP102" s="71" t="n"/>
      <c r="BQ102" s="70" t="n"/>
      <c r="BR102" s="71" t="n"/>
      <c r="BS102" s="72" t="n"/>
      <c r="BT102" s="71" t="n"/>
      <c r="BU102" s="30" t="n"/>
      <c r="BV102" s="71" t="n"/>
      <c r="BW102" s="72" t="n"/>
      <c r="BX102" s="71" t="n"/>
      <c r="BY102" s="30" t="n"/>
      <c r="BZ102" s="71" t="n"/>
      <c r="CA102" s="32" t="n"/>
      <c r="CB102" s="100" t="n"/>
      <c r="CC102" s="70" t="n"/>
      <c r="CD102" s="101" t="n"/>
      <c r="CE102" s="32" t="n">
        <v>0</v>
      </c>
      <c r="CF102" s="71" t="n"/>
      <c r="CG102" s="102" t="n"/>
      <c r="CH102" s="103" t="n"/>
      <c r="CI102" s="32" t="n"/>
      <c r="CJ102" s="71" t="n"/>
      <c r="CK102" s="102" t="n"/>
      <c r="CL102" s="104" t="n"/>
      <c r="CM102" s="32" t="n"/>
      <c r="CN102" s="71" t="n"/>
      <c r="CO102" s="102" t="n"/>
      <c r="CP102" s="103" t="n"/>
      <c r="CQ102" s="32" t="n"/>
      <c r="CR102" s="71" t="n"/>
      <c r="CS102" s="102" t="n"/>
      <c r="CT102" s="104" t="n"/>
      <c r="CU102" s="32" t="n"/>
      <c r="CV102" s="71" t="n"/>
      <c r="CW102" s="70" t="n"/>
      <c r="CX102" s="104" t="n"/>
      <c r="CY102" s="72" t="n"/>
      <c r="CZ102" s="71" t="n"/>
      <c r="DA102" s="70" t="n"/>
      <c r="DB102" s="53" t="n"/>
      <c r="DC102" s="105" t="n"/>
      <c r="DD102" s="71" t="n"/>
      <c r="DE102" s="70" t="n"/>
      <c r="DF102" s="107" t="n"/>
      <c r="DG102" s="383" t="n"/>
      <c r="DH102" s="71" t="n"/>
      <c r="DI102" s="384">
        <f>SUM(DI85:DI97)</f>
        <v/>
      </c>
      <c r="DJ102" s="384">
        <f>SUM(DJ85:DJ97)</f>
        <v/>
      </c>
      <c r="DK102" s="70" t="n"/>
      <c r="DL102" s="71" t="n"/>
      <c r="DM102" s="72" t="n"/>
      <c r="DN102" s="71" t="n"/>
      <c r="DO102" s="70" t="n"/>
      <c r="DP102" s="71" t="n"/>
      <c r="DQ102" s="72" t="n"/>
      <c r="DR102" s="71" t="n"/>
      <c r="DS102" s="30" t="n"/>
      <c r="DT102" s="71" t="n"/>
      <c r="DU102" s="72" t="n"/>
      <c r="DV102" s="71" t="n"/>
      <c r="DW102" s="30" t="n"/>
      <c r="DX102" s="71" t="n"/>
      <c r="DY102" s="32" t="n"/>
      <c r="DZ102" s="100" t="n"/>
      <c r="EA102" s="70" t="n"/>
      <c r="EB102" s="101" t="n"/>
      <c r="EC102" s="72" t="n"/>
      <c r="ED102" s="71" t="n"/>
      <c r="EE102" s="102" t="n"/>
      <c r="EF102" s="103" t="n"/>
      <c r="EG102" s="32" t="n"/>
      <c r="EH102" s="71" t="n"/>
      <c r="EI102" s="102" t="n"/>
      <c r="EJ102" s="104" t="n"/>
      <c r="EK102" s="32" t="n"/>
      <c r="EL102" s="71" t="n"/>
      <c r="EM102" s="102" t="n"/>
      <c r="EN102" s="103" t="n"/>
      <c r="EO102" s="32" t="n"/>
      <c r="EP102" s="71" t="n"/>
      <c r="EQ102" s="102" t="n"/>
      <c r="ER102" s="104" t="n"/>
      <c r="ES102" s="32" t="n"/>
      <c r="ET102" s="71" t="n"/>
      <c r="EU102" s="70" t="n"/>
      <c r="EV102" s="104" t="n"/>
      <c r="EW102" s="72" t="n"/>
      <c r="EX102" s="71" t="n"/>
      <c r="EY102" s="70" t="n"/>
      <c r="EZ102" s="53" t="n"/>
      <c r="FA102" s="105" t="n"/>
      <c r="FB102" s="71" t="n"/>
      <c r="FC102" s="70" t="n"/>
      <c r="FD102" s="107" t="n"/>
      <c r="FE102" s="383" t="n"/>
      <c r="FF102" s="71" t="n"/>
      <c r="FG102" s="384">
        <f>SUM(FG85:FG97)</f>
        <v/>
      </c>
      <c r="FH102" s="384">
        <f>SUM(FH85:FH97)</f>
        <v/>
      </c>
      <c r="FI102" s="70" t="n"/>
      <c r="FJ102" s="71" t="n"/>
      <c r="FK102" s="72" t="n"/>
      <c r="FL102" s="71" t="n"/>
      <c r="FM102" s="70" t="n"/>
      <c r="FN102" s="71" t="n"/>
      <c r="FO102" s="72" t="n"/>
      <c r="FP102" s="71" t="n"/>
      <c r="FQ102" s="30" t="n"/>
      <c r="FR102" s="71" t="n"/>
      <c r="FS102" s="72" t="n"/>
      <c r="FT102" s="71" t="n"/>
      <c r="FU102" s="30" t="n"/>
      <c r="FV102" s="71" t="n"/>
      <c r="FW102" s="32" t="n"/>
      <c r="FX102" s="100" t="n"/>
      <c r="FY102" s="70" t="n"/>
      <c r="FZ102" s="101" t="n"/>
      <c r="GA102" s="72" t="n"/>
      <c r="GB102" s="71" t="n"/>
      <c r="GC102" s="102" t="n"/>
      <c r="GD102" s="103" t="n"/>
      <c r="GE102" s="32" t="n"/>
      <c r="GF102" s="71" t="n"/>
      <c r="GG102" s="102" t="n"/>
      <c r="GH102" s="104" t="n"/>
      <c r="GI102" s="32" t="n"/>
      <c r="GJ102" s="71" t="n"/>
      <c r="GK102" s="102" t="n"/>
      <c r="GL102" s="103" t="n"/>
      <c r="GM102" s="32" t="n"/>
      <c r="GN102" s="71" t="n"/>
      <c r="GO102" s="102" t="n"/>
      <c r="GP102" s="104" t="n"/>
      <c r="GQ102" s="32" t="n"/>
      <c r="GR102" s="71" t="n"/>
      <c r="GS102" s="70" t="n"/>
      <c r="GT102" s="104" t="n"/>
      <c r="GU102" s="72" t="n"/>
      <c r="GV102" s="71" t="n"/>
      <c r="GW102" s="70" t="n"/>
      <c r="GX102" s="53" t="n"/>
      <c r="GY102" s="105" t="n"/>
      <c r="GZ102" s="71" t="n"/>
      <c r="HA102" s="70" t="n"/>
      <c r="HB102" s="107" t="n"/>
      <c r="HC102" s="383" t="n"/>
      <c r="HD102" s="71" t="n"/>
      <c r="HE102" s="384">
        <f>SUM(HE85:HE97)</f>
        <v/>
      </c>
      <c r="HF102" s="384">
        <f>SUM(HF85:HF97)</f>
        <v/>
      </c>
      <c r="HG102" s="70" t="n"/>
      <c r="HH102" s="71" t="n"/>
      <c r="HI102" s="72" t="n"/>
      <c r="HJ102" s="71" t="n"/>
      <c r="HK102" s="70" t="n"/>
      <c r="HL102" s="71" t="n"/>
      <c r="HM102" s="72" t="n"/>
      <c r="HN102" s="71" t="n"/>
      <c r="HO102" s="30" t="n"/>
      <c r="HP102" s="71" t="n"/>
      <c r="HQ102" s="72" t="n"/>
      <c r="HR102" s="71" t="n"/>
      <c r="HS102" s="30" t="n"/>
      <c r="HT102" s="71" t="n"/>
      <c r="HU102" s="32" t="n"/>
      <c r="HV102" s="100" t="n"/>
      <c r="HW102" s="70" t="n"/>
      <c r="HX102" s="101" t="n"/>
      <c r="HY102" s="72" t="n"/>
      <c r="HZ102" s="71" t="n"/>
      <c r="IA102" s="102" t="n"/>
      <c r="IB102" s="103" t="n"/>
      <c r="IC102" s="32" t="n"/>
      <c r="ID102" s="71" t="n"/>
      <c r="IE102" s="102" t="n"/>
      <c r="IF102" s="104" t="n"/>
      <c r="IG102" s="32" t="n"/>
      <c r="IH102" s="71" t="n"/>
      <c r="II102" s="102" t="n"/>
      <c r="IJ102" s="103" t="n"/>
      <c r="IK102" s="32" t="n"/>
      <c r="IL102" s="71" t="n"/>
      <c r="IM102" s="102" t="n"/>
      <c r="IN102" s="104" t="n"/>
      <c r="IO102" s="32" t="n"/>
      <c r="IP102" s="71" t="n"/>
      <c r="IQ102" s="70" t="n"/>
      <c r="IR102" s="104" t="n"/>
      <c r="IS102" s="72" t="n"/>
      <c r="IT102" s="71" t="n"/>
      <c r="IU102" s="70" t="n"/>
      <c r="IV102" s="53" t="n"/>
      <c r="IW102" s="105" t="n"/>
      <c r="IX102" s="71" t="n"/>
      <c r="IY102" s="70" t="n"/>
      <c r="IZ102" s="107" t="n"/>
      <c r="JA102" s="383" t="n"/>
      <c r="JB102" s="71" t="n"/>
      <c r="JC102" s="384">
        <f>SUM(JC85:JC97)</f>
        <v/>
      </c>
      <c r="JD102" s="384">
        <f>SUM(JD85:JD98)</f>
        <v/>
      </c>
    </row>
    <row r="103">
      <c r="E103" s="248" t="n"/>
      <c r="F103" s="248" t="n"/>
      <c r="G103" s="249" t="n"/>
      <c r="H103" s="250" t="n"/>
      <c r="I103" s="251" t="n"/>
      <c r="J103" s="251" t="n"/>
      <c r="K103" s="251" t="n"/>
      <c r="L103" s="251" t="n"/>
      <c r="M103" s="251" t="n"/>
      <c r="N103" s="251" t="n"/>
      <c r="O103" s="252" t="n"/>
      <c r="P103" s="253" t="n"/>
      <c r="Q103" s="254" t="n"/>
      <c r="R103" s="253" t="n"/>
      <c r="S103" s="252" t="n"/>
      <c r="T103" s="253" t="n"/>
      <c r="U103" s="254" t="n"/>
      <c r="V103" s="253" t="n"/>
      <c r="W103" s="252" t="n"/>
      <c r="X103" s="253" t="n"/>
      <c r="Y103" s="254" t="n"/>
      <c r="Z103" s="253" t="n"/>
      <c r="AA103" s="252" t="n"/>
      <c r="AB103" s="253" t="n"/>
      <c r="AC103" s="55" t="n"/>
      <c r="AD103" s="255" t="n"/>
      <c r="AE103" s="252" t="n"/>
      <c r="AF103" s="256" t="n"/>
      <c r="AG103" s="254" t="n"/>
      <c r="AH103" s="253" t="n"/>
      <c r="AI103" s="252" t="n"/>
      <c r="AJ103" s="257" t="n"/>
      <c r="AK103" s="55" t="n"/>
      <c r="AL103" s="253" t="n"/>
      <c r="AM103" s="252" t="n"/>
      <c r="AN103" s="253" t="n"/>
      <c r="AO103" s="55" t="n"/>
      <c r="AP103" s="253" t="n"/>
      <c r="AQ103" s="252" t="n"/>
      <c r="AR103" s="257" t="n"/>
      <c r="AS103" s="55" t="n"/>
      <c r="AT103" s="253" t="n"/>
      <c r="AU103" s="252" t="n"/>
      <c r="AV103" s="253" t="n"/>
      <c r="AW103" s="55" t="n"/>
      <c r="AX103" s="253" t="n"/>
      <c r="AY103" s="252" t="n"/>
      <c r="AZ103" s="253" t="n"/>
      <c r="BA103" s="254" t="n"/>
      <c r="BB103" s="255" t="n"/>
      <c r="BC103" s="252" t="n"/>
      <c r="BD103" s="258" t="n"/>
      <c r="BE103" s="259" t="n"/>
      <c r="BF103" s="255" t="n"/>
      <c r="BG103" s="260" t="n"/>
      <c r="BH103" s="261" t="n"/>
      <c r="BI103" s="392" t="n"/>
      <c r="BJ103" s="255" t="n"/>
      <c r="BK103" s="393" t="n"/>
      <c r="BL103" s="393" t="n"/>
      <c r="BM103" s="252" t="n"/>
      <c r="BN103" s="253" t="n"/>
      <c r="BO103" s="254" t="n"/>
      <c r="BP103" s="253" t="n"/>
      <c r="BQ103" s="252" t="n"/>
      <c r="BR103" s="253" t="n"/>
      <c r="BS103" s="254" t="n"/>
      <c r="BT103" s="253" t="n"/>
      <c r="BU103" s="264" t="n"/>
      <c r="BV103" s="253" t="n"/>
      <c r="BW103" s="254" t="n"/>
      <c r="BX103" s="253" t="n"/>
      <c r="BY103" s="264" t="n"/>
      <c r="BZ103" s="253" t="n"/>
      <c r="CA103" s="55" t="n"/>
      <c r="CB103" s="255" t="n"/>
      <c r="CC103" s="252" t="n"/>
      <c r="CD103" s="256" t="n"/>
      <c r="CE103" s="55" t="n"/>
      <c r="CF103" s="253" t="n"/>
      <c r="CG103" s="252" t="n"/>
      <c r="CH103" s="257" t="n"/>
      <c r="CI103" s="55" t="n"/>
      <c r="CJ103" s="253" t="n"/>
      <c r="CK103" s="252" t="n"/>
      <c r="CL103" s="253" t="n"/>
      <c r="CM103" s="55" t="n"/>
      <c r="CN103" s="253" t="n"/>
      <c r="CO103" s="252" t="n"/>
      <c r="CP103" s="257" t="n"/>
      <c r="CQ103" s="55" t="n"/>
      <c r="CR103" s="253" t="n"/>
      <c r="CS103" s="252" t="n"/>
      <c r="CT103" s="253" t="n"/>
      <c r="CU103" s="55" t="n"/>
      <c r="CV103" s="253" t="n"/>
      <c r="CW103" s="252" t="n"/>
      <c r="CX103" s="253" t="n"/>
      <c r="CY103" s="254" t="n"/>
      <c r="CZ103" s="253" t="n"/>
      <c r="DA103" s="252" t="n"/>
      <c r="DB103" s="258" t="n"/>
      <c r="DC103" s="259" t="n"/>
      <c r="DD103" s="253" t="n"/>
      <c r="DE103" s="252" t="n"/>
      <c r="DF103" s="261" t="n"/>
      <c r="DG103" s="392" t="n"/>
      <c r="DH103" s="253" t="n"/>
      <c r="DI103" s="393" t="n"/>
      <c r="DJ103" s="393" t="n"/>
      <c r="DK103" s="252" t="n"/>
      <c r="DL103" s="253" t="n"/>
      <c r="DM103" s="254" t="n"/>
      <c r="DN103" s="253" t="n"/>
      <c r="DO103" s="252" t="n"/>
      <c r="DP103" s="253" t="n"/>
      <c r="DQ103" s="254" t="n"/>
      <c r="DR103" s="253" t="n"/>
      <c r="DS103" s="264" t="n"/>
      <c r="DT103" s="253" t="n"/>
      <c r="DU103" s="254" t="n"/>
      <c r="DV103" s="253" t="n"/>
      <c r="DW103" s="264" t="n"/>
      <c r="DX103" s="253" t="n"/>
      <c r="DY103" s="55" t="n"/>
      <c r="DZ103" s="255" t="n"/>
      <c r="EA103" s="252" t="n"/>
      <c r="EB103" s="256" t="n"/>
      <c r="EC103" s="254" t="n"/>
      <c r="ED103" s="253" t="n"/>
      <c r="EE103" s="252" t="n"/>
      <c r="EF103" s="257" t="n"/>
      <c r="EG103" s="55" t="n"/>
      <c r="EH103" s="253" t="n"/>
      <c r="EI103" s="252" t="n"/>
      <c r="EJ103" s="253" t="n"/>
      <c r="EK103" s="55" t="n"/>
      <c r="EL103" s="253" t="n"/>
      <c r="EM103" s="252" t="n"/>
      <c r="EN103" s="257" t="n"/>
      <c r="EO103" s="55" t="n"/>
      <c r="EP103" s="253" t="n"/>
      <c r="EQ103" s="252" t="n"/>
      <c r="ER103" s="253" t="n"/>
      <c r="ES103" s="55" t="n"/>
      <c r="ET103" s="253" t="n"/>
      <c r="EU103" s="252" t="n"/>
      <c r="EV103" s="253" t="n"/>
      <c r="EW103" s="254" t="n"/>
      <c r="EX103" s="253" t="n"/>
      <c r="EY103" s="252" t="n"/>
      <c r="EZ103" s="258" t="n"/>
      <c r="FA103" s="259" t="n"/>
      <c r="FB103" s="253" t="n"/>
      <c r="FC103" s="252" t="n"/>
      <c r="FD103" s="261" t="n"/>
      <c r="FE103" s="392" t="n"/>
      <c r="FF103" s="253" t="n"/>
      <c r="FG103" s="393" t="n"/>
      <c r="FH103" s="393" t="n"/>
      <c r="FI103" s="252" t="n"/>
      <c r="FJ103" s="253" t="n"/>
      <c r="FK103" s="254" t="n"/>
      <c r="FL103" s="253" t="n"/>
      <c r="FM103" s="252" t="n"/>
      <c r="FN103" s="253" t="n"/>
      <c r="FO103" s="254" t="n"/>
      <c r="FP103" s="253" t="n"/>
      <c r="FQ103" s="264" t="n"/>
      <c r="FR103" s="253" t="n"/>
      <c r="FS103" s="254" t="n"/>
      <c r="FT103" s="253" t="n"/>
      <c r="FU103" s="264" t="n"/>
      <c r="FV103" s="253" t="n"/>
      <c r="FW103" s="55" t="n"/>
      <c r="FX103" s="255" t="n"/>
      <c r="FY103" s="252" t="n"/>
      <c r="FZ103" s="256" t="n"/>
      <c r="GA103" s="254" t="n"/>
      <c r="GB103" s="253" t="n"/>
      <c r="GC103" s="252" t="n"/>
      <c r="GD103" s="257" t="n"/>
      <c r="GE103" s="55" t="n"/>
      <c r="GF103" s="253" t="n"/>
      <c r="GG103" s="252" t="n"/>
      <c r="GH103" s="253" t="n"/>
      <c r="GI103" s="55" t="n"/>
      <c r="GJ103" s="253" t="n"/>
      <c r="GK103" s="252" t="n"/>
      <c r="GL103" s="257" t="n"/>
      <c r="GM103" s="55" t="n"/>
      <c r="GN103" s="253" t="n"/>
      <c r="GO103" s="252" t="n"/>
      <c r="GP103" s="253" t="n"/>
      <c r="GQ103" s="55" t="n"/>
      <c r="GR103" s="253" t="n"/>
      <c r="GS103" s="252" t="n"/>
      <c r="GT103" s="253" t="n"/>
      <c r="GU103" s="254" t="n"/>
      <c r="GV103" s="253" t="n"/>
      <c r="GW103" s="252" t="n"/>
      <c r="GX103" s="258" t="n"/>
      <c r="GY103" s="259" t="n"/>
      <c r="GZ103" s="253" t="n"/>
      <c r="HA103" s="252" t="n"/>
      <c r="HB103" s="261" t="n"/>
      <c r="HC103" s="392" t="n"/>
      <c r="HD103" s="253" t="n"/>
      <c r="HE103" s="393" t="n"/>
      <c r="HF103" s="393" t="n"/>
      <c r="HG103" s="252" t="n"/>
      <c r="HH103" s="253" t="n"/>
      <c r="HI103" s="254" t="n"/>
      <c r="HJ103" s="253" t="n"/>
      <c r="HK103" s="252" t="n"/>
      <c r="HL103" s="253" t="n"/>
      <c r="HM103" s="254" t="n"/>
      <c r="HN103" s="253" t="n"/>
      <c r="HO103" s="264" t="n"/>
      <c r="HP103" s="253" t="n"/>
      <c r="HQ103" s="254" t="n"/>
      <c r="HR103" s="253" t="n"/>
      <c r="HS103" s="264" t="n"/>
      <c r="HT103" s="253" t="n"/>
      <c r="HU103" s="55" t="n"/>
      <c r="HV103" s="255" t="n"/>
      <c r="HW103" s="252" t="n"/>
      <c r="HX103" s="256" t="n"/>
      <c r="HY103" s="254" t="n"/>
      <c r="HZ103" s="253" t="n"/>
      <c r="IA103" s="252" t="n"/>
      <c r="IB103" s="257" t="n"/>
      <c r="IC103" s="55" t="n"/>
      <c r="ID103" s="253" t="n"/>
      <c r="IE103" s="252" t="n"/>
      <c r="IF103" s="253" t="n"/>
      <c r="IG103" s="55" t="n"/>
      <c r="IH103" s="253" t="n"/>
      <c r="II103" s="252" t="n"/>
      <c r="IJ103" s="257" t="n"/>
      <c r="IK103" s="55" t="n"/>
      <c r="IL103" s="253" t="n"/>
      <c r="IM103" s="252" t="n"/>
      <c r="IN103" s="253" t="n"/>
      <c r="IO103" s="55" t="n"/>
      <c r="IP103" s="253" t="n"/>
      <c r="IQ103" s="252" t="n"/>
      <c r="IR103" s="253" t="n"/>
      <c r="IS103" s="254" t="n"/>
      <c r="IT103" s="253" t="n"/>
      <c r="IU103" s="252" t="n"/>
      <c r="IV103" s="258" t="n"/>
      <c r="IW103" s="259" t="n"/>
      <c r="IX103" s="253" t="n"/>
      <c r="IY103" s="252" t="n"/>
      <c r="IZ103" s="261" t="n"/>
      <c r="JA103" s="392" t="n"/>
      <c r="JB103" s="253" t="n"/>
      <c r="JC103" s="393" t="n"/>
      <c r="JD103" s="393" t="n"/>
    </row>
    <row r="104">
      <c r="E104" s="248" t="n"/>
      <c r="F104" s="248" t="n"/>
      <c r="G104" s="249" t="n"/>
      <c r="H104" s="250" t="n"/>
      <c r="I104" s="251" t="n"/>
      <c r="J104" s="251" t="n"/>
      <c r="K104" s="251" t="n"/>
      <c r="L104" s="251" t="n"/>
      <c r="M104" s="251" t="n"/>
      <c r="N104" s="251" t="n"/>
      <c r="O104" s="252" t="n"/>
      <c r="P104" s="253" t="n"/>
      <c r="Q104" s="254" t="n"/>
      <c r="R104" s="253" t="n"/>
      <c r="S104" s="252" t="n"/>
      <c r="T104" s="253" t="n"/>
      <c r="U104" s="254" t="n"/>
      <c r="V104" s="253" t="n"/>
      <c r="W104" s="252" t="n"/>
      <c r="X104" s="253" t="n"/>
      <c r="Y104" s="254" t="n"/>
      <c r="Z104" s="253" t="n"/>
      <c r="AA104" s="252" t="n"/>
      <c r="AB104" s="253" t="n"/>
      <c r="AC104" s="55" t="n"/>
      <c r="AD104" s="255" t="n"/>
      <c r="AE104" s="252" t="n"/>
      <c r="AF104" s="256" t="n"/>
      <c r="AG104" s="254" t="n"/>
      <c r="AH104" s="253" t="n"/>
      <c r="AI104" s="252" t="n"/>
      <c r="AJ104" s="257" t="n"/>
      <c r="AK104" s="55" t="n"/>
      <c r="AL104" s="253" t="n"/>
      <c r="AM104" s="252" t="n"/>
      <c r="AN104" s="253" t="n"/>
      <c r="AO104" s="55" t="n"/>
      <c r="AP104" s="253" t="n"/>
      <c r="AQ104" s="252" t="n"/>
      <c r="AR104" s="257" t="n"/>
      <c r="AS104" s="55" t="n"/>
      <c r="AT104" s="253" t="n"/>
      <c r="AU104" s="252" t="n"/>
      <c r="AV104" s="253" t="n"/>
      <c r="AW104" s="55" t="n"/>
      <c r="AX104" s="253" t="n"/>
      <c r="AY104" s="252" t="n"/>
      <c r="AZ104" s="253" t="n"/>
      <c r="BA104" s="254" t="n"/>
      <c r="BB104" s="255" t="n"/>
      <c r="BC104" s="252" t="n"/>
      <c r="BD104" s="258" t="n"/>
      <c r="BE104" s="259" t="n"/>
      <c r="BF104" s="255" t="n"/>
      <c r="BG104" s="260" t="n"/>
      <c r="BH104" s="261" t="n"/>
      <c r="BI104" s="392" t="n"/>
      <c r="BJ104" s="255" t="n"/>
      <c r="BK104" s="393" t="n"/>
      <c r="BL104" s="393" t="n"/>
      <c r="BM104" s="252" t="n"/>
      <c r="BN104" s="253" t="n"/>
      <c r="BO104" s="254" t="n"/>
      <c r="BP104" s="253" t="n"/>
      <c r="BQ104" s="252" t="n"/>
      <c r="BR104" s="253" t="n"/>
      <c r="BS104" s="254" t="n"/>
      <c r="BT104" s="253" t="n"/>
      <c r="BU104" s="264" t="n"/>
      <c r="BV104" s="253" t="n"/>
      <c r="BW104" s="254" t="n"/>
      <c r="BX104" s="253" t="n"/>
      <c r="BY104" s="264" t="n"/>
      <c r="BZ104" s="253" t="n"/>
      <c r="CA104" s="55" t="n"/>
      <c r="CB104" s="255" t="n"/>
      <c r="CC104" s="252" t="n"/>
      <c r="CD104" s="256" t="n"/>
      <c r="CE104" s="55" t="n"/>
      <c r="CF104" s="253" t="n"/>
      <c r="CG104" s="252" t="n"/>
      <c r="CH104" s="257" t="n"/>
      <c r="CI104" s="55" t="n"/>
      <c r="CJ104" s="253" t="n"/>
      <c r="CK104" s="252" t="n"/>
      <c r="CL104" s="253" t="n"/>
      <c r="CM104" s="55" t="n"/>
      <c r="CN104" s="253" t="n"/>
      <c r="CO104" s="252" t="n"/>
      <c r="CP104" s="257" t="n"/>
      <c r="CQ104" s="55" t="n"/>
      <c r="CR104" s="253" t="n"/>
      <c r="CS104" s="252" t="n"/>
      <c r="CT104" s="253" t="n"/>
      <c r="CU104" s="55" t="n"/>
      <c r="CV104" s="253" t="n"/>
      <c r="CW104" s="252" t="n"/>
      <c r="CX104" s="253" t="n"/>
      <c r="CY104" s="254" t="n"/>
      <c r="CZ104" s="253" t="n"/>
      <c r="DA104" s="252" t="n"/>
      <c r="DB104" s="258" t="n"/>
      <c r="DC104" s="259" t="n"/>
      <c r="DD104" s="253" t="n"/>
      <c r="DE104" s="252" t="n"/>
      <c r="DF104" s="261" t="n"/>
      <c r="DG104" s="392" t="n"/>
      <c r="DH104" s="253" t="n"/>
      <c r="DI104" s="393" t="n"/>
      <c r="DJ104" s="393" t="n"/>
      <c r="DK104" s="252" t="n"/>
      <c r="DL104" s="253" t="n"/>
      <c r="DM104" s="254" t="n"/>
      <c r="DN104" s="253" t="n"/>
      <c r="DO104" s="252" t="n"/>
      <c r="DP104" s="253" t="n"/>
      <c r="DQ104" s="254" t="n"/>
      <c r="DR104" s="253" t="n"/>
      <c r="DS104" s="264" t="n"/>
      <c r="DT104" s="253" t="n"/>
      <c r="DU104" s="254" t="n"/>
      <c r="DV104" s="253" t="n"/>
      <c r="DW104" s="264" t="n"/>
      <c r="DX104" s="253" t="n"/>
      <c r="DY104" s="55" t="n"/>
      <c r="DZ104" s="255" t="n"/>
      <c r="EA104" s="252" t="n"/>
      <c r="EB104" s="256" t="n"/>
      <c r="EC104" s="254" t="n"/>
      <c r="ED104" s="253" t="n"/>
      <c r="EE104" s="252" t="n"/>
      <c r="EF104" s="257" t="n"/>
      <c r="EG104" s="55" t="n"/>
      <c r="EH104" s="253" t="n"/>
      <c r="EI104" s="252" t="n"/>
      <c r="EJ104" s="253" t="n"/>
      <c r="EK104" s="55" t="n"/>
      <c r="EL104" s="253" t="n"/>
      <c r="EM104" s="252" t="n"/>
      <c r="EN104" s="257" t="n"/>
      <c r="EO104" s="55" t="n"/>
      <c r="EP104" s="253" t="n"/>
      <c r="EQ104" s="252" t="n"/>
      <c r="ER104" s="253" t="n"/>
      <c r="ES104" s="55" t="n"/>
      <c r="ET104" s="253" t="n"/>
      <c r="EU104" s="252" t="n"/>
      <c r="EV104" s="253" t="n"/>
      <c r="EW104" s="254" t="n"/>
      <c r="EX104" s="253" t="n"/>
      <c r="EY104" s="252" t="n"/>
      <c r="EZ104" s="258" t="n"/>
      <c r="FA104" s="259" t="n"/>
      <c r="FB104" s="253" t="n"/>
      <c r="FC104" s="252" t="n"/>
      <c r="FD104" s="261" t="n"/>
      <c r="FE104" s="392" t="n"/>
      <c r="FF104" s="253" t="n"/>
      <c r="FG104" s="393" t="n"/>
      <c r="FH104" s="393" t="n"/>
      <c r="FI104" s="252" t="n"/>
      <c r="FJ104" s="253" t="n"/>
      <c r="FK104" s="254" t="n"/>
      <c r="FL104" s="253" t="n"/>
      <c r="FM104" s="252" t="n"/>
      <c r="FN104" s="253" t="n"/>
      <c r="FO104" s="254" t="n"/>
      <c r="FP104" s="253" t="n"/>
      <c r="FQ104" s="264" t="n"/>
      <c r="FR104" s="253" t="n"/>
      <c r="FS104" s="254" t="n"/>
      <c r="FT104" s="253" t="n"/>
      <c r="FU104" s="264" t="n"/>
      <c r="FV104" s="253" t="n"/>
      <c r="FW104" s="55" t="n"/>
      <c r="FX104" s="255" t="n"/>
      <c r="FY104" s="252" t="n"/>
      <c r="FZ104" s="256" t="n"/>
      <c r="GA104" s="254" t="n"/>
      <c r="GB104" s="253" t="n"/>
      <c r="GC104" s="252" t="n"/>
      <c r="GD104" s="257" t="n"/>
      <c r="GE104" s="55" t="n"/>
      <c r="GF104" s="253" t="n"/>
      <c r="GG104" s="252" t="n"/>
      <c r="GH104" s="253" t="n"/>
      <c r="GI104" s="55" t="n"/>
      <c r="GJ104" s="253" t="n"/>
      <c r="GK104" s="252" t="n"/>
      <c r="GL104" s="257" t="n"/>
      <c r="GM104" s="55" t="n"/>
      <c r="GN104" s="253" t="n"/>
      <c r="GO104" s="252" t="n"/>
      <c r="GP104" s="253" t="n"/>
      <c r="GQ104" s="55" t="n"/>
      <c r="GR104" s="253" t="n"/>
      <c r="GS104" s="252" t="n"/>
      <c r="GT104" s="253" t="n"/>
      <c r="GU104" s="254" t="n"/>
      <c r="GV104" s="253" t="n"/>
      <c r="GW104" s="252" t="n"/>
      <c r="GX104" s="258" t="n"/>
      <c r="GY104" s="259" t="n"/>
      <c r="GZ104" s="253" t="n"/>
      <c r="HA104" s="252" t="n"/>
      <c r="HB104" s="261" t="n"/>
      <c r="HC104" s="392" t="n"/>
      <c r="HD104" s="253" t="n"/>
      <c r="HE104" s="393" t="n"/>
      <c r="HF104" s="393" t="n"/>
      <c r="HG104" s="252" t="n"/>
      <c r="HH104" s="253" t="n"/>
      <c r="HI104" s="254" t="n"/>
      <c r="HJ104" s="253" t="n"/>
      <c r="HK104" s="252" t="n"/>
      <c r="HL104" s="253" t="n"/>
      <c r="HM104" s="254" t="n"/>
      <c r="HN104" s="253" t="n"/>
      <c r="HO104" s="264" t="n"/>
      <c r="HP104" s="253" t="n"/>
      <c r="HQ104" s="254" t="n"/>
      <c r="HR104" s="253" t="n"/>
      <c r="HS104" s="264" t="n"/>
      <c r="HT104" s="253" t="n"/>
      <c r="HU104" s="55" t="n"/>
      <c r="HV104" s="255" t="n"/>
      <c r="HW104" s="252" t="n"/>
      <c r="HX104" s="256" t="n"/>
      <c r="HY104" s="254" t="n"/>
      <c r="HZ104" s="253" t="n"/>
      <c r="IA104" s="252" t="n"/>
      <c r="IB104" s="257" t="n"/>
      <c r="IC104" s="55" t="n"/>
      <c r="ID104" s="253" t="n"/>
      <c r="IE104" s="252" t="n"/>
      <c r="IF104" s="253" t="n"/>
      <c r="IG104" s="55" t="n"/>
      <c r="IH104" s="253" t="n"/>
      <c r="II104" s="252" t="n"/>
      <c r="IJ104" s="257" t="n"/>
      <c r="IK104" s="55" t="n"/>
      <c r="IL104" s="253" t="n"/>
      <c r="IM104" s="252" t="n"/>
      <c r="IN104" s="253" t="n"/>
      <c r="IO104" s="55" t="n"/>
      <c r="IP104" s="253" t="n"/>
      <c r="IQ104" s="252" t="n"/>
      <c r="IR104" s="253" t="n"/>
      <c r="IS104" s="254" t="n"/>
      <c r="IT104" s="253" t="n"/>
      <c r="IU104" s="252" t="n"/>
      <c r="IV104" s="258" t="n"/>
      <c r="IW104" s="259" t="n"/>
      <c r="IX104" s="253" t="n"/>
      <c r="IY104" s="252" t="n"/>
      <c r="IZ104" s="261" t="n"/>
      <c r="JA104" s="392" t="n"/>
      <c r="JB104" s="253" t="n"/>
      <c r="JC104" s="393" t="n"/>
      <c r="JD104" s="393" t="n"/>
    </row>
    <row r="105">
      <c r="E105" s="248" t="n"/>
      <c r="F105" s="248" t="n"/>
      <c r="G105" s="249" t="n"/>
      <c r="H105" s="250" t="n"/>
      <c r="I105" s="251" t="n"/>
      <c r="J105" s="251" t="n"/>
      <c r="K105" s="251" t="n"/>
      <c r="L105" s="251" t="n"/>
      <c r="M105" s="251" t="n"/>
      <c r="N105" s="251" t="n"/>
      <c r="O105" s="252" t="n"/>
      <c r="P105" s="253" t="n"/>
      <c r="Q105" s="254" t="n"/>
      <c r="R105" s="253" t="n"/>
      <c r="S105" s="252" t="n"/>
      <c r="T105" s="253" t="n"/>
      <c r="U105" s="254" t="n"/>
      <c r="V105" s="253" t="n"/>
      <c r="W105" s="252" t="n"/>
      <c r="X105" s="253" t="n"/>
      <c r="Y105" s="254" t="n"/>
      <c r="Z105" s="253" t="n"/>
      <c r="AA105" s="252" t="n"/>
      <c r="AB105" s="253" t="n"/>
      <c r="AC105" s="55" t="n"/>
      <c r="AD105" s="255" t="n"/>
      <c r="AE105" s="252" t="n"/>
      <c r="AF105" s="256" t="n"/>
      <c r="AG105" s="254" t="n"/>
      <c r="AH105" s="253" t="n"/>
      <c r="AI105" s="252" t="n"/>
      <c r="AJ105" s="257" t="n"/>
      <c r="AK105" s="55" t="n"/>
      <c r="AL105" s="253" t="n"/>
      <c r="AM105" s="252" t="n"/>
      <c r="AN105" s="253" t="n"/>
      <c r="AO105" s="55" t="n"/>
      <c r="AP105" s="253" t="n"/>
      <c r="AQ105" s="252" t="n"/>
      <c r="AR105" s="257" t="n"/>
      <c r="AS105" s="55" t="n"/>
      <c r="AT105" s="253" t="n"/>
      <c r="AU105" s="252" t="n"/>
      <c r="AV105" s="253" t="n"/>
      <c r="AW105" s="55" t="n"/>
      <c r="AX105" s="253" t="n"/>
      <c r="AY105" s="252" t="n"/>
      <c r="AZ105" s="253" t="n"/>
      <c r="BA105" s="254" t="n"/>
      <c r="BB105" s="255" t="n"/>
      <c r="BC105" s="252" t="n"/>
      <c r="BD105" s="258" t="n"/>
      <c r="BE105" s="259" t="n"/>
      <c r="BF105" s="255" t="n"/>
      <c r="BG105" s="260" t="n"/>
      <c r="BH105" s="261" t="n"/>
      <c r="BI105" s="392" t="n"/>
      <c r="BJ105" s="255" t="n"/>
      <c r="BK105" s="393" t="n"/>
      <c r="BL105" s="393" t="n"/>
      <c r="BM105" s="252" t="n"/>
      <c r="BN105" s="253" t="n"/>
      <c r="BO105" s="254" t="n"/>
      <c r="BP105" s="253" t="n"/>
      <c r="BQ105" s="252" t="n"/>
      <c r="BR105" s="253" t="n"/>
      <c r="BS105" s="254" t="n"/>
      <c r="BT105" s="253" t="n"/>
      <c r="BU105" s="264" t="n"/>
      <c r="BV105" s="253" t="n"/>
      <c r="BW105" s="254" t="n"/>
      <c r="BX105" s="253" t="n"/>
      <c r="BY105" s="264" t="n"/>
      <c r="BZ105" s="253" t="n"/>
      <c r="CA105" s="55" t="n"/>
      <c r="CB105" s="255" t="n"/>
      <c r="CC105" s="252" t="n"/>
      <c r="CD105" s="256" t="n"/>
      <c r="CE105" s="55" t="n"/>
      <c r="CF105" s="253" t="n"/>
      <c r="CG105" s="252" t="n"/>
      <c r="CH105" s="257" t="n"/>
      <c r="CI105" s="55" t="n"/>
      <c r="CJ105" s="253" t="n"/>
      <c r="CK105" s="252" t="n"/>
      <c r="CL105" s="253" t="n"/>
      <c r="CM105" s="55" t="n"/>
      <c r="CN105" s="253" t="n"/>
      <c r="CO105" s="252" t="n"/>
      <c r="CP105" s="257" t="n"/>
      <c r="CQ105" s="55" t="n"/>
      <c r="CR105" s="253" t="n"/>
      <c r="CS105" s="252" t="n"/>
      <c r="CT105" s="253" t="n"/>
      <c r="CU105" s="55" t="n"/>
      <c r="CV105" s="253" t="n"/>
      <c r="CW105" s="252" t="n"/>
      <c r="CX105" s="253" t="n"/>
      <c r="CY105" s="254" t="n"/>
      <c r="CZ105" s="253" t="n"/>
      <c r="DA105" s="252" t="n"/>
      <c r="DB105" s="258" t="n"/>
      <c r="DC105" s="259" t="n"/>
      <c r="DD105" s="253" t="n"/>
      <c r="DE105" s="252" t="n"/>
      <c r="DF105" s="261" t="n"/>
      <c r="DG105" s="392" t="n"/>
      <c r="DH105" s="253" t="n"/>
      <c r="DI105" s="393" t="n"/>
      <c r="DJ105" s="393" t="n"/>
      <c r="DK105" s="252" t="n"/>
      <c r="DL105" s="253" t="n"/>
      <c r="DM105" s="254" t="n"/>
      <c r="DN105" s="253" t="n"/>
      <c r="DO105" s="252" t="n"/>
      <c r="DP105" s="253" t="n"/>
      <c r="DQ105" s="254" t="n"/>
      <c r="DR105" s="253" t="n"/>
      <c r="DS105" s="264" t="n"/>
      <c r="DT105" s="253" t="n"/>
      <c r="DU105" s="254" t="n"/>
      <c r="DV105" s="253" t="n"/>
      <c r="DW105" s="264" t="n"/>
      <c r="DX105" s="253" t="n"/>
      <c r="DY105" s="55" t="n"/>
      <c r="DZ105" s="255" t="n"/>
      <c r="EA105" s="252" t="n"/>
      <c r="EB105" s="256" t="n"/>
      <c r="EC105" s="254" t="n"/>
      <c r="ED105" s="253" t="n"/>
      <c r="EE105" s="252" t="n"/>
      <c r="EF105" s="257" t="n"/>
      <c r="EG105" s="55" t="n"/>
      <c r="EH105" s="253" t="n"/>
      <c r="EI105" s="252" t="n"/>
      <c r="EJ105" s="253" t="n"/>
      <c r="EK105" s="55" t="n"/>
      <c r="EL105" s="253" t="n"/>
      <c r="EM105" s="252" t="n"/>
      <c r="EN105" s="257" t="n"/>
      <c r="EO105" s="55" t="n"/>
      <c r="EP105" s="253" t="n"/>
      <c r="EQ105" s="252" t="n"/>
      <c r="ER105" s="253" t="n"/>
      <c r="ES105" s="55" t="n"/>
      <c r="ET105" s="253" t="n"/>
      <c r="EU105" s="252" t="n"/>
      <c r="EV105" s="253" t="n"/>
      <c r="EW105" s="254" t="n"/>
      <c r="EX105" s="253" t="n"/>
      <c r="EY105" s="252" t="n"/>
      <c r="EZ105" s="258" t="n"/>
      <c r="FA105" s="259" t="n"/>
      <c r="FB105" s="253" t="n"/>
      <c r="FC105" s="252" t="n"/>
      <c r="FD105" s="261" t="n"/>
      <c r="FE105" s="392" t="n"/>
      <c r="FF105" s="253" t="n"/>
      <c r="FG105" s="393" t="n"/>
      <c r="FH105" s="393" t="n"/>
      <c r="FI105" s="252" t="n"/>
      <c r="FJ105" s="253" t="n"/>
      <c r="FK105" s="254" t="n"/>
      <c r="FL105" s="253" t="n"/>
      <c r="FM105" s="252" t="n"/>
      <c r="FN105" s="253" t="n"/>
      <c r="FO105" s="254" t="n"/>
      <c r="FP105" s="253" t="n"/>
      <c r="FQ105" s="264" t="n"/>
      <c r="FR105" s="253" t="n"/>
      <c r="FS105" s="254" t="n"/>
      <c r="FT105" s="253" t="n"/>
      <c r="FU105" s="264" t="n"/>
      <c r="FV105" s="253" t="n"/>
      <c r="FW105" s="55" t="n"/>
      <c r="FX105" s="255" t="n"/>
      <c r="FY105" s="252" t="n"/>
      <c r="FZ105" s="256" t="n"/>
      <c r="GA105" s="254" t="n"/>
      <c r="GB105" s="253" t="n"/>
      <c r="GC105" s="252" t="n"/>
      <c r="GD105" s="257" t="n"/>
      <c r="GE105" s="55" t="n"/>
      <c r="GF105" s="253" t="n"/>
      <c r="GG105" s="252" t="n"/>
      <c r="GH105" s="253" t="n"/>
      <c r="GI105" s="55" t="n"/>
      <c r="GJ105" s="253" t="n"/>
      <c r="GK105" s="252" t="n"/>
      <c r="GL105" s="257" t="n"/>
      <c r="GM105" s="55" t="n"/>
      <c r="GN105" s="253" t="n"/>
      <c r="GO105" s="252" t="n"/>
      <c r="GP105" s="253" t="n"/>
      <c r="GQ105" s="55" t="n"/>
      <c r="GR105" s="253" t="n"/>
      <c r="GS105" s="252" t="n"/>
      <c r="GT105" s="253" t="n"/>
      <c r="GU105" s="254" t="n"/>
      <c r="GV105" s="253" t="n"/>
      <c r="GW105" s="252" t="n"/>
      <c r="GX105" s="258" t="n"/>
      <c r="GY105" s="259" t="n"/>
      <c r="GZ105" s="253" t="n"/>
      <c r="HA105" s="252" t="n"/>
      <c r="HB105" s="261" t="n"/>
      <c r="HC105" s="392" t="n"/>
      <c r="HD105" s="253" t="n"/>
      <c r="HE105" s="393" t="n"/>
      <c r="HF105" s="393" t="n"/>
      <c r="HG105" s="252" t="n"/>
      <c r="HH105" s="253" t="n"/>
      <c r="HI105" s="254" t="n"/>
      <c r="HJ105" s="253" t="n"/>
      <c r="HK105" s="252" t="n"/>
      <c r="HL105" s="253" t="n"/>
      <c r="HM105" s="254" t="n"/>
      <c r="HN105" s="253" t="n"/>
      <c r="HO105" s="264" t="n"/>
      <c r="HP105" s="253" t="n"/>
      <c r="HQ105" s="254" t="n"/>
      <c r="HR105" s="253" t="n"/>
      <c r="HS105" s="264" t="n"/>
      <c r="HT105" s="253" t="n"/>
      <c r="HU105" s="55" t="n"/>
      <c r="HV105" s="255" t="n"/>
      <c r="HW105" s="252" t="n"/>
      <c r="HX105" s="256" t="n"/>
      <c r="HY105" s="254" t="n"/>
      <c r="HZ105" s="253" t="n"/>
      <c r="IA105" s="252" t="n"/>
      <c r="IB105" s="257" t="n"/>
      <c r="IC105" s="55" t="n"/>
      <c r="ID105" s="253" t="n"/>
      <c r="IE105" s="252" t="n"/>
      <c r="IF105" s="253" t="n"/>
      <c r="IG105" s="55" t="n"/>
      <c r="IH105" s="253" t="n"/>
      <c r="II105" s="252" t="n"/>
      <c r="IJ105" s="257" t="n"/>
      <c r="IK105" s="55" t="n"/>
      <c r="IL105" s="253" t="n"/>
      <c r="IM105" s="252" t="n"/>
      <c r="IN105" s="253" t="n"/>
      <c r="IO105" s="55" t="n"/>
      <c r="IP105" s="253" t="n"/>
      <c r="IQ105" s="252" t="n"/>
      <c r="IR105" s="253" t="n"/>
      <c r="IS105" s="254" t="n"/>
      <c r="IT105" s="253" t="n"/>
      <c r="IU105" s="252" t="n"/>
      <c r="IV105" s="258" t="n"/>
      <c r="IW105" s="259" t="n"/>
      <c r="IX105" s="253" t="n"/>
      <c r="IY105" s="252" t="n"/>
      <c r="IZ105" s="261" t="n"/>
      <c r="JA105" s="392" t="n"/>
      <c r="JB105" s="253" t="n"/>
      <c r="JC105" s="393" t="n"/>
      <c r="JD105" s="393" t="n"/>
    </row>
    <row r="106">
      <c r="E106" s="248" t="n"/>
      <c r="F106" s="248" t="n"/>
      <c r="G106" s="249" t="n"/>
      <c r="H106" s="250" t="n"/>
      <c r="I106" s="251" t="n"/>
      <c r="J106" s="251" t="n"/>
      <c r="K106" s="251" t="n"/>
      <c r="L106" s="251" t="n"/>
      <c r="M106" s="251" t="n"/>
      <c r="N106" s="251" t="n"/>
      <c r="O106" s="252" t="n"/>
      <c r="P106" s="253" t="n"/>
      <c r="Q106" s="254" t="n"/>
      <c r="R106" s="253" t="n"/>
      <c r="S106" s="252" t="n"/>
      <c r="T106" s="253" t="n"/>
      <c r="U106" s="254" t="n"/>
      <c r="V106" s="253" t="n"/>
      <c r="W106" s="252" t="n"/>
      <c r="X106" s="253" t="n"/>
      <c r="Y106" s="254" t="n"/>
      <c r="Z106" s="253" t="n"/>
      <c r="AA106" s="252" t="n"/>
      <c r="AB106" s="253" t="n"/>
      <c r="AC106" s="55" t="n"/>
      <c r="AD106" s="255" t="n"/>
      <c r="AE106" s="252" t="n"/>
      <c r="AF106" s="256" t="n"/>
      <c r="AG106" s="254" t="n"/>
      <c r="AH106" s="253" t="n"/>
      <c r="AI106" s="252" t="n"/>
      <c r="AJ106" s="257" t="n"/>
      <c r="AK106" s="55" t="n"/>
      <c r="AL106" s="253" t="n"/>
      <c r="AM106" s="252" t="n"/>
      <c r="AN106" s="253" t="n"/>
      <c r="AO106" s="55" t="n"/>
      <c r="AP106" s="253" t="n"/>
      <c r="AQ106" s="252" t="n"/>
      <c r="AR106" s="257" t="n"/>
      <c r="AS106" s="55" t="n"/>
      <c r="AT106" s="253" t="n"/>
      <c r="AU106" s="252" t="n"/>
      <c r="AV106" s="253" t="n"/>
      <c r="AW106" s="55" t="n"/>
      <c r="AX106" s="253" t="n"/>
      <c r="AY106" s="252" t="n"/>
      <c r="AZ106" s="253" t="n"/>
      <c r="BA106" s="254" t="n"/>
      <c r="BB106" s="255" t="n"/>
      <c r="BC106" s="252" t="n"/>
      <c r="BD106" s="258" t="n"/>
      <c r="BE106" s="259" t="n"/>
      <c r="BF106" s="255" t="n"/>
      <c r="BG106" s="260" t="n"/>
      <c r="BH106" s="261" t="n"/>
      <c r="BI106" s="392" t="n"/>
      <c r="BJ106" s="255" t="n"/>
      <c r="BK106" s="393" t="n"/>
      <c r="BL106" s="393" t="n"/>
      <c r="BM106" s="252" t="n"/>
      <c r="BN106" s="253" t="n"/>
      <c r="BO106" s="254" t="n"/>
      <c r="BP106" s="253" t="n"/>
      <c r="BQ106" s="252" t="n"/>
      <c r="BR106" s="253" t="n"/>
      <c r="BS106" s="254" t="n"/>
      <c r="BT106" s="253" t="n"/>
      <c r="BU106" s="264" t="n"/>
      <c r="BV106" s="253" t="n"/>
      <c r="BW106" s="254" t="n"/>
      <c r="BX106" s="253" t="n"/>
      <c r="BY106" s="264" t="n"/>
      <c r="BZ106" s="253" t="n"/>
      <c r="CA106" s="55" t="n"/>
      <c r="CB106" s="255" t="n"/>
      <c r="CC106" s="252" t="n"/>
      <c r="CD106" s="256" t="n"/>
      <c r="CE106" s="55" t="n"/>
      <c r="CF106" s="253" t="n"/>
      <c r="CG106" s="252" t="n"/>
      <c r="CH106" s="257" t="n"/>
      <c r="CI106" s="55" t="n"/>
      <c r="CJ106" s="253" t="n"/>
      <c r="CK106" s="252" t="n"/>
      <c r="CL106" s="253" t="n"/>
      <c r="CM106" s="55" t="n"/>
      <c r="CN106" s="253" t="n"/>
      <c r="CO106" s="252" t="n"/>
      <c r="CP106" s="257" t="n"/>
      <c r="CQ106" s="55" t="n"/>
      <c r="CR106" s="253" t="n"/>
      <c r="CS106" s="252" t="n"/>
      <c r="CT106" s="253" t="n"/>
      <c r="CU106" s="55" t="n"/>
      <c r="CV106" s="253" t="n"/>
      <c r="CW106" s="252" t="n"/>
      <c r="CX106" s="253" t="n"/>
      <c r="CY106" s="254" t="n"/>
      <c r="CZ106" s="253" t="n"/>
      <c r="DA106" s="252" t="n"/>
      <c r="DB106" s="258" t="n"/>
      <c r="DC106" s="259" t="n"/>
      <c r="DD106" s="253" t="n"/>
      <c r="DE106" s="252" t="n"/>
      <c r="DF106" s="261" t="n"/>
      <c r="DG106" s="392" t="n"/>
      <c r="DH106" s="253" t="n"/>
      <c r="DI106" s="393" t="n"/>
      <c r="DJ106" s="393" t="n"/>
      <c r="DK106" s="252" t="n"/>
      <c r="DL106" s="253" t="n"/>
      <c r="DM106" s="254" t="n"/>
      <c r="DN106" s="253" t="n"/>
      <c r="DO106" s="252" t="n"/>
      <c r="DP106" s="253" t="n"/>
      <c r="DQ106" s="254" t="n"/>
      <c r="DR106" s="253" t="n"/>
      <c r="DS106" s="264" t="n"/>
      <c r="DT106" s="253" t="n"/>
      <c r="DU106" s="254" t="n"/>
      <c r="DV106" s="253" t="n"/>
      <c r="DW106" s="264" t="n"/>
      <c r="DX106" s="253" t="n"/>
      <c r="DY106" s="55" t="n"/>
      <c r="DZ106" s="255" t="n"/>
      <c r="EA106" s="252" t="n"/>
      <c r="EB106" s="256" t="n"/>
      <c r="EC106" s="254" t="n"/>
      <c r="ED106" s="253" t="n"/>
      <c r="EE106" s="252" t="n"/>
      <c r="EF106" s="257" t="n"/>
      <c r="EG106" s="55" t="n"/>
      <c r="EH106" s="253" t="n"/>
      <c r="EI106" s="252" t="n"/>
      <c r="EJ106" s="253" t="n"/>
      <c r="EK106" s="55" t="n"/>
      <c r="EL106" s="253" t="n"/>
      <c r="EM106" s="252" t="n"/>
      <c r="EN106" s="257" t="n"/>
      <c r="EO106" s="55" t="n"/>
      <c r="EP106" s="253" t="n"/>
      <c r="EQ106" s="252" t="n"/>
      <c r="ER106" s="253" t="n"/>
      <c r="ES106" s="55" t="n"/>
      <c r="ET106" s="253" t="n"/>
      <c r="EU106" s="252" t="n"/>
      <c r="EV106" s="253" t="n"/>
      <c r="EW106" s="254" t="n"/>
      <c r="EX106" s="253" t="n"/>
      <c r="EY106" s="252" t="n"/>
      <c r="EZ106" s="258" t="n"/>
      <c r="FA106" s="259" t="n"/>
      <c r="FB106" s="253" t="n"/>
      <c r="FC106" s="252" t="n"/>
      <c r="FD106" s="261" t="n"/>
      <c r="FE106" s="392" t="n"/>
      <c r="FF106" s="253" t="n"/>
      <c r="FG106" s="393" t="n"/>
      <c r="FH106" s="393" t="n"/>
      <c r="FI106" s="252" t="n"/>
      <c r="FJ106" s="253" t="n"/>
      <c r="FK106" s="254" t="n"/>
      <c r="FL106" s="253" t="n"/>
      <c r="FM106" s="252" t="n"/>
      <c r="FN106" s="253" t="n"/>
      <c r="FO106" s="254" t="n"/>
      <c r="FP106" s="253" t="n"/>
      <c r="FQ106" s="264" t="n"/>
      <c r="FR106" s="253" t="n"/>
      <c r="FS106" s="254" t="n"/>
      <c r="FT106" s="253" t="n"/>
      <c r="FU106" s="264" t="n"/>
      <c r="FV106" s="253" t="n"/>
      <c r="FW106" s="55" t="n"/>
      <c r="FX106" s="255" t="n"/>
      <c r="FY106" s="252" t="n"/>
      <c r="FZ106" s="256" t="n"/>
      <c r="GA106" s="254" t="n"/>
      <c r="GB106" s="253" t="n"/>
      <c r="GC106" s="252" t="n"/>
      <c r="GD106" s="257" t="n"/>
      <c r="GE106" s="55" t="n"/>
      <c r="GF106" s="253" t="n"/>
      <c r="GG106" s="252" t="n"/>
      <c r="GH106" s="253" t="n"/>
      <c r="GI106" s="55" t="n"/>
      <c r="GJ106" s="253" t="n"/>
      <c r="GK106" s="252" t="n"/>
      <c r="GL106" s="257" t="n"/>
      <c r="GM106" s="55" t="n"/>
      <c r="GN106" s="253" t="n"/>
      <c r="GO106" s="252" t="n"/>
      <c r="GP106" s="253" t="n"/>
      <c r="GQ106" s="55" t="n"/>
      <c r="GR106" s="253" t="n"/>
      <c r="GS106" s="252" t="n"/>
      <c r="GT106" s="253" t="n"/>
      <c r="GU106" s="254" t="n"/>
      <c r="GV106" s="253" t="n"/>
      <c r="GW106" s="252" t="n"/>
      <c r="GX106" s="258" t="n"/>
      <c r="GY106" s="259" t="n"/>
      <c r="GZ106" s="253" t="n"/>
      <c r="HA106" s="252" t="n"/>
      <c r="HB106" s="261" t="n"/>
      <c r="HC106" s="392" t="n"/>
      <c r="HD106" s="253" t="n"/>
      <c r="HE106" s="393" t="n"/>
      <c r="HF106" s="393" t="n"/>
      <c r="HG106" s="252" t="n"/>
      <c r="HH106" s="253" t="n"/>
      <c r="HI106" s="254" t="n"/>
      <c r="HJ106" s="253" t="n"/>
      <c r="HK106" s="252" t="n"/>
      <c r="HL106" s="253" t="n"/>
      <c r="HM106" s="254" t="n"/>
      <c r="HN106" s="253" t="n"/>
      <c r="HO106" s="264" t="n"/>
      <c r="HP106" s="253" t="n"/>
      <c r="HQ106" s="254" t="n"/>
      <c r="HR106" s="253" t="n"/>
      <c r="HS106" s="264" t="n"/>
      <c r="HT106" s="253" t="n"/>
      <c r="HU106" s="55" t="n"/>
      <c r="HV106" s="255" t="n"/>
      <c r="HW106" s="252" t="n"/>
      <c r="HX106" s="256" t="n"/>
      <c r="HY106" s="254" t="n"/>
      <c r="HZ106" s="253" t="n"/>
      <c r="IA106" s="252" t="n"/>
      <c r="IB106" s="257" t="n"/>
      <c r="IC106" s="55" t="n"/>
      <c r="ID106" s="253" t="n"/>
      <c r="IE106" s="252" t="n"/>
      <c r="IF106" s="253" t="n"/>
      <c r="IG106" s="55" t="n"/>
      <c r="IH106" s="253" t="n"/>
      <c r="II106" s="252" t="n"/>
      <c r="IJ106" s="257" t="n"/>
      <c r="IK106" s="55" t="n"/>
      <c r="IL106" s="253" t="n"/>
      <c r="IM106" s="252" t="n"/>
      <c r="IN106" s="253" t="n"/>
      <c r="IO106" s="55" t="n"/>
      <c r="IP106" s="253" t="n"/>
      <c r="IQ106" s="252" t="n"/>
      <c r="IR106" s="253" t="n"/>
      <c r="IS106" s="254" t="n"/>
      <c r="IT106" s="253" t="n"/>
      <c r="IU106" s="252" t="n"/>
      <c r="IV106" s="258" t="n"/>
      <c r="IW106" s="259" t="n"/>
      <c r="IX106" s="253" t="n"/>
      <c r="IY106" s="252" t="n"/>
      <c r="IZ106" s="261" t="n"/>
      <c r="JA106" s="392" t="n"/>
      <c r="JB106" s="253" t="n"/>
      <c r="JC106" s="393" t="n"/>
      <c r="JD106" s="393" t="n"/>
    </row>
    <row r="107">
      <c r="E107" s="248" t="n"/>
      <c r="F107" s="248" t="n"/>
      <c r="G107" s="249" t="n"/>
      <c r="H107" s="250" t="n"/>
      <c r="I107" s="251" t="n"/>
      <c r="J107" s="251" t="n"/>
      <c r="K107" s="251" t="n"/>
      <c r="L107" s="251" t="n"/>
      <c r="M107" s="251" t="n"/>
      <c r="N107" s="251" t="n"/>
      <c r="O107" s="252" t="n"/>
      <c r="P107" s="253" t="n"/>
      <c r="Q107" s="254" t="n"/>
      <c r="R107" s="253" t="n"/>
      <c r="S107" s="252" t="n"/>
      <c r="T107" s="253" t="n"/>
      <c r="U107" s="254" t="n"/>
      <c r="V107" s="253" t="n"/>
      <c r="W107" s="252" t="n"/>
      <c r="X107" s="253" t="n"/>
      <c r="Y107" s="254" t="n"/>
      <c r="Z107" s="253" t="n"/>
      <c r="AA107" s="252" t="n"/>
      <c r="AB107" s="253" t="n"/>
      <c r="AC107" s="55" t="n"/>
      <c r="AD107" s="255" t="n"/>
      <c r="AE107" s="252" t="n"/>
      <c r="AF107" s="256" t="n"/>
      <c r="AG107" s="254" t="n"/>
      <c r="AH107" s="253" t="n"/>
      <c r="AI107" s="252" t="n"/>
      <c r="AJ107" s="257" t="n"/>
      <c r="AK107" s="55" t="n"/>
      <c r="AL107" s="253" t="n"/>
      <c r="AM107" s="252" t="n"/>
      <c r="AN107" s="253" t="n"/>
      <c r="AO107" s="55" t="n"/>
      <c r="AP107" s="253" t="n"/>
      <c r="AQ107" s="252" t="n"/>
      <c r="AR107" s="257" t="n"/>
      <c r="AS107" s="55" t="n"/>
      <c r="AT107" s="253" t="n"/>
      <c r="AU107" s="252" t="n"/>
      <c r="AV107" s="253" t="n"/>
      <c r="AW107" s="55" t="n"/>
      <c r="AX107" s="253" t="n"/>
      <c r="AY107" s="252" t="n"/>
      <c r="AZ107" s="253" t="n"/>
      <c r="BA107" s="254" t="n"/>
      <c r="BB107" s="255" t="n"/>
      <c r="BC107" s="252" t="n"/>
      <c r="BD107" s="258" t="n"/>
      <c r="BE107" s="259" t="n"/>
      <c r="BF107" s="255" t="n"/>
      <c r="BG107" s="260" t="n"/>
      <c r="BH107" s="261" t="n"/>
      <c r="BI107" s="392" t="n"/>
      <c r="BJ107" s="255" t="n"/>
      <c r="BK107" s="393" t="n"/>
      <c r="BL107" s="393" t="n"/>
      <c r="BM107" s="252" t="n"/>
      <c r="BN107" s="253" t="n"/>
      <c r="BO107" s="254" t="n"/>
      <c r="BP107" s="253" t="n"/>
      <c r="BQ107" s="252" t="n"/>
      <c r="BR107" s="253" t="n"/>
      <c r="BS107" s="254" t="n"/>
      <c r="BT107" s="253" t="n"/>
      <c r="BU107" s="264" t="n"/>
      <c r="BV107" s="253" t="n"/>
      <c r="BW107" s="254" t="n"/>
      <c r="BX107" s="253" t="n"/>
      <c r="BY107" s="264" t="n"/>
      <c r="BZ107" s="253" t="n"/>
      <c r="CA107" s="55" t="n"/>
      <c r="CB107" s="255" t="n"/>
      <c r="CC107" s="252" t="n"/>
      <c r="CD107" s="256" t="n"/>
      <c r="CE107" s="55" t="n"/>
      <c r="CF107" s="253" t="n"/>
      <c r="CG107" s="252" t="n"/>
      <c r="CH107" s="257" t="n"/>
      <c r="CI107" s="55" t="n"/>
      <c r="CJ107" s="253" t="n"/>
      <c r="CK107" s="252" t="n"/>
      <c r="CL107" s="253" t="n"/>
      <c r="CM107" s="55" t="n"/>
      <c r="CN107" s="253" t="n"/>
      <c r="CO107" s="252" t="n"/>
      <c r="CP107" s="257" t="n"/>
      <c r="CQ107" s="55" t="n"/>
      <c r="CR107" s="253" t="n"/>
      <c r="CS107" s="252" t="n"/>
      <c r="CT107" s="253" t="n"/>
      <c r="CU107" s="55" t="n"/>
      <c r="CV107" s="253" t="n"/>
      <c r="CW107" s="252" t="n"/>
      <c r="CX107" s="253" t="n"/>
      <c r="CY107" s="254" t="n"/>
      <c r="CZ107" s="253" t="n"/>
      <c r="DA107" s="252" t="n"/>
      <c r="DB107" s="258" t="n"/>
      <c r="DC107" s="259" t="n"/>
      <c r="DD107" s="253" t="n"/>
      <c r="DE107" s="252" t="n"/>
      <c r="DF107" s="261" t="n"/>
      <c r="DG107" s="392" t="n"/>
      <c r="DH107" s="253" t="n"/>
      <c r="DI107" s="393" t="n"/>
      <c r="DJ107" s="393" t="n"/>
      <c r="DK107" s="252" t="n"/>
      <c r="DL107" s="253" t="n"/>
      <c r="DM107" s="254" t="n"/>
      <c r="DN107" s="253" t="n"/>
      <c r="DO107" s="252" t="n"/>
      <c r="DP107" s="253" t="n"/>
      <c r="DQ107" s="254" t="n"/>
      <c r="DR107" s="253" t="n"/>
      <c r="DS107" s="264" t="n"/>
      <c r="DT107" s="253" t="n"/>
      <c r="DU107" s="254" t="n"/>
      <c r="DV107" s="253" t="n"/>
      <c r="DW107" s="264" t="n"/>
      <c r="DX107" s="253" t="n"/>
      <c r="DY107" s="55" t="n"/>
      <c r="DZ107" s="255" t="n"/>
      <c r="EA107" s="252" t="n"/>
      <c r="EB107" s="256" t="n"/>
      <c r="EC107" s="254" t="n"/>
      <c r="ED107" s="253" t="n"/>
      <c r="EE107" s="252" t="n"/>
      <c r="EF107" s="257" t="n"/>
      <c r="EG107" s="55" t="n"/>
      <c r="EH107" s="253" t="n"/>
      <c r="EI107" s="252" t="n"/>
      <c r="EJ107" s="253" t="n"/>
      <c r="EK107" s="55" t="n"/>
      <c r="EL107" s="253" t="n"/>
      <c r="EM107" s="252" t="n"/>
      <c r="EN107" s="257" t="n"/>
      <c r="EO107" s="55" t="n"/>
      <c r="EP107" s="253" t="n"/>
      <c r="EQ107" s="252" t="n"/>
      <c r="ER107" s="253" t="n"/>
      <c r="ES107" s="55" t="n"/>
      <c r="ET107" s="253" t="n"/>
      <c r="EU107" s="252" t="n"/>
      <c r="EV107" s="253" t="n"/>
      <c r="EW107" s="254" t="n"/>
      <c r="EX107" s="253" t="n"/>
      <c r="EY107" s="252" t="n"/>
      <c r="EZ107" s="258" t="n"/>
      <c r="FA107" s="259" t="n"/>
      <c r="FB107" s="253" t="n"/>
      <c r="FC107" s="252" t="n"/>
      <c r="FD107" s="261" t="n"/>
      <c r="FE107" s="392" t="n"/>
      <c r="FF107" s="253" t="n"/>
      <c r="FG107" s="393" t="n"/>
      <c r="FH107" s="393" t="n"/>
      <c r="FI107" s="252" t="n"/>
      <c r="FJ107" s="253" t="n"/>
      <c r="FK107" s="254" t="n"/>
      <c r="FL107" s="253" t="n"/>
      <c r="FM107" s="252" t="n"/>
      <c r="FN107" s="253" t="n"/>
      <c r="FO107" s="254" t="n"/>
      <c r="FP107" s="253" t="n"/>
      <c r="FQ107" s="264" t="n"/>
      <c r="FR107" s="253" t="n"/>
      <c r="FS107" s="254" t="n"/>
      <c r="FT107" s="253" t="n"/>
      <c r="FU107" s="264" t="n"/>
      <c r="FV107" s="253" t="n"/>
      <c r="FW107" s="55" t="n"/>
      <c r="FX107" s="255" t="n"/>
      <c r="FY107" s="252" t="n"/>
      <c r="FZ107" s="256" t="n"/>
      <c r="GA107" s="254" t="n"/>
      <c r="GB107" s="253" t="n"/>
      <c r="GC107" s="252" t="n"/>
      <c r="GD107" s="257" t="n"/>
      <c r="GE107" s="55" t="n"/>
      <c r="GF107" s="253" t="n"/>
      <c r="GG107" s="252" t="n"/>
      <c r="GH107" s="253" t="n"/>
      <c r="GI107" s="55" t="n"/>
      <c r="GJ107" s="253" t="n"/>
      <c r="GK107" s="252" t="n"/>
      <c r="GL107" s="257" t="n"/>
      <c r="GM107" s="55" t="n"/>
      <c r="GN107" s="253" t="n"/>
      <c r="GO107" s="252" t="n"/>
      <c r="GP107" s="253" t="n"/>
      <c r="GQ107" s="55" t="n"/>
      <c r="GR107" s="253" t="n"/>
      <c r="GS107" s="252" t="n"/>
      <c r="GT107" s="253" t="n"/>
      <c r="GU107" s="254" t="n"/>
      <c r="GV107" s="253" t="n"/>
      <c r="GW107" s="252" t="n"/>
      <c r="GX107" s="258" t="n"/>
      <c r="GY107" s="259" t="n"/>
      <c r="GZ107" s="253" t="n"/>
      <c r="HA107" s="252" t="n"/>
      <c r="HB107" s="261" t="n"/>
      <c r="HC107" s="392" t="n"/>
      <c r="HD107" s="253" t="n"/>
      <c r="HE107" s="393" t="n"/>
      <c r="HF107" s="393" t="n"/>
      <c r="HG107" s="252" t="n"/>
      <c r="HH107" s="253" t="n"/>
      <c r="HI107" s="254" t="n"/>
      <c r="HJ107" s="253" t="n"/>
      <c r="HK107" s="252" t="n"/>
      <c r="HL107" s="253" t="n"/>
      <c r="HM107" s="254" t="n"/>
      <c r="HN107" s="253" t="n"/>
      <c r="HO107" s="264" t="n"/>
      <c r="HP107" s="253" t="n"/>
      <c r="HQ107" s="254" t="n"/>
      <c r="HR107" s="253" t="n"/>
      <c r="HS107" s="264" t="n"/>
      <c r="HT107" s="253" t="n"/>
      <c r="HU107" s="55" t="n"/>
      <c r="HV107" s="255" t="n"/>
      <c r="HW107" s="252" t="n"/>
      <c r="HX107" s="256" t="n"/>
      <c r="HY107" s="254" t="n"/>
      <c r="HZ107" s="253" t="n"/>
      <c r="IA107" s="252" t="n"/>
      <c r="IB107" s="257" t="n"/>
      <c r="IC107" s="55" t="n"/>
      <c r="ID107" s="253" t="n"/>
      <c r="IE107" s="252" t="n"/>
      <c r="IF107" s="253" t="n"/>
      <c r="IG107" s="55" t="n"/>
      <c r="IH107" s="253" t="n"/>
      <c r="II107" s="252" t="n"/>
      <c r="IJ107" s="257" t="n"/>
      <c r="IK107" s="55" t="n"/>
      <c r="IL107" s="253" t="n"/>
      <c r="IM107" s="252" t="n"/>
      <c r="IN107" s="253" t="n"/>
      <c r="IO107" s="55" t="n"/>
      <c r="IP107" s="253" t="n"/>
      <c r="IQ107" s="252" t="n"/>
      <c r="IR107" s="253" t="n"/>
      <c r="IS107" s="254" t="n"/>
      <c r="IT107" s="253" t="n"/>
      <c r="IU107" s="252" t="n"/>
      <c r="IV107" s="258" t="n"/>
      <c r="IW107" s="259" t="n"/>
      <c r="IX107" s="253" t="n"/>
      <c r="IY107" s="252" t="n"/>
      <c r="IZ107" s="261" t="n"/>
      <c r="JA107" s="392" t="n"/>
      <c r="JB107" s="253" t="n"/>
      <c r="JC107" s="393" t="n"/>
      <c r="JD107" s="393" t="n"/>
    </row>
    <row r="108">
      <c r="E108" s="248" t="n"/>
      <c r="F108" s="248" t="n"/>
      <c r="G108" s="249" t="n"/>
      <c r="H108" s="250" t="n"/>
      <c r="I108" s="251" t="n"/>
      <c r="J108" s="251" t="n"/>
      <c r="K108" s="251" t="n"/>
      <c r="L108" s="251" t="n"/>
      <c r="M108" s="251" t="n"/>
      <c r="N108" s="251" t="n"/>
      <c r="O108" s="252" t="n"/>
      <c r="P108" s="253" t="n"/>
      <c r="Q108" s="254" t="n"/>
      <c r="R108" s="253" t="n"/>
      <c r="S108" s="252" t="n"/>
      <c r="T108" s="253" t="n"/>
      <c r="U108" s="254" t="n"/>
      <c r="V108" s="253" t="n"/>
      <c r="W108" s="252" t="n"/>
      <c r="X108" s="253" t="n"/>
      <c r="Y108" s="254" t="n"/>
      <c r="Z108" s="253" t="n"/>
      <c r="AA108" s="252" t="n"/>
      <c r="AB108" s="253" t="n"/>
      <c r="AC108" s="55" t="n"/>
      <c r="AD108" s="255" t="n"/>
      <c r="AE108" s="252" t="n"/>
      <c r="AF108" s="256" t="n"/>
      <c r="AG108" s="254" t="n"/>
      <c r="AH108" s="253" t="n"/>
      <c r="AI108" s="252" t="n"/>
      <c r="AJ108" s="257" t="n"/>
      <c r="AK108" s="55" t="n"/>
      <c r="AL108" s="253" t="n"/>
      <c r="AM108" s="252" t="n"/>
      <c r="AN108" s="253" t="n"/>
      <c r="AO108" s="55" t="n"/>
      <c r="AP108" s="253" t="n"/>
      <c r="AQ108" s="252" t="n"/>
      <c r="AR108" s="257" t="n"/>
      <c r="AS108" s="55" t="n"/>
      <c r="AT108" s="253" t="n"/>
      <c r="AU108" s="252" t="n"/>
      <c r="AV108" s="253" t="n"/>
      <c r="AW108" s="55" t="n"/>
      <c r="AX108" s="253" t="n"/>
      <c r="AY108" s="252" t="n"/>
      <c r="AZ108" s="253" t="n"/>
      <c r="BA108" s="254" t="n"/>
      <c r="BB108" s="255" t="n"/>
      <c r="BC108" s="252" t="n"/>
      <c r="BD108" s="258" t="n"/>
      <c r="BE108" s="259" t="n"/>
      <c r="BF108" s="255" t="n"/>
      <c r="BG108" s="260" t="n"/>
      <c r="BH108" s="261" t="n"/>
      <c r="BI108" s="392" t="n"/>
      <c r="BJ108" s="255" t="n"/>
      <c r="BK108" s="393" t="n"/>
      <c r="BL108" s="393" t="n"/>
      <c r="BM108" s="252" t="n"/>
      <c r="BN108" s="253" t="n"/>
      <c r="BO108" s="254" t="n"/>
      <c r="BP108" s="253" t="n"/>
      <c r="BQ108" s="252" t="n"/>
      <c r="BR108" s="253" t="n"/>
      <c r="BS108" s="254" t="n"/>
      <c r="BT108" s="253" t="n"/>
      <c r="BU108" s="264" t="n"/>
      <c r="BV108" s="253" t="n"/>
      <c r="BW108" s="254" t="n"/>
      <c r="BX108" s="253" t="n"/>
      <c r="BY108" s="264" t="n"/>
      <c r="BZ108" s="253" t="n"/>
      <c r="CA108" s="55" t="n"/>
      <c r="CB108" s="255" t="n"/>
      <c r="CC108" s="252" t="n"/>
      <c r="CD108" s="256" t="n"/>
      <c r="CE108" s="55" t="n"/>
      <c r="CF108" s="253" t="n"/>
      <c r="CG108" s="252" t="n"/>
      <c r="CH108" s="257" t="n"/>
      <c r="CI108" s="55" t="n"/>
      <c r="CJ108" s="253" t="n"/>
      <c r="CK108" s="252" t="n"/>
      <c r="CL108" s="253" t="n"/>
      <c r="CM108" s="55" t="n"/>
      <c r="CN108" s="253" t="n"/>
      <c r="CO108" s="252" t="n"/>
      <c r="CP108" s="257" t="n"/>
      <c r="CQ108" s="55" t="n"/>
      <c r="CR108" s="253" t="n"/>
      <c r="CS108" s="252" t="n"/>
      <c r="CT108" s="253" t="n"/>
      <c r="CU108" s="55" t="n"/>
      <c r="CV108" s="253" t="n"/>
      <c r="CW108" s="252" t="n"/>
      <c r="CX108" s="253" t="n"/>
      <c r="CY108" s="254" t="n"/>
      <c r="CZ108" s="253" t="n"/>
      <c r="DA108" s="252" t="n"/>
      <c r="DB108" s="258" t="n"/>
      <c r="DC108" s="259" t="n"/>
      <c r="DD108" s="253" t="n"/>
      <c r="DE108" s="252" t="n"/>
      <c r="DF108" s="261" t="n"/>
      <c r="DG108" s="392" t="n"/>
      <c r="DH108" s="253" t="n"/>
      <c r="DI108" s="393" t="n"/>
      <c r="DJ108" s="393" t="n"/>
      <c r="DK108" s="252" t="n"/>
      <c r="DL108" s="253" t="n"/>
      <c r="DM108" s="254" t="n"/>
      <c r="DN108" s="253" t="n"/>
      <c r="DO108" s="252" t="n"/>
      <c r="DP108" s="253" t="n"/>
      <c r="DQ108" s="254" t="n"/>
      <c r="DR108" s="253" t="n"/>
      <c r="DS108" s="264" t="n"/>
      <c r="DT108" s="253" t="n"/>
      <c r="DU108" s="254" t="n"/>
      <c r="DV108" s="253" t="n"/>
      <c r="DW108" s="264" t="n"/>
      <c r="DX108" s="253" t="n"/>
      <c r="DY108" s="55" t="n"/>
      <c r="DZ108" s="255" t="n"/>
      <c r="EA108" s="252" t="n"/>
      <c r="EB108" s="256" t="n"/>
      <c r="EC108" s="254" t="n"/>
      <c r="ED108" s="253" t="n"/>
      <c r="EE108" s="252" t="n"/>
      <c r="EF108" s="257" t="n"/>
      <c r="EG108" s="55" t="n"/>
      <c r="EH108" s="253" t="n"/>
      <c r="EI108" s="252" t="n"/>
      <c r="EJ108" s="253" t="n"/>
      <c r="EK108" s="55" t="n"/>
      <c r="EL108" s="253" t="n"/>
      <c r="EM108" s="252" t="n"/>
      <c r="EN108" s="257" t="n"/>
      <c r="EO108" s="55" t="n"/>
      <c r="EP108" s="253" t="n"/>
      <c r="EQ108" s="252" t="n"/>
      <c r="ER108" s="253" t="n"/>
      <c r="ES108" s="55" t="n"/>
      <c r="ET108" s="253" t="n"/>
      <c r="EU108" s="252" t="n"/>
      <c r="EV108" s="253" t="n"/>
      <c r="EW108" s="254" t="n"/>
      <c r="EX108" s="253" t="n"/>
      <c r="EY108" s="252" t="n"/>
      <c r="EZ108" s="258" t="n"/>
      <c r="FA108" s="259" t="n"/>
      <c r="FB108" s="253" t="n"/>
      <c r="FC108" s="252" t="n"/>
      <c r="FD108" s="261" t="n"/>
      <c r="FE108" s="392" t="n"/>
      <c r="FF108" s="253" t="n"/>
      <c r="FG108" s="393" t="n"/>
      <c r="FH108" s="393" t="n"/>
      <c r="FI108" s="252" t="n"/>
      <c r="FJ108" s="253" t="n"/>
      <c r="FK108" s="254" t="n"/>
      <c r="FL108" s="253" t="n"/>
      <c r="FM108" s="252" t="n"/>
      <c r="FN108" s="253" t="n"/>
      <c r="FO108" s="254" t="n"/>
      <c r="FP108" s="253" t="n"/>
      <c r="FQ108" s="264" t="n"/>
      <c r="FR108" s="253" t="n"/>
      <c r="FS108" s="254" t="n"/>
      <c r="FT108" s="253" t="n"/>
      <c r="FU108" s="264" t="n"/>
      <c r="FV108" s="253" t="n"/>
      <c r="FW108" s="55" t="n"/>
      <c r="FX108" s="255" t="n"/>
      <c r="FY108" s="252" t="n"/>
      <c r="FZ108" s="256" t="n"/>
      <c r="GA108" s="254" t="n"/>
      <c r="GB108" s="253" t="n"/>
      <c r="GC108" s="252" t="n"/>
      <c r="GD108" s="257" t="n"/>
      <c r="GE108" s="55" t="n"/>
      <c r="GF108" s="253" t="n"/>
      <c r="GG108" s="252" t="n"/>
      <c r="GH108" s="253" t="n"/>
      <c r="GI108" s="55" t="n"/>
      <c r="GJ108" s="253" t="n"/>
      <c r="GK108" s="252" t="n"/>
      <c r="GL108" s="257" t="n"/>
      <c r="GM108" s="55" t="n"/>
      <c r="GN108" s="253" t="n"/>
      <c r="GO108" s="252" t="n"/>
      <c r="GP108" s="253" t="n"/>
      <c r="GQ108" s="55" t="n"/>
      <c r="GR108" s="253" t="n"/>
      <c r="GS108" s="252" t="n"/>
      <c r="GT108" s="253" t="n"/>
      <c r="GU108" s="254" t="n"/>
      <c r="GV108" s="253" t="n"/>
      <c r="GW108" s="252" t="n"/>
      <c r="GX108" s="258" t="n"/>
      <c r="GY108" s="259" t="n"/>
      <c r="GZ108" s="253" t="n"/>
      <c r="HA108" s="252" t="n"/>
      <c r="HB108" s="261" t="n"/>
      <c r="HC108" s="392" t="n"/>
      <c r="HD108" s="253" t="n"/>
      <c r="HE108" s="393" t="n"/>
      <c r="HF108" s="393" t="n"/>
      <c r="HG108" s="252" t="n"/>
      <c r="HH108" s="253" t="n"/>
      <c r="HI108" s="254" t="n"/>
      <c r="HJ108" s="253" t="n"/>
      <c r="HK108" s="252" t="n"/>
      <c r="HL108" s="253" t="n"/>
      <c r="HM108" s="254" t="n"/>
      <c r="HN108" s="253" t="n"/>
      <c r="HO108" s="264" t="n"/>
      <c r="HP108" s="253" t="n"/>
      <c r="HQ108" s="254" t="n"/>
      <c r="HR108" s="253" t="n"/>
      <c r="HS108" s="264" t="n"/>
      <c r="HT108" s="253" t="n"/>
      <c r="HU108" s="55" t="n"/>
      <c r="HV108" s="255" t="n"/>
      <c r="HW108" s="252" t="n"/>
      <c r="HX108" s="256" t="n"/>
      <c r="HY108" s="254" t="n"/>
      <c r="HZ108" s="253" t="n"/>
      <c r="IA108" s="252" t="n"/>
      <c r="IB108" s="257" t="n"/>
      <c r="IC108" s="55" t="n"/>
      <c r="ID108" s="253" t="n"/>
      <c r="IE108" s="252" t="n"/>
      <c r="IF108" s="253" t="n"/>
      <c r="IG108" s="55" t="n"/>
      <c r="IH108" s="253" t="n"/>
      <c r="II108" s="252" t="n"/>
      <c r="IJ108" s="257" t="n"/>
      <c r="IK108" s="55" t="n"/>
      <c r="IL108" s="253" t="n"/>
      <c r="IM108" s="252" t="n"/>
      <c r="IN108" s="253" t="n"/>
      <c r="IO108" s="55" t="n"/>
      <c r="IP108" s="253" t="n"/>
      <c r="IQ108" s="252" t="n"/>
      <c r="IR108" s="253" t="n"/>
      <c r="IS108" s="254" t="n"/>
      <c r="IT108" s="253" t="n"/>
      <c r="IU108" s="252" t="n"/>
      <c r="IV108" s="258" t="n"/>
      <c r="IW108" s="259" t="n"/>
      <c r="IX108" s="253" t="n"/>
      <c r="IY108" s="252" t="n"/>
      <c r="IZ108" s="261" t="n"/>
      <c r="JA108" s="392" t="n"/>
      <c r="JB108" s="253" t="n"/>
      <c r="JC108" s="393" t="n"/>
      <c r="JD108" s="393" t="n"/>
    </row>
    <row r="109">
      <c r="E109" s="248" t="n"/>
      <c r="F109" s="248" t="n"/>
      <c r="G109" s="249" t="n"/>
      <c r="H109" s="250" t="n"/>
      <c r="I109" s="251" t="n"/>
      <c r="J109" s="251" t="n"/>
      <c r="K109" s="251" t="n"/>
      <c r="L109" s="251" t="n"/>
      <c r="M109" s="251" t="n"/>
      <c r="N109" s="251" t="n"/>
      <c r="O109" s="252" t="n"/>
      <c r="P109" s="253" t="n"/>
      <c r="Q109" s="254" t="n"/>
      <c r="R109" s="253" t="n"/>
      <c r="S109" s="252" t="n"/>
      <c r="T109" s="253" t="n"/>
      <c r="U109" s="254" t="n"/>
      <c r="V109" s="253" t="n"/>
      <c r="W109" s="252" t="n"/>
      <c r="X109" s="253" t="n"/>
      <c r="Y109" s="254" t="n"/>
      <c r="Z109" s="253" t="n"/>
      <c r="AA109" s="252" t="n"/>
      <c r="AB109" s="253" t="n"/>
      <c r="AC109" s="55" t="n"/>
      <c r="AD109" s="255" t="n"/>
      <c r="AE109" s="252" t="n"/>
      <c r="AF109" s="256" t="n"/>
      <c r="AG109" s="254" t="n"/>
      <c r="AH109" s="253" t="n"/>
      <c r="AI109" s="252" t="n"/>
      <c r="AJ109" s="257" t="n"/>
      <c r="AK109" s="55" t="n"/>
      <c r="AL109" s="253" t="n"/>
      <c r="AM109" s="252" t="n"/>
      <c r="AN109" s="253" t="n"/>
      <c r="AO109" s="55" t="n"/>
      <c r="AP109" s="253" t="n"/>
      <c r="AQ109" s="252" t="n"/>
      <c r="AR109" s="257" t="n"/>
      <c r="AS109" s="55" t="n"/>
      <c r="AT109" s="253" t="n"/>
      <c r="AU109" s="252" t="n"/>
      <c r="AV109" s="253" t="n"/>
      <c r="AW109" s="55" t="n"/>
      <c r="AX109" s="253" t="n"/>
      <c r="AY109" s="252" t="n"/>
      <c r="AZ109" s="253" t="n"/>
      <c r="BA109" s="254" t="n"/>
      <c r="BB109" s="255" t="n"/>
      <c r="BC109" s="252" t="n"/>
      <c r="BD109" s="258" t="n"/>
      <c r="BE109" s="259" t="n"/>
      <c r="BF109" s="255" t="n"/>
      <c r="BG109" s="260" t="n"/>
      <c r="BH109" s="261" t="n"/>
      <c r="BI109" s="392" t="n"/>
      <c r="BJ109" s="255" t="n"/>
      <c r="BK109" s="393" t="n"/>
      <c r="BL109" s="393" t="n"/>
      <c r="BM109" s="252" t="n"/>
      <c r="BN109" s="253" t="n"/>
      <c r="BO109" s="254" t="n"/>
      <c r="BP109" s="253" t="n"/>
      <c r="BQ109" s="252" t="n"/>
      <c r="BR109" s="253" t="n"/>
      <c r="BS109" s="254" t="n"/>
      <c r="BT109" s="253" t="n"/>
      <c r="BU109" s="264" t="n"/>
      <c r="BV109" s="253" t="n"/>
      <c r="BW109" s="254" t="n"/>
      <c r="BX109" s="253" t="n"/>
      <c r="BY109" s="264" t="n"/>
      <c r="BZ109" s="253" t="n"/>
      <c r="CA109" s="55" t="n"/>
      <c r="CB109" s="255" t="n"/>
      <c r="CC109" s="252" t="n"/>
      <c r="CD109" s="256" t="n"/>
      <c r="CE109" s="55" t="n"/>
      <c r="CF109" s="253" t="n"/>
      <c r="CG109" s="252" t="n"/>
      <c r="CH109" s="257" t="n"/>
      <c r="CI109" s="55" t="n"/>
      <c r="CJ109" s="253" t="n"/>
      <c r="CK109" s="252" t="n"/>
      <c r="CL109" s="253" t="n"/>
      <c r="CM109" s="55" t="n"/>
      <c r="CN109" s="253" t="n"/>
      <c r="CO109" s="252" t="n"/>
      <c r="CP109" s="257" t="n"/>
      <c r="CQ109" s="55" t="n"/>
      <c r="CR109" s="253" t="n"/>
      <c r="CS109" s="252" t="n"/>
      <c r="CT109" s="253" t="n"/>
      <c r="CU109" s="55" t="n"/>
      <c r="CV109" s="253" t="n"/>
      <c r="CW109" s="252" t="n"/>
      <c r="CX109" s="253" t="n"/>
      <c r="CY109" s="254" t="n"/>
      <c r="CZ109" s="253" t="n"/>
      <c r="DA109" s="252" t="n"/>
      <c r="DB109" s="258" t="n"/>
      <c r="DC109" s="259" t="n"/>
      <c r="DD109" s="253" t="n"/>
      <c r="DE109" s="252" t="n"/>
      <c r="DF109" s="261" t="n"/>
      <c r="DG109" s="392" t="n"/>
      <c r="DH109" s="253" t="n"/>
      <c r="DI109" s="393" t="n"/>
      <c r="DJ109" s="393" t="n"/>
      <c r="DK109" s="252" t="n"/>
      <c r="DL109" s="253" t="n"/>
      <c r="DM109" s="254" t="n"/>
      <c r="DN109" s="253" t="n"/>
      <c r="DO109" s="252" t="n"/>
      <c r="DP109" s="253" t="n"/>
      <c r="DQ109" s="254" t="n"/>
      <c r="DR109" s="253" t="n"/>
      <c r="DS109" s="264" t="n"/>
      <c r="DT109" s="253" t="n"/>
      <c r="DU109" s="254" t="n"/>
      <c r="DV109" s="253" t="n"/>
      <c r="DW109" s="264" t="n"/>
      <c r="DX109" s="253" t="n"/>
      <c r="DY109" s="55" t="n"/>
      <c r="DZ109" s="255" t="n"/>
      <c r="EA109" s="252" t="n"/>
      <c r="EB109" s="256" t="n"/>
      <c r="EC109" s="254" t="n"/>
      <c r="ED109" s="253" t="n"/>
      <c r="EE109" s="252" t="n"/>
      <c r="EF109" s="257" t="n"/>
      <c r="EG109" s="55" t="n"/>
      <c r="EH109" s="253" t="n"/>
      <c r="EI109" s="252" t="n"/>
      <c r="EJ109" s="253" t="n"/>
      <c r="EK109" s="55" t="n"/>
      <c r="EL109" s="253" t="n"/>
      <c r="EM109" s="252" t="n"/>
      <c r="EN109" s="257" t="n"/>
      <c r="EO109" s="55" t="n"/>
      <c r="EP109" s="253" t="n"/>
      <c r="EQ109" s="252" t="n"/>
      <c r="ER109" s="253" t="n"/>
      <c r="ES109" s="55" t="n"/>
      <c r="ET109" s="253" t="n"/>
      <c r="EU109" s="252" t="n"/>
      <c r="EV109" s="253" t="n"/>
      <c r="EW109" s="254" t="n"/>
      <c r="EX109" s="253" t="n"/>
      <c r="EY109" s="252" t="n"/>
      <c r="EZ109" s="258" t="n"/>
      <c r="FA109" s="259" t="n"/>
      <c r="FB109" s="253" t="n"/>
      <c r="FC109" s="252" t="n"/>
      <c r="FD109" s="261" t="n"/>
      <c r="FE109" s="392" t="n"/>
      <c r="FF109" s="253" t="n"/>
      <c r="FG109" s="393" t="n"/>
      <c r="FH109" s="393" t="n"/>
      <c r="FI109" s="252" t="n"/>
      <c r="FJ109" s="253" t="n"/>
      <c r="FK109" s="254" t="n"/>
      <c r="FL109" s="253" t="n"/>
      <c r="FM109" s="252" t="n"/>
      <c r="FN109" s="253" t="n"/>
      <c r="FO109" s="254" t="n"/>
      <c r="FP109" s="253" t="n"/>
      <c r="FQ109" s="264" t="n"/>
      <c r="FR109" s="253" t="n"/>
      <c r="FS109" s="254" t="n"/>
      <c r="FT109" s="253" t="n"/>
      <c r="FU109" s="264" t="n"/>
      <c r="FV109" s="253" t="n"/>
      <c r="FW109" s="55" t="n"/>
      <c r="FX109" s="255" t="n"/>
      <c r="FY109" s="252" t="n"/>
      <c r="FZ109" s="256" t="n"/>
      <c r="GA109" s="254" t="n"/>
      <c r="GB109" s="253" t="n"/>
      <c r="GC109" s="252" t="n"/>
      <c r="GD109" s="257" t="n"/>
      <c r="GE109" s="55" t="n"/>
      <c r="GF109" s="253" t="n"/>
      <c r="GG109" s="252" t="n"/>
      <c r="GH109" s="253" t="n"/>
      <c r="GI109" s="55" t="n"/>
      <c r="GJ109" s="253" t="n"/>
      <c r="GK109" s="252" t="n"/>
      <c r="GL109" s="257" t="n"/>
      <c r="GM109" s="55" t="n"/>
      <c r="GN109" s="253" t="n"/>
      <c r="GO109" s="252" t="n"/>
      <c r="GP109" s="253" t="n"/>
      <c r="GQ109" s="55" t="n"/>
      <c r="GR109" s="253" t="n"/>
      <c r="GS109" s="252" t="n"/>
      <c r="GT109" s="253" t="n"/>
      <c r="GU109" s="254" t="n"/>
      <c r="GV109" s="253" t="n"/>
      <c r="GW109" s="252" t="n"/>
      <c r="GX109" s="258" t="n"/>
      <c r="GY109" s="259" t="n"/>
      <c r="GZ109" s="253" t="n"/>
      <c r="HA109" s="252" t="n"/>
      <c r="HB109" s="261" t="n"/>
      <c r="HC109" s="392" t="n"/>
      <c r="HD109" s="253" t="n"/>
      <c r="HE109" s="393" t="n"/>
      <c r="HF109" s="393" t="n"/>
      <c r="HG109" s="252" t="n"/>
      <c r="HH109" s="253" t="n"/>
      <c r="HI109" s="254" t="n"/>
      <c r="HJ109" s="253" t="n"/>
      <c r="HK109" s="252" t="n"/>
      <c r="HL109" s="253" t="n"/>
      <c r="HM109" s="254" t="n"/>
      <c r="HN109" s="253" t="n"/>
      <c r="HO109" s="264" t="n"/>
      <c r="HP109" s="253" t="n"/>
      <c r="HQ109" s="254" t="n"/>
      <c r="HR109" s="253" t="n"/>
      <c r="HS109" s="264" t="n"/>
      <c r="HT109" s="253" t="n"/>
      <c r="HU109" s="55" t="n"/>
      <c r="HV109" s="255" t="n"/>
      <c r="HW109" s="252" t="n"/>
      <c r="HX109" s="256" t="n"/>
      <c r="HY109" s="254" t="n"/>
      <c r="HZ109" s="253" t="n"/>
      <c r="IA109" s="252" t="n"/>
      <c r="IB109" s="257" t="n"/>
      <c r="IC109" s="55" t="n"/>
      <c r="ID109" s="253" t="n"/>
      <c r="IE109" s="252" t="n"/>
      <c r="IF109" s="253" t="n"/>
      <c r="IG109" s="55" t="n"/>
      <c r="IH109" s="253" t="n"/>
      <c r="II109" s="252" t="n"/>
      <c r="IJ109" s="257" t="n"/>
      <c r="IK109" s="55" t="n"/>
      <c r="IL109" s="253" t="n"/>
      <c r="IM109" s="252" t="n"/>
      <c r="IN109" s="253" t="n"/>
      <c r="IO109" s="55" t="n"/>
      <c r="IP109" s="253" t="n"/>
      <c r="IQ109" s="252" t="n"/>
      <c r="IR109" s="253" t="n"/>
      <c r="IS109" s="254" t="n"/>
      <c r="IT109" s="253" t="n"/>
      <c r="IU109" s="252" t="n"/>
      <c r="IV109" s="258" t="n"/>
      <c r="IW109" s="259" t="n"/>
      <c r="IX109" s="253" t="n"/>
      <c r="IY109" s="252" t="n"/>
      <c r="IZ109" s="261" t="n"/>
      <c r="JA109" s="392" t="n"/>
      <c r="JB109" s="253" t="n"/>
      <c r="JC109" s="393" t="n"/>
      <c r="JD109" s="393" t="n"/>
    </row>
    <row r="110">
      <c r="E110" s="248" t="n"/>
      <c r="F110" s="248" t="n"/>
      <c r="G110" s="249" t="n"/>
      <c r="H110" s="250" t="n"/>
      <c r="I110" s="251" t="n"/>
      <c r="J110" s="251" t="n"/>
      <c r="K110" s="251" t="n"/>
      <c r="L110" s="251" t="n"/>
      <c r="M110" s="251" t="n"/>
      <c r="N110" s="251" t="n"/>
      <c r="O110" s="252" t="n"/>
      <c r="P110" s="253" t="n"/>
      <c r="Q110" s="254" t="n"/>
      <c r="R110" s="253" t="n"/>
      <c r="S110" s="252" t="n"/>
      <c r="T110" s="253" t="n"/>
      <c r="U110" s="254" t="n"/>
      <c r="V110" s="253" t="n"/>
      <c r="W110" s="252" t="n"/>
      <c r="X110" s="253" t="n"/>
      <c r="Y110" s="254" t="n"/>
      <c r="Z110" s="253" t="n"/>
      <c r="AA110" s="252" t="n"/>
      <c r="AB110" s="253" t="n"/>
      <c r="AC110" s="55" t="n"/>
      <c r="AD110" s="255" t="n"/>
      <c r="AE110" s="252" t="n"/>
      <c r="AF110" s="256" t="n"/>
      <c r="AG110" s="254" t="n"/>
      <c r="AH110" s="253" t="n"/>
      <c r="AI110" s="252" t="n"/>
      <c r="AJ110" s="257" t="n"/>
      <c r="AK110" s="55" t="n"/>
      <c r="AL110" s="253" t="n"/>
      <c r="AM110" s="252" t="n"/>
      <c r="AN110" s="253" t="n"/>
      <c r="AO110" s="55" t="n"/>
      <c r="AP110" s="253" t="n"/>
      <c r="AQ110" s="252" t="n"/>
      <c r="AR110" s="257" t="n"/>
      <c r="AS110" s="55" t="n"/>
      <c r="AT110" s="253" t="n"/>
      <c r="AU110" s="252" t="n"/>
      <c r="AV110" s="253" t="n"/>
      <c r="AW110" s="55" t="n"/>
      <c r="AX110" s="253" t="n"/>
      <c r="AY110" s="252" t="n"/>
      <c r="AZ110" s="253" t="n"/>
      <c r="BA110" s="254" t="n"/>
      <c r="BB110" s="255" t="n"/>
      <c r="BC110" s="252" t="n"/>
      <c r="BD110" s="258" t="n"/>
      <c r="BE110" s="259" t="n"/>
      <c r="BF110" s="255" t="n"/>
      <c r="BG110" s="260" t="n"/>
      <c r="BH110" s="261" t="n"/>
      <c r="BI110" s="392" t="n"/>
      <c r="BJ110" s="255" t="n"/>
      <c r="BK110" s="393" t="n"/>
      <c r="BL110" s="393" t="n"/>
      <c r="BM110" s="252" t="n"/>
      <c r="BN110" s="253" t="n"/>
      <c r="BO110" s="254" t="n"/>
      <c r="BP110" s="253" t="n"/>
      <c r="BQ110" s="252" t="n"/>
      <c r="BR110" s="253" t="n"/>
      <c r="BS110" s="254" t="n"/>
      <c r="BT110" s="253" t="n"/>
      <c r="BU110" s="264" t="n"/>
      <c r="BV110" s="253" t="n"/>
      <c r="BW110" s="254" t="n"/>
      <c r="BX110" s="253" t="n"/>
      <c r="BY110" s="264" t="n"/>
      <c r="BZ110" s="253" t="n"/>
      <c r="CA110" s="55" t="n"/>
      <c r="CB110" s="255" t="n"/>
      <c r="CC110" s="252" t="n"/>
      <c r="CD110" s="256" t="n"/>
      <c r="CE110" s="55" t="n"/>
      <c r="CF110" s="253" t="n"/>
      <c r="CG110" s="252" t="n"/>
      <c r="CH110" s="257" t="n"/>
      <c r="CI110" s="55" t="n"/>
      <c r="CJ110" s="253" t="n"/>
      <c r="CK110" s="252" t="n"/>
      <c r="CL110" s="253" t="n"/>
      <c r="CM110" s="55" t="n"/>
      <c r="CN110" s="253" t="n"/>
      <c r="CO110" s="252" t="n"/>
      <c r="CP110" s="257" t="n"/>
      <c r="CQ110" s="55" t="n"/>
      <c r="CR110" s="253" t="n"/>
      <c r="CS110" s="252" t="n"/>
      <c r="CT110" s="253" t="n"/>
      <c r="CU110" s="55" t="n"/>
      <c r="CV110" s="253" t="n"/>
      <c r="CW110" s="252" t="n"/>
      <c r="CX110" s="253" t="n"/>
      <c r="CY110" s="254" t="n"/>
      <c r="CZ110" s="253" t="n"/>
      <c r="DA110" s="252" t="n"/>
      <c r="DB110" s="258" t="n"/>
      <c r="DC110" s="259" t="n"/>
      <c r="DD110" s="253" t="n"/>
      <c r="DE110" s="252" t="n"/>
      <c r="DF110" s="261" t="n"/>
      <c r="DG110" s="392" t="n"/>
      <c r="DH110" s="253" t="n"/>
      <c r="DI110" s="393" t="n"/>
      <c r="DJ110" s="393" t="n"/>
      <c r="DK110" s="252" t="n"/>
      <c r="DL110" s="253" t="n"/>
      <c r="DM110" s="254" t="n"/>
      <c r="DN110" s="253" t="n"/>
      <c r="DO110" s="252" t="n"/>
      <c r="DP110" s="253" t="n"/>
      <c r="DQ110" s="254" t="n"/>
      <c r="DR110" s="253" t="n"/>
      <c r="DS110" s="264" t="n"/>
      <c r="DT110" s="253" t="n"/>
      <c r="DU110" s="254" t="n"/>
      <c r="DV110" s="253" t="n"/>
      <c r="DW110" s="264" t="n"/>
      <c r="DX110" s="253" t="n"/>
      <c r="DY110" s="55" t="n"/>
      <c r="DZ110" s="255" t="n"/>
      <c r="EA110" s="252" t="n"/>
      <c r="EB110" s="256" t="n"/>
      <c r="EC110" s="254" t="n"/>
      <c r="ED110" s="253" t="n"/>
      <c r="EE110" s="252" t="n"/>
      <c r="EF110" s="257" t="n"/>
      <c r="EG110" s="55" t="n"/>
      <c r="EH110" s="253" t="n"/>
      <c r="EI110" s="252" t="n"/>
      <c r="EJ110" s="253" t="n"/>
      <c r="EK110" s="55" t="n"/>
      <c r="EL110" s="253" t="n"/>
      <c r="EM110" s="252" t="n"/>
      <c r="EN110" s="257" t="n"/>
      <c r="EO110" s="55" t="n"/>
      <c r="EP110" s="253" t="n"/>
      <c r="EQ110" s="252" t="n"/>
      <c r="ER110" s="253" t="n"/>
      <c r="ES110" s="55" t="n"/>
      <c r="ET110" s="253" t="n"/>
      <c r="EU110" s="252" t="n"/>
      <c r="EV110" s="253" t="n"/>
      <c r="EW110" s="254" t="n"/>
      <c r="EX110" s="253" t="n"/>
      <c r="EY110" s="252" t="n"/>
      <c r="EZ110" s="258" t="n"/>
      <c r="FA110" s="259" t="n"/>
      <c r="FB110" s="253" t="n"/>
      <c r="FC110" s="252" t="n"/>
      <c r="FD110" s="261" t="n"/>
      <c r="FE110" s="392" t="n"/>
      <c r="FF110" s="253" t="n"/>
      <c r="FG110" s="393" t="n"/>
      <c r="FH110" s="393" t="n"/>
      <c r="FI110" s="252" t="n"/>
      <c r="FJ110" s="253" t="n"/>
      <c r="FK110" s="254" t="n"/>
      <c r="FL110" s="253" t="n"/>
      <c r="FM110" s="252" t="n"/>
      <c r="FN110" s="253" t="n"/>
      <c r="FO110" s="254" t="n"/>
      <c r="FP110" s="253" t="n"/>
      <c r="FQ110" s="264" t="n"/>
      <c r="FR110" s="253" t="n"/>
      <c r="FS110" s="254" t="n"/>
      <c r="FT110" s="253" t="n"/>
      <c r="FU110" s="264" t="n"/>
      <c r="FV110" s="253" t="n"/>
      <c r="FW110" s="55" t="n"/>
      <c r="FX110" s="255" t="n"/>
      <c r="FY110" s="252" t="n"/>
      <c r="FZ110" s="256" t="n"/>
      <c r="GA110" s="254" t="n"/>
      <c r="GB110" s="253" t="n"/>
      <c r="GC110" s="252" t="n"/>
      <c r="GD110" s="257" t="n"/>
      <c r="GE110" s="55" t="n"/>
      <c r="GF110" s="253" t="n"/>
      <c r="GG110" s="252" t="n"/>
      <c r="GH110" s="253" t="n"/>
      <c r="GI110" s="55" t="n"/>
      <c r="GJ110" s="253" t="n"/>
      <c r="GK110" s="252" t="n"/>
      <c r="GL110" s="257" t="n"/>
      <c r="GM110" s="55" t="n"/>
      <c r="GN110" s="253" t="n"/>
      <c r="GO110" s="252" t="n"/>
      <c r="GP110" s="253" t="n"/>
      <c r="GQ110" s="55" t="n"/>
      <c r="GR110" s="253" t="n"/>
      <c r="GS110" s="252" t="n"/>
      <c r="GT110" s="253" t="n"/>
      <c r="GU110" s="254" t="n"/>
      <c r="GV110" s="253" t="n"/>
      <c r="GW110" s="252" t="n"/>
      <c r="GX110" s="258" t="n"/>
      <c r="GY110" s="259" t="n"/>
      <c r="GZ110" s="253" t="n"/>
      <c r="HA110" s="252" t="n"/>
      <c r="HB110" s="261" t="n"/>
      <c r="HC110" s="392" t="n"/>
      <c r="HD110" s="253" t="n"/>
      <c r="HE110" s="393" t="n"/>
      <c r="HF110" s="393" t="n"/>
      <c r="HG110" s="252" t="n"/>
      <c r="HH110" s="253" t="n"/>
      <c r="HI110" s="254" t="n"/>
      <c r="HJ110" s="253" t="n"/>
      <c r="HK110" s="252" t="n"/>
      <c r="HL110" s="253" t="n"/>
      <c r="HM110" s="254" t="n"/>
      <c r="HN110" s="253" t="n"/>
      <c r="HO110" s="264" t="n"/>
      <c r="HP110" s="253" t="n"/>
      <c r="HQ110" s="254" t="n"/>
      <c r="HR110" s="253" t="n"/>
      <c r="HS110" s="264" t="n"/>
      <c r="HT110" s="253" t="n"/>
      <c r="HU110" s="55" t="n"/>
      <c r="HV110" s="255" t="n"/>
      <c r="HW110" s="252" t="n"/>
      <c r="HX110" s="256" t="n"/>
      <c r="HY110" s="254" t="n"/>
      <c r="HZ110" s="253" t="n"/>
      <c r="IA110" s="252" t="n"/>
      <c r="IB110" s="257" t="n"/>
      <c r="IC110" s="55" t="n"/>
      <c r="ID110" s="253" t="n"/>
      <c r="IE110" s="252" t="n"/>
      <c r="IF110" s="253" t="n"/>
      <c r="IG110" s="55" t="n"/>
      <c r="IH110" s="253" t="n"/>
      <c r="II110" s="252" t="n"/>
      <c r="IJ110" s="257" t="n"/>
      <c r="IK110" s="55" t="n"/>
      <c r="IL110" s="253" t="n"/>
      <c r="IM110" s="252" t="n"/>
      <c r="IN110" s="253" t="n"/>
      <c r="IO110" s="55" t="n"/>
      <c r="IP110" s="253" t="n"/>
      <c r="IQ110" s="252" t="n"/>
      <c r="IR110" s="253" t="n"/>
      <c r="IS110" s="254" t="n"/>
      <c r="IT110" s="253" t="n"/>
      <c r="IU110" s="252" t="n"/>
      <c r="IV110" s="258" t="n"/>
      <c r="IW110" s="259" t="n"/>
      <c r="IX110" s="253" t="n"/>
      <c r="IY110" s="252" t="n"/>
      <c r="IZ110" s="261" t="n"/>
      <c r="JA110" s="392" t="n"/>
      <c r="JB110" s="253" t="n"/>
      <c r="JC110" s="393" t="n"/>
      <c r="JD110" s="393" t="n"/>
    </row>
    <row r="111">
      <c r="E111" s="248" t="n"/>
      <c r="F111" s="248" t="n"/>
      <c r="G111" s="249" t="n"/>
      <c r="H111" s="250" t="n"/>
      <c r="I111" s="251" t="n"/>
      <c r="J111" s="251" t="n"/>
      <c r="K111" s="251" t="n"/>
      <c r="L111" s="251" t="n"/>
      <c r="M111" s="251" t="n"/>
      <c r="N111" s="251" t="n"/>
      <c r="O111" s="252" t="n"/>
      <c r="P111" s="253" t="n"/>
      <c r="Q111" s="254" t="n"/>
      <c r="R111" s="253" t="n"/>
      <c r="S111" s="252" t="n"/>
      <c r="T111" s="253" t="n"/>
      <c r="U111" s="254" t="n"/>
      <c r="V111" s="253" t="n"/>
      <c r="W111" s="252" t="n"/>
      <c r="X111" s="253" t="n"/>
      <c r="Y111" s="254" t="n"/>
      <c r="Z111" s="253" t="n"/>
      <c r="AA111" s="252" t="n"/>
      <c r="AB111" s="253" t="n"/>
      <c r="AC111" s="55" t="n"/>
      <c r="AD111" s="255" t="n"/>
      <c r="AE111" s="252" t="n"/>
      <c r="AF111" s="256" t="n"/>
      <c r="AG111" s="254" t="n"/>
      <c r="AH111" s="253" t="n"/>
      <c r="AI111" s="252" t="n"/>
      <c r="AJ111" s="257" t="n"/>
      <c r="AK111" s="55" t="n"/>
      <c r="AL111" s="253" t="n"/>
      <c r="AM111" s="252" t="n"/>
      <c r="AN111" s="253" t="n"/>
      <c r="AO111" s="55" t="n"/>
      <c r="AP111" s="253" t="n"/>
      <c r="AQ111" s="252" t="n"/>
      <c r="AR111" s="257" t="n"/>
      <c r="AS111" s="55" t="n"/>
      <c r="AT111" s="253" t="n"/>
      <c r="AU111" s="252" t="n"/>
      <c r="AV111" s="253" t="n"/>
      <c r="AW111" s="55" t="n"/>
      <c r="AX111" s="253" t="n"/>
      <c r="AY111" s="252" t="n"/>
      <c r="AZ111" s="253" t="n"/>
      <c r="BA111" s="254" t="n"/>
      <c r="BB111" s="255" t="n"/>
      <c r="BC111" s="252" t="n"/>
      <c r="BD111" s="258" t="n"/>
      <c r="BE111" s="259" t="n"/>
      <c r="BF111" s="255" t="n"/>
      <c r="BG111" s="260" t="n"/>
      <c r="BH111" s="261" t="n"/>
      <c r="BI111" s="392" t="n"/>
      <c r="BJ111" s="255" t="n"/>
      <c r="BK111" s="393" t="n"/>
      <c r="BL111" s="393" t="n"/>
      <c r="BM111" s="252" t="n"/>
      <c r="BN111" s="253" t="n"/>
      <c r="BO111" s="254" t="n"/>
      <c r="BP111" s="253" t="n"/>
      <c r="BQ111" s="252" t="n"/>
      <c r="BR111" s="253" t="n"/>
      <c r="BS111" s="254" t="n"/>
      <c r="BT111" s="253" t="n"/>
      <c r="BU111" s="264" t="n"/>
      <c r="BV111" s="253" t="n"/>
      <c r="BW111" s="254" t="n"/>
      <c r="BX111" s="253" t="n"/>
      <c r="BY111" s="264" t="n"/>
      <c r="BZ111" s="253" t="n"/>
      <c r="CA111" s="55" t="n"/>
      <c r="CB111" s="255" t="n"/>
      <c r="CC111" s="252" t="n"/>
      <c r="CD111" s="256" t="n"/>
      <c r="CE111" s="55" t="n"/>
      <c r="CF111" s="253" t="n"/>
      <c r="CG111" s="252" t="n"/>
      <c r="CH111" s="257" t="n"/>
      <c r="CI111" s="55" t="n"/>
      <c r="CJ111" s="253" t="n"/>
      <c r="CK111" s="252" t="n"/>
      <c r="CL111" s="253" t="n"/>
      <c r="CM111" s="55" t="n"/>
      <c r="CN111" s="253" t="n"/>
      <c r="CO111" s="252" t="n"/>
      <c r="CP111" s="257" t="n"/>
      <c r="CQ111" s="55" t="n"/>
      <c r="CR111" s="253" t="n"/>
      <c r="CS111" s="252" t="n"/>
      <c r="CT111" s="253" t="n"/>
      <c r="CU111" s="55" t="n"/>
      <c r="CV111" s="253" t="n"/>
      <c r="CW111" s="252" t="n"/>
      <c r="CX111" s="253" t="n"/>
      <c r="CY111" s="254" t="n"/>
      <c r="CZ111" s="253" t="n"/>
      <c r="DA111" s="252" t="n"/>
      <c r="DB111" s="258" t="n"/>
      <c r="DC111" s="259" t="n"/>
      <c r="DD111" s="253" t="n"/>
      <c r="DE111" s="252" t="n"/>
      <c r="DF111" s="261" t="n"/>
      <c r="DG111" s="392" t="n"/>
      <c r="DH111" s="253" t="n"/>
      <c r="DI111" s="393" t="n"/>
      <c r="DJ111" s="393" t="n"/>
      <c r="DK111" s="252" t="n"/>
      <c r="DL111" s="253" t="n"/>
      <c r="DM111" s="254" t="n"/>
      <c r="DN111" s="253" t="n"/>
      <c r="DO111" s="252" t="n"/>
      <c r="DP111" s="253" t="n"/>
      <c r="DQ111" s="254" t="n"/>
      <c r="DR111" s="253" t="n"/>
      <c r="DS111" s="264" t="n"/>
      <c r="DT111" s="253" t="n"/>
      <c r="DU111" s="254" t="n"/>
      <c r="DV111" s="253" t="n"/>
      <c r="DW111" s="264" t="n"/>
      <c r="DX111" s="253" t="n"/>
      <c r="DY111" s="55" t="n"/>
      <c r="DZ111" s="255" t="n"/>
      <c r="EA111" s="252" t="n"/>
      <c r="EB111" s="256" t="n"/>
      <c r="EC111" s="254" t="n"/>
      <c r="ED111" s="253" t="n"/>
      <c r="EE111" s="252" t="n"/>
      <c r="EF111" s="257" t="n"/>
      <c r="EG111" s="55" t="n"/>
      <c r="EH111" s="253" t="n"/>
      <c r="EI111" s="252" t="n"/>
      <c r="EJ111" s="253" t="n"/>
      <c r="EK111" s="55" t="n"/>
      <c r="EL111" s="253" t="n"/>
      <c r="EM111" s="252" t="n"/>
      <c r="EN111" s="257" t="n"/>
      <c r="EO111" s="55" t="n"/>
      <c r="EP111" s="253" t="n"/>
      <c r="EQ111" s="252" t="n"/>
      <c r="ER111" s="253" t="n"/>
      <c r="ES111" s="55" t="n"/>
      <c r="ET111" s="253" t="n"/>
      <c r="EU111" s="252" t="n"/>
      <c r="EV111" s="253" t="n"/>
      <c r="EW111" s="254" t="n"/>
      <c r="EX111" s="253" t="n"/>
      <c r="EY111" s="252" t="n"/>
      <c r="EZ111" s="258" t="n"/>
      <c r="FA111" s="259" t="n"/>
      <c r="FB111" s="253" t="n"/>
      <c r="FC111" s="252" t="n"/>
      <c r="FD111" s="261" t="n"/>
      <c r="FE111" s="392" t="n"/>
      <c r="FF111" s="253" t="n"/>
      <c r="FG111" s="393" t="n"/>
      <c r="FH111" s="393" t="n"/>
      <c r="FI111" s="252" t="n"/>
      <c r="FJ111" s="253" t="n"/>
      <c r="FK111" s="254" t="n"/>
      <c r="FL111" s="253" t="n"/>
      <c r="FM111" s="252" t="n"/>
      <c r="FN111" s="253" t="n"/>
      <c r="FO111" s="254" t="n"/>
      <c r="FP111" s="253" t="n"/>
      <c r="FQ111" s="264" t="n"/>
      <c r="FR111" s="253" t="n"/>
      <c r="FS111" s="254" t="n"/>
      <c r="FT111" s="253" t="n"/>
      <c r="FU111" s="264" t="n"/>
      <c r="FV111" s="253" t="n"/>
      <c r="FW111" s="55" t="n"/>
      <c r="FX111" s="255" t="n"/>
      <c r="FY111" s="252" t="n"/>
      <c r="FZ111" s="256" t="n"/>
      <c r="GA111" s="254" t="n"/>
      <c r="GB111" s="253" t="n"/>
      <c r="GC111" s="252" t="n"/>
      <c r="GD111" s="257" t="n"/>
      <c r="GE111" s="55" t="n"/>
      <c r="GF111" s="253" t="n"/>
      <c r="GG111" s="252" t="n"/>
      <c r="GH111" s="253" t="n"/>
      <c r="GI111" s="55" t="n"/>
      <c r="GJ111" s="253" t="n"/>
      <c r="GK111" s="252" t="n"/>
      <c r="GL111" s="257" t="n"/>
      <c r="GM111" s="55" t="n"/>
      <c r="GN111" s="253" t="n"/>
      <c r="GO111" s="252" t="n"/>
      <c r="GP111" s="253" t="n"/>
      <c r="GQ111" s="55" t="n"/>
      <c r="GR111" s="253" t="n"/>
      <c r="GS111" s="252" t="n"/>
      <c r="GT111" s="253" t="n"/>
      <c r="GU111" s="254" t="n"/>
      <c r="GV111" s="253" t="n"/>
      <c r="GW111" s="252" t="n"/>
      <c r="GX111" s="258" t="n"/>
      <c r="GY111" s="259" t="n"/>
      <c r="GZ111" s="253" t="n"/>
      <c r="HA111" s="252" t="n"/>
      <c r="HB111" s="261" t="n"/>
      <c r="HC111" s="392" t="n"/>
      <c r="HD111" s="253" t="n"/>
      <c r="HE111" s="393" t="n"/>
      <c r="HF111" s="393" t="n"/>
      <c r="HG111" s="252" t="n"/>
      <c r="HH111" s="253" t="n"/>
      <c r="HI111" s="254" t="n"/>
      <c r="HJ111" s="253" t="n"/>
      <c r="HK111" s="252" t="n"/>
      <c r="HL111" s="253" t="n"/>
      <c r="HM111" s="254" t="n"/>
      <c r="HN111" s="253" t="n"/>
      <c r="HO111" s="264" t="n"/>
      <c r="HP111" s="253" t="n"/>
      <c r="HQ111" s="254" t="n"/>
      <c r="HR111" s="253" t="n"/>
      <c r="HS111" s="264" t="n"/>
      <c r="HT111" s="253" t="n"/>
      <c r="HU111" s="55" t="n"/>
      <c r="HV111" s="255" t="n"/>
      <c r="HW111" s="252" t="n"/>
      <c r="HX111" s="256" t="n"/>
      <c r="HY111" s="254" t="n"/>
      <c r="HZ111" s="253" t="n"/>
      <c r="IA111" s="252" t="n"/>
      <c r="IB111" s="257" t="n"/>
      <c r="IC111" s="55" t="n"/>
      <c r="ID111" s="253" t="n"/>
      <c r="IE111" s="252" t="n"/>
      <c r="IF111" s="253" t="n"/>
      <c r="IG111" s="55" t="n"/>
      <c r="IH111" s="253" t="n"/>
      <c r="II111" s="252" t="n"/>
      <c r="IJ111" s="257" t="n"/>
      <c r="IK111" s="55" t="n"/>
      <c r="IL111" s="253" t="n"/>
      <c r="IM111" s="252" t="n"/>
      <c r="IN111" s="253" t="n"/>
      <c r="IO111" s="55" t="n"/>
      <c r="IP111" s="253" t="n"/>
      <c r="IQ111" s="252" t="n"/>
      <c r="IR111" s="253" t="n"/>
      <c r="IS111" s="254" t="n"/>
      <c r="IT111" s="253" t="n"/>
      <c r="IU111" s="252" t="n"/>
      <c r="IV111" s="258" t="n"/>
      <c r="IW111" s="259" t="n"/>
      <c r="IX111" s="253" t="n"/>
      <c r="IY111" s="252" t="n"/>
      <c r="IZ111" s="261" t="n"/>
      <c r="JA111" s="392" t="n"/>
      <c r="JB111" s="253" t="n"/>
      <c r="JC111" s="393" t="n"/>
      <c r="JD111" s="393" t="n"/>
    </row>
    <row r="112">
      <c r="E112" s="248" t="n"/>
      <c r="F112" s="248" t="n"/>
      <c r="G112" s="249" t="n"/>
      <c r="H112" s="250" t="n"/>
      <c r="I112" s="251" t="n"/>
      <c r="J112" s="251" t="n"/>
      <c r="K112" s="251" t="n"/>
      <c r="L112" s="251" t="n"/>
      <c r="M112" s="251" t="n"/>
      <c r="N112" s="251" t="n"/>
      <c r="O112" s="252" t="n"/>
      <c r="P112" s="253" t="n"/>
      <c r="Q112" s="254" t="n"/>
      <c r="R112" s="253" t="n"/>
      <c r="S112" s="252" t="n"/>
      <c r="T112" s="253" t="n"/>
      <c r="U112" s="254" t="n"/>
      <c r="V112" s="253" t="n"/>
      <c r="W112" s="252" t="n"/>
      <c r="X112" s="253" t="n"/>
      <c r="Y112" s="254" t="n"/>
      <c r="Z112" s="253" t="n"/>
      <c r="AA112" s="252" t="n"/>
      <c r="AB112" s="253" t="n"/>
      <c r="AC112" s="55" t="n"/>
      <c r="AD112" s="255" t="n"/>
      <c r="AE112" s="252" t="n"/>
      <c r="AF112" s="256" t="n"/>
      <c r="AG112" s="254" t="n"/>
      <c r="AH112" s="253" t="n"/>
      <c r="AI112" s="252" t="n"/>
      <c r="AJ112" s="257" t="n"/>
      <c r="AK112" s="55" t="n"/>
      <c r="AL112" s="253" t="n"/>
      <c r="AM112" s="252" t="n"/>
      <c r="AN112" s="253" t="n"/>
      <c r="AO112" s="55" t="n"/>
      <c r="AP112" s="253" t="n"/>
      <c r="AQ112" s="252" t="n"/>
      <c r="AR112" s="257" t="n"/>
      <c r="AS112" s="55" t="n"/>
      <c r="AT112" s="253" t="n"/>
      <c r="AU112" s="252" t="n"/>
      <c r="AV112" s="253" t="n"/>
      <c r="AW112" s="55" t="n"/>
      <c r="AX112" s="253" t="n"/>
      <c r="AY112" s="252" t="n"/>
      <c r="AZ112" s="253" t="n"/>
      <c r="BA112" s="254" t="n"/>
      <c r="BB112" s="255" t="n"/>
      <c r="BC112" s="252" t="n"/>
      <c r="BD112" s="258" t="n"/>
      <c r="BE112" s="259" t="n"/>
      <c r="BF112" s="255" t="n"/>
      <c r="BG112" s="260" t="n"/>
      <c r="BH112" s="261" t="n"/>
      <c r="BI112" s="392" t="n"/>
      <c r="BJ112" s="255" t="n"/>
      <c r="BK112" s="393" t="n"/>
      <c r="BL112" s="393" t="n"/>
      <c r="BM112" s="252" t="n"/>
      <c r="BN112" s="253" t="n"/>
      <c r="BO112" s="254" t="n"/>
      <c r="BP112" s="253" t="n"/>
      <c r="BQ112" s="252" t="n"/>
      <c r="BR112" s="253" t="n"/>
      <c r="BS112" s="254" t="n"/>
      <c r="BT112" s="253" t="n"/>
      <c r="BU112" s="264" t="n"/>
      <c r="BV112" s="253" t="n"/>
      <c r="BW112" s="254" t="n"/>
      <c r="BX112" s="253" t="n"/>
      <c r="BY112" s="264" t="n"/>
      <c r="BZ112" s="253" t="n"/>
      <c r="CA112" s="55" t="n"/>
      <c r="CB112" s="255" t="n"/>
      <c r="CC112" s="252" t="n"/>
      <c r="CD112" s="256" t="n"/>
      <c r="CE112" s="55" t="n"/>
      <c r="CF112" s="253" t="n"/>
      <c r="CG112" s="252" t="n"/>
      <c r="CH112" s="257" t="n"/>
      <c r="CI112" s="55" t="n"/>
      <c r="CJ112" s="253" t="n"/>
      <c r="CK112" s="252" t="n"/>
      <c r="CL112" s="253" t="n"/>
      <c r="CM112" s="55" t="n"/>
      <c r="CN112" s="253" t="n"/>
      <c r="CO112" s="252" t="n"/>
      <c r="CP112" s="257" t="n"/>
      <c r="CQ112" s="55" t="n"/>
      <c r="CR112" s="253" t="n"/>
      <c r="CS112" s="252" t="n"/>
      <c r="CT112" s="253" t="n"/>
      <c r="CU112" s="55" t="n"/>
      <c r="CV112" s="253" t="n"/>
      <c r="CW112" s="252" t="n"/>
      <c r="CX112" s="253" t="n"/>
      <c r="CY112" s="254" t="n"/>
      <c r="CZ112" s="253" t="n"/>
      <c r="DA112" s="252" t="n"/>
      <c r="DB112" s="258" t="n"/>
      <c r="DC112" s="259" t="n"/>
      <c r="DD112" s="253" t="n"/>
      <c r="DE112" s="252" t="n"/>
      <c r="DF112" s="261" t="n"/>
      <c r="DG112" s="392" t="n"/>
      <c r="DH112" s="253" t="n"/>
      <c r="DI112" s="393" t="n"/>
      <c r="DJ112" s="393" t="n"/>
      <c r="DK112" s="252" t="n"/>
      <c r="DL112" s="253" t="n"/>
      <c r="DM112" s="254" t="n"/>
      <c r="DN112" s="253" t="n"/>
      <c r="DO112" s="252" t="n"/>
      <c r="DP112" s="253" t="n"/>
      <c r="DQ112" s="254" t="n"/>
      <c r="DR112" s="253" t="n"/>
      <c r="DS112" s="264" t="n"/>
      <c r="DT112" s="253" t="n"/>
      <c r="DU112" s="254" t="n"/>
      <c r="DV112" s="253" t="n"/>
      <c r="DW112" s="264" t="n"/>
      <c r="DX112" s="253" t="n"/>
      <c r="DY112" s="55" t="n"/>
      <c r="DZ112" s="255" t="n"/>
      <c r="EA112" s="252" t="n"/>
      <c r="EB112" s="256" t="n"/>
      <c r="EC112" s="254" t="n"/>
      <c r="ED112" s="253" t="n"/>
      <c r="EE112" s="252" t="n"/>
      <c r="EF112" s="257" t="n"/>
      <c r="EG112" s="55" t="n"/>
      <c r="EH112" s="253" t="n"/>
      <c r="EI112" s="252" t="n"/>
      <c r="EJ112" s="253" t="n"/>
      <c r="EK112" s="55" t="n"/>
      <c r="EL112" s="253" t="n"/>
      <c r="EM112" s="252" t="n"/>
      <c r="EN112" s="257" t="n"/>
      <c r="EO112" s="55" t="n"/>
      <c r="EP112" s="253" t="n"/>
      <c r="EQ112" s="252" t="n"/>
      <c r="ER112" s="253" t="n"/>
      <c r="ES112" s="55" t="n"/>
      <c r="ET112" s="253" t="n"/>
      <c r="EU112" s="252" t="n"/>
      <c r="EV112" s="253" t="n"/>
      <c r="EW112" s="254" t="n"/>
      <c r="EX112" s="253" t="n"/>
      <c r="EY112" s="252" t="n"/>
      <c r="EZ112" s="258" t="n"/>
      <c r="FA112" s="259" t="n"/>
      <c r="FB112" s="253" t="n"/>
      <c r="FC112" s="252" t="n"/>
      <c r="FD112" s="261" t="n"/>
      <c r="FE112" s="392" t="n"/>
      <c r="FF112" s="253" t="n"/>
      <c r="FG112" s="393" t="n"/>
      <c r="FH112" s="393" t="n"/>
      <c r="FI112" s="252" t="n"/>
      <c r="FJ112" s="253" t="n"/>
      <c r="FK112" s="254" t="n"/>
      <c r="FL112" s="253" t="n"/>
      <c r="FM112" s="252" t="n"/>
      <c r="FN112" s="253" t="n"/>
      <c r="FO112" s="254" t="n"/>
      <c r="FP112" s="253" t="n"/>
      <c r="FQ112" s="264" t="n"/>
      <c r="FR112" s="253" t="n"/>
      <c r="FS112" s="254" t="n"/>
      <c r="FT112" s="253" t="n"/>
      <c r="FU112" s="264" t="n"/>
      <c r="FV112" s="253" t="n"/>
      <c r="FW112" s="55" t="n"/>
      <c r="FX112" s="255" t="n"/>
      <c r="FY112" s="252" t="n"/>
      <c r="FZ112" s="256" t="n"/>
      <c r="GA112" s="254" t="n"/>
      <c r="GB112" s="253" t="n"/>
      <c r="GC112" s="252" t="n"/>
      <c r="GD112" s="257" t="n"/>
      <c r="GE112" s="55" t="n"/>
      <c r="GF112" s="253" t="n"/>
      <c r="GG112" s="252" t="n"/>
      <c r="GH112" s="253" t="n"/>
      <c r="GI112" s="55" t="n"/>
      <c r="GJ112" s="253" t="n"/>
      <c r="GK112" s="252" t="n"/>
      <c r="GL112" s="257" t="n"/>
      <c r="GM112" s="55" t="n"/>
      <c r="GN112" s="253" t="n"/>
      <c r="GO112" s="252" t="n"/>
      <c r="GP112" s="253" t="n"/>
      <c r="GQ112" s="55" t="n"/>
      <c r="GR112" s="253" t="n"/>
      <c r="GS112" s="252" t="n"/>
      <c r="GT112" s="253" t="n"/>
      <c r="GU112" s="254" t="n"/>
      <c r="GV112" s="253" t="n"/>
      <c r="GW112" s="252" t="n"/>
      <c r="GX112" s="258" t="n"/>
      <c r="GY112" s="259" t="n"/>
      <c r="GZ112" s="253" t="n"/>
      <c r="HA112" s="252" t="n"/>
      <c r="HB112" s="261" t="n"/>
      <c r="HC112" s="392" t="n"/>
      <c r="HD112" s="253" t="n"/>
      <c r="HE112" s="393" t="n"/>
      <c r="HF112" s="393" t="n"/>
      <c r="HG112" s="252" t="n"/>
      <c r="HH112" s="253" t="n"/>
      <c r="HI112" s="254" t="n"/>
      <c r="HJ112" s="253" t="n"/>
      <c r="HK112" s="252" t="n"/>
      <c r="HL112" s="253" t="n"/>
      <c r="HM112" s="254" t="n"/>
      <c r="HN112" s="253" t="n"/>
      <c r="HO112" s="264" t="n"/>
      <c r="HP112" s="253" t="n"/>
      <c r="HQ112" s="254" t="n"/>
      <c r="HR112" s="253" t="n"/>
      <c r="HS112" s="264" t="n"/>
      <c r="HT112" s="253" t="n"/>
      <c r="HU112" s="55" t="n"/>
      <c r="HV112" s="255" t="n"/>
      <c r="HW112" s="252" t="n"/>
      <c r="HX112" s="256" t="n"/>
      <c r="HY112" s="254" t="n"/>
      <c r="HZ112" s="253" t="n"/>
      <c r="IA112" s="252" t="n"/>
      <c r="IB112" s="257" t="n"/>
      <c r="IC112" s="55" t="n"/>
      <c r="ID112" s="253" t="n"/>
      <c r="IE112" s="252" t="n"/>
      <c r="IF112" s="253" t="n"/>
      <c r="IG112" s="55" t="n"/>
      <c r="IH112" s="253" t="n"/>
      <c r="II112" s="252" t="n"/>
      <c r="IJ112" s="257" t="n"/>
      <c r="IK112" s="55" t="n"/>
      <c r="IL112" s="253" t="n"/>
      <c r="IM112" s="252" t="n"/>
      <c r="IN112" s="253" t="n"/>
      <c r="IO112" s="55" t="n"/>
      <c r="IP112" s="253" t="n"/>
      <c r="IQ112" s="252" t="n"/>
      <c r="IR112" s="253" t="n"/>
      <c r="IS112" s="254" t="n"/>
      <c r="IT112" s="253" t="n"/>
      <c r="IU112" s="252" t="n"/>
      <c r="IV112" s="258" t="n"/>
      <c r="IW112" s="259" t="n"/>
      <c r="IX112" s="253" t="n"/>
      <c r="IY112" s="252" t="n"/>
      <c r="IZ112" s="261" t="n"/>
      <c r="JA112" s="392" t="n"/>
      <c r="JB112" s="253" t="n"/>
      <c r="JC112" s="393" t="n"/>
      <c r="JD112" s="393" t="n"/>
    </row>
    <row r="113">
      <c r="E113" s="248" t="n"/>
      <c r="F113" s="248" t="n"/>
      <c r="G113" s="249" t="n"/>
      <c r="H113" s="250" t="n"/>
      <c r="I113" s="251" t="n"/>
      <c r="J113" s="251" t="n"/>
      <c r="K113" s="251" t="n"/>
      <c r="L113" s="251" t="n"/>
      <c r="M113" s="251" t="n"/>
      <c r="N113" s="251" t="n"/>
      <c r="O113" s="252" t="n"/>
      <c r="P113" s="253" t="n"/>
      <c r="Q113" s="254" t="n"/>
      <c r="R113" s="253" t="n"/>
      <c r="S113" s="252" t="n"/>
      <c r="T113" s="253" t="n"/>
      <c r="U113" s="254" t="n"/>
      <c r="V113" s="253" t="n"/>
      <c r="W113" s="252" t="n"/>
      <c r="X113" s="253" t="n"/>
      <c r="Y113" s="254" t="n"/>
      <c r="Z113" s="253" t="n"/>
      <c r="AA113" s="252" t="n"/>
      <c r="AB113" s="253" t="n"/>
      <c r="AC113" s="55" t="n"/>
      <c r="AD113" s="255" t="n"/>
      <c r="AE113" s="252" t="n"/>
      <c r="AF113" s="256" t="n"/>
      <c r="AG113" s="254" t="n"/>
      <c r="AH113" s="253" t="n"/>
      <c r="AI113" s="252" t="n"/>
      <c r="AJ113" s="257" t="n"/>
      <c r="AK113" s="55" t="n"/>
      <c r="AL113" s="253" t="n"/>
      <c r="AM113" s="252" t="n"/>
      <c r="AN113" s="253" t="n"/>
      <c r="AO113" s="55" t="n"/>
      <c r="AP113" s="253" t="n"/>
      <c r="AQ113" s="252" t="n"/>
      <c r="AR113" s="257" t="n"/>
      <c r="AS113" s="55" t="n"/>
      <c r="AT113" s="253" t="n"/>
      <c r="AU113" s="252" t="n"/>
      <c r="AV113" s="253" t="n"/>
      <c r="AW113" s="55" t="n"/>
      <c r="AX113" s="253" t="n"/>
      <c r="AY113" s="252" t="n"/>
      <c r="AZ113" s="253" t="n"/>
      <c r="BA113" s="254" t="n"/>
      <c r="BB113" s="255" t="n"/>
      <c r="BC113" s="252" t="n"/>
      <c r="BD113" s="258" t="n"/>
      <c r="BE113" s="259" t="n"/>
      <c r="BF113" s="255" t="n"/>
      <c r="BG113" s="260" t="n"/>
      <c r="BH113" s="261" t="n"/>
      <c r="BI113" s="392" t="n"/>
      <c r="BJ113" s="255" t="n"/>
      <c r="BK113" s="393" t="n"/>
      <c r="BL113" s="393" t="n"/>
      <c r="BM113" s="252" t="n"/>
      <c r="BN113" s="253" t="n"/>
      <c r="BO113" s="254" t="n"/>
      <c r="BP113" s="253" t="n"/>
      <c r="BQ113" s="252" t="n"/>
      <c r="BR113" s="253" t="n"/>
      <c r="BS113" s="254" t="n"/>
      <c r="BT113" s="253" t="n"/>
      <c r="BU113" s="264" t="n"/>
      <c r="BV113" s="253" t="n"/>
      <c r="BW113" s="254" t="n"/>
      <c r="BX113" s="253" t="n"/>
      <c r="BY113" s="264" t="n"/>
      <c r="BZ113" s="253" t="n"/>
      <c r="CA113" s="55" t="n"/>
      <c r="CB113" s="255" t="n"/>
      <c r="CC113" s="252" t="n"/>
      <c r="CD113" s="256" t="n"/>
      <c r="CE113" s="55" t="n"/>
      <c r="CF113" s="253" t="n"/>
      <c r="CG113" s="252" t="n"/>
      <c r="CH113" s="257" t="n"/>
      <c r="CI113" s="55" t="n"/>
      <c r="CJ113" s="253" t="n"/>
      <c r="CK113" s="252" t="n"/>
      <c r="CL113" s="253" t="n"/>
      <c r="CM113" s="55" t="n"/>
      <c r="CN113" s="253" t="n"/>
      <c r="CO113" s="252" t="n"/>
      <c r="CP113" s="257" t="n"/>
      <c r="CQ113" s="55" t="n"/>
      <c r="CR113" s="253" t="n"/>
      <c r="CS113" s="252" t="n"/>
      <c r="CT113" s="253" t="n"/>
      <c r="CU113" s="55" t="n"/>
      <c r="CV113" s="253" t="n"/>
      <c r="CW113" s="252" t="n"/>
      <c r="CX113" s="253" t="n"/>
      <c r="CY113" s="254" t="n"/>
      <c r="CZ113" s="253" t="n"/>
      <c r="DA113" s="252" t="n"/>
      <c r="DB113" s="258" t="n"/>
      <c r="DC113" s="259" t="n"/>
      <c r="DD113" s="253" t="n"/>
      <c r="DE113" s="252" t="n"/>
      <c r="DF113" s="261" t="n"/>
      <c r="DG113" s="392" t="n"/>
      <c r="DH113" s="253" t="n"/>
      <c r="DI113" s="393" t="n"/>
      <c r="DJ113" s="393" t="n"/>
      <c r="DK113" s="252" t="n"/>
      <c r="DL113" s="253" t="n"/>
      <c r="DM113" s="254" t="n"/>
      <c r="DN113" s="253" t="n"/>
      <c r="DO113" s="252" t="n"/>
      <c r="DP113" s="253" t="n"/>
      <c r="DQ113" s="254" t="n"/>
      <c r="DR113" s="253" t="n"/>
      <c r="DS113" s="264" t="n"/>
      <c r="DT113" s="253" t="n"/>
      <c r="DU113" s="254" t="n"/>
      <c r="DV113" s="253" t="n"/>
      <c r="DW113" s="264" t="n"/>
      <c r="DX113" s="253" t="n"/>
      <c r="DY113" s="55" t="n"/>
      <c r="DZ113" s="255" t="n"/>
      <c r="EA113" s="252" t="n"/>
      <c r="EB113" s="256" t="n"/>
      <c r="EC113" s="254" t="n"/>
      <c r="ED113" s="253" t="n"/>
      <c r="EE113" s="252" t="n"/>
      <c r="EF113" s="257" t="n"/>
      <c r="EG113" s="55" t="n"/>
      <c r="EH113" s="253" t="n"/>
      <c r="EI113" s="252" t="n"/>
      <c r="EJ113" s="253" t="n"/>
      <c r="EK113" s="55" t="n"/>
      <c r="EL113" s="253" t="n"/>
      <c r="EM113" s="252" t="n"/>
      <c r="EN113" s="257" t="n"/>
      <c r="EO113" s="55" t="n"/>
      <c r="EP113" s="253" t="n"/>
      <c r="EQ113" s="252" t="n"/>
      <c r="ER113" s="253" t="n"/>
      <c r="ES113" s="55" t="n"/>
      <c r="ET113" s="253" t="n"/>
      <c r="EU113" s="252" t="n"/>
      <c r="EV113" s="253" t="n"/>
      <c r="EW113" s="254" t="n"/>
      <c r="EX113" s="253" t="n"/>
      <c r="EY113" s="252" t="n"/>
      <c r="EZ113" s="258" t="n"/>
      <c r="FA113" s="259" t="n"/>
      <c r="FB113" s="253" t="n"/>
      <c r="FC113" s="252" t="n"/>
      <c r="FD113" s="261" t="n"/>
      <c r="FE113" s="392" t="n"/>
      <c r="FF113" s="253" t="n"/>
      <c r="FG113" s="393" t="n"/>
      <c r="FH113" s="393" t="n"/>
      <c r="FI113" s="252" t="n"/>
      <c r="FJ113" s="253" t="n"/>
      <c r="FK113" s="254" t="n"/>
      <c r="FL113" s="253" t="n"/>
      <c r="FM113" s="252" t="n"/>
      <c r="FN113" s="253" t="n"/>
      <c r="FO113" s="254" t="n"/>
      <c r="FP113" s="253" t="n"/>
      <c r="FQ113" s="264" t="n"/>
      <c r="FR113" s="253" t="n"/>
      <c r="FS113" s="254" t="n"/>
      <c r="FT113" s="253" t="n"/>
      <c r="FU113" s="264" t="n"/>
      <c r="FV113" s="253" t="n"/>
      <c r="FW113" s="55" t="n"/>
      <c r="FX113" s="255" t="n"/>
      <c r="FY113" s="252" t="n"/>
      <c r="FZ113" s="256" t="n"/>
      <c r="GA113" s="254" t="n"/>
      <c r="GB113" s="253" t="n"/>
      <c r="GC113" s="252" t="n"/>
      <c r="GD113" s="257" t="n"/>
      <c r="GE113" s="55" t="n"/>
      <c r="GF113" s="253" t="n"/>
      <c r="GG113" s="252" t="n"/>
      <c r="GH113" s="253" t="n"/>
      <c r="GI113" s="55" t="n"/>
      <c r="GJ113" s="253" t="n"/>
      <c r="GK113" s="252" t="n"/>
      <c r="GL113" s="257" t="n"/>
      <c r="GM113" s="55" t="n"/>
      <c r="GN113" s="253" t="n"/>
      <c r="GO113" s="252" t="n"/>
      <c r="GP113" s="253" t="n"/>
      <c r="GQ113" s="55" t="n"/>
      <c r="GR113" s="253" t="n"/>
      <c r="GS113" s="252" t="n"/>
      <c r="GT113" s="253" t="n"/>
      <c r="GU113" s="254" t="n"/>
      <c r="GV113" s="253" t="n"/>
      <c r="GW113" s="252" t="n"/>
      <c r="GX113" s="258" t="n"/>
      <c r="GY113" s="259" t="n"/>
      <c r="GZ113" s="253" t="n"/>
      <c r="HA113" s="252" t="n"/>
      <c r="HB113" s="261" t="n"/>
      <c r="HC113" s="392" t="n"/>
      <c r="HD113" s="253" t="n"/>
      <c r="HE113" s="393" t="n"/>
      <c r="HF113" s="393" t="n"/>
      <c r="HG113" s="252" t="n"/>
      <c r="HH113" s="253" t="n"/>
      <c r="HI113" s="254" t="n"/>
      <c r="HJ113" s="253" t="n"/>
      <c r="HK113" s="252" t="n"/>
      <c r="HL113" s="253" t="n"/>
      <c r="HM113" s="254" t="n"/>
      <c r="HN113" s="253" t="n"/>
      <c r="HO113" s="264" t="n"/>
      <c r="HP113" s="253" t="n"/>
      <c r="HQ113" s="254" t="n"/>
      <c r="HR113" s="253" t="n"/>
      <c r="HS113" s="264" t="n"/>
      <c r="HT113" s="253" t="n"/>
      <c r="HU113" s="55" t="n"/>
      <c r="HV113" s="255" t="n"/>
      <c r="HW113" s="252" t="n"/>
      <c r="HX113" s="256" t="n"/>
      <c r="HY113" s="254" t="n"/>
      <c r="HZ113" s="253" t="n"/>
      <c r="IA113" s="252" t="n"/>
      <c r="IB113" s="257" t="n"/>
      <c r="IC113" s="55" t="n"/>
      <c r="ID113" s="253" t="n"/>
      <c r="IE113" s="252" t="n"/>
      <c r="IF113" s="253" t="n"/>
      <c r="IG113" s="55" t="n"/>
      <c r="IH113" s="253" t="n"/>
      <c r="II113" s="252" t="n"/>
      <c r="IJ113" s="257" t="n"/>
      <c r="IK113" s="55" t="n"/>
      <c r="IL113" s="253" t="n"/>
      <c r="IM113" s="252" t="n"/>
      <c r="IN113" s="253" t="n"/>
      <c r="IO113" s="55" t="n"/>
      <c r="IP113" s="253" t="n"/>
      <c r="IQ113" s="252" t="n"/>
      <c r="IR113" s="253" t="n"/>
      <c r="IS113" s="254" t="n"/>
      <c r="IT113" s="253" t="n"/>
      <c r="IU113" s="252" t="n"/>
      <c r="IV113" s="258" t="n"/>
      <c r="IW113" s="259" t="n"/>
      <c r="IX113" s="253" t="n"/>
      <c r="IY113" s="252" t="n"/>
      <c r="IZ113" s="261" t="n"/>
      <c r="JA113" s="392" t="n"/>
      <c r="JB113" s="253" t="n"/>
      <c r="JC113" s="393" t="n"/>
      <c r="JD113" s="393" t="n"/>
    </row>
    <row r="114">
      <c r="E114" s="248" t="n"/>
      <c r="F114" s="248" t="n"/>
      <c r="G114" s="249" t="n"/>
      <c r="H114" s="250" t="n"/>
      <c r="I114" s="251" t="n"/>
      <c r="J114" s="251" t="n"/>
      <c r="K114" s="251" t="n"/>
      <c r="L114" s="251" t="n"/>
      <c r="M114" s="251" t="n"/>
      <c r="N114" s="251" t="n"/>
      <c r="O114" s="252" t="n"/>
      <c r="P114" s="253" t="n"/>
      <c r="Q114" s="254" t="n"/>
      <c r="R114" s="253" t="n"/>
      <c r="S114" s="252" t="n"/>
      <c r="T114" s="253" t="n"/>
      <c r="U114" s="254" t="n"/>
      <c r="V114" s="253" t="n"/>
      <c r="W114" s="252" t="n"/>
      <c r="X114" s="253" t="n"/>
      <c r="Y114" s="254" t="n"/>
      <c r="Z114" s="253" t="n"/>
      <c r="AA114" s="252" t="n"/>
      <c r="AB114" s="253" t="n"/>
      <c r="AC114" s="55" t="n"/>
      <c r="AD114" s="255" t="n"/>
      <c r="AE114" s="252" t="n"/>
      <c r="AF114" s="256" t="n"/>
      <c r="AG114" s="254" t="n"/>
      <c r="AH114" s="253" t="n"/>
      <c r="AI114" s="252" t="n"/>
      <c r="AJ114" s="257" t="n"/>
      <c r="AK114" s="55" t="n"/>
      <c r="AL114" s="253" t="n"/>
      <c r="AM114" s="252" t="n"/>
      <c r="AN114" s="253" t="n"/>
      <c r="AO114" s="55" t="n"/>
      <c r="AP114" s="253" t="n"/>
      <c r="AQ114" s="252" t="n"/>
      <c r="AR114" s="257" t="n"/>
      <c r="AS114" s="55" t="n"/>
      <c r="AT114" s="253" t="n"/>
      <c r="AU114" s="252" t="n"/>
      <c r="AV114" s="253" t="n"/>
      <c r="AW114" s="55" t="n"/>
      <c r="AX114" s="253" t="n"/>
      <c r="AY114" s="252" t="n"/>
      <c r="AZ114" s="253" t="n"/>
      <c r="BA114" s="254" t="n"/>
      <c r="BB114" s="255" t="n"/>
      <c r="BC114" s="252" t="n"/>
      <c r="BD114" s="258" t="n"/>
      <c r="BE114" s="259" t="n"/>
      <c r="BF114" s="255" t="n"/>
      <c r="BG114" s="260" t="n"/>
      <c r="BH114" s="261" t="n"/>
      <c r="BI114" s="392" t="n"/>
      <c r="BJ114" s="255" t="n"/>
      <c r="BK114" s="393" t="n"/>
      <c r="BL114" s="393" t="n"/>
      <c r="BM114" s="252" t="n"/>
      <c r="BN114" s="253" t="n"/>
      <c r="BO114" s="254" t="n"/>
      <c r="BP114" s="253" t="n"/>
      <c r="BQ114" s="252" t="n"/>
      <c r="BR114" s="253" t="n"/>
      <c r="BS114" s="254" t="n"/>
      <c r="BT114" s="253" t="n"/>
      <c r="BU114" s="264" t="n"/>
      <c r="BV114" s="253" t="n"/>
      <c r="BW114" s="254" t="n"/>
      <c r="BX114" s="253" t="n"/>
      <c r="BY114" s="264" t="n"/>
      <c r="BZ114" s="253" t="n"/>
      <c r="CA114" s="55" t="n"/>
      <c r="CB114" s="255" t="n"/>
      <c r="CC114" s="252" t="n"/>
      <c r="CD114" s="256" t="n"/>
      <c r="CE114" s="55" t="n"/>
      <c r="CF114" s="253" t="n"/>
      <c r="CG114" s="252" t="n"/>
      <c r="CH114" s="257" t="n"/>
      <c r="CI114" s="55" t="n"/>
      <c r="CJ114" s="253" t="n"/>
      <c r="CK114" s="252" t="n"/>
      <c r="CL114" s="253" t="n"/>
      <c r="CM114" s="55" t="n"/>
      <c r="CN114" s="253" t="n"/>
      <c r="CO114" s="252" t="n"/>
      <c r="CP114" s="257" t="n"/>
      <c r="CQ114" s="55" t="n"/>
      <c r="CR114" s="253" t="n"/>
      <c r="CS114" s="252" t="n"/>
      <c r="CT114" s="253" t="n"/>
      <c r="CU114" s="55" t="n"/>
      <c r="CV114" s="253" t="n"/>
      <c r="CW114" s="252" t="n"/>
      <c r="CX114" s="253" t="n"/>
      <c r="CY114" s="254" t="n"/>
      <c r="CZ114" s="253" t="n"/>
      <c r="DA114" s="252" t="n"/>
      <c r="DB114" s="258" t="n"/>
      <c r="DC114" s="259" t="n"/>
      <c r="DD114" s="253" t="n"/>
      <c r="DE114" s="252" t="n"/>
      <c r="DF114" s="261" t="n"/>
      <c r="DG114" s="392" t="n"/>
      <c r="DH114" s="253" t="n"/>
      <c r="DI114" s="393" t="n"/>
      <c r="DJ114" s="393" t="n"/>
      <c r="DK114" s="252" t="n"/>
      <c r="DL114" s="253" t="n"/>
      <c r="DM114" s="254" t="n"/>
      <c r="DN114" s="253" t="n"/>
      <c r="DO114" s="252" t="n"/>
      <c r="DP114" s="253" t="n"/>
      <c r="DQ114" s="254" t="n"/>
      <c r="DR114" s="253" t="n"/>
      <c r="DS114" s="264" t="n"/>
      <c r="DT114" s="253" t="n"/>
      <c r="DU114" s="254" t="n"/>
      <c r="DV114" s="253" t="n"/>
      <c r="DW114" s="264" t="n"/>
      <c r="DX114" s="253" t="n"/>
      <c r="DY114" s="55" t="n"/>
      <c r="DZ114" s="255" t="n"/>
      <c r="EA114" s="252" t="n"/>
      <c r="EB114" s="256" t="n"/>
      <c r="EC114" s="254" t="n"/>
      <c r="ED114" s="253" t="n"/>
      <c r="EE114" s="252" t="n"/>
      <c r="EF114" s="257" t="n"/>
      <c r="EG114" s="55" t="n"/>
      <c r="EH114" s="253" t="n"/>
      <c r="EI114" s="252" t="n"/>
      <c r="EJ114" s="253" t="n"/>
      <c r="EK114" s="55" t="n"/>
      <c r="EL114" s="253" t="n"/>
      <c r="EM114" s="252" t="n"/>
      <c r="EN114" s="257" t="n"/>
      <c r="EO114" s="55" t="n"/>
      <c r="EP114" s="253" t="n"/>
      <c r="EQ114" s="252" t="n"/>
      <c r="ER114" s="253" t="n"/>
      <c r="ES114" s="55" t="n"/>
      <c r="ET114" s="253" t="n"/>
      <c r="EU114" s="252" t="n"/>
      <c r="EV114" s="253" t="n"/>
      <c r="EW114" s="254" t="n"/>
      <c r="EX114" s="253" t="n"/>
      <c r="EY114" s="252" t="n"/>
      <c r="EZ114" s="258" t="n"/>
      <c r="FA114" s="259" t="n"/>
      <c r="FB114" s="253" t="n"/>
      <c r="FC114" s="252" t="n"/>
      <c r="FD114" s="261" t="n"/>
      <c r="FE114" s="392" t="n"/>
      <c r="FF114" s="253" t="n"/>
      <c r="FG114" s="393" t="n"/>
      <c r="FH114" s="393" t="n"/>
      <c r="FI114" s="252" t="n"/>
      <c r="FJ114" s="253" t="n"/>
      <c r="FK114" s="254" t="n"/>
      <c r="FL114" s="253" t="n"/>
      <c r="FM114" s="252" t="n"/>
      <c r="FN114" s="253" t="n"/>
      <c r="FO114" s="254" t="n"/>
      <c r="FP114" s="253" t="n"/>
      <c r="FQ114" s="264" t="n"/>
      <c r="FR114" s="253" t="n"/>
      <c r="FS114" s="254" t="n"/>
      <c r="FT114" s="253" t="n"/>
      <c r="FU114" s="264" t="n"/>
      <c r="FV114" s="253" t="n"/>
      <c r="FW114" s="55" t="n"/>
      <c r="FX114" s="255" t="n"/>
      <c r="FY114" s="252" t="n"/>
      <c r="FZ114" s="256" t="n"/>
      <c r="GA114" s="254" t="n"/>
      <c r="GB114" s="253" t="n"/>
      <c r="GC114" s="252" t="n"/>
      <c r="GD114" s="257" t="n"/>
      <c r="GE114" s="55" t="n"/>
      <c r="GF114" s="253" t="n"/>
      <c r="GG114" s="252" t="n"/>
      <c r="GH114" s="253" t="n"/>
      <c r="GI114" s="55" t="n"/>
      <c r="GJ114" s="253" t="n"/>
      <c r="GK114" s="252" t="n"/>
      <c r="GL114" s="257" t="n"/>
      <c r="GM114" s="55" t="n"/>
      <c r="GN114" s="253" t="n"/>
      <c r="GO114" s="252" t="n"/>
      <c r="GP114" s="253" t="n"/>
      <c r="GQ114" s="55" t="n"/>
      <c r="GR114" s="253" t="n"/>
      <c r="GS114" s="252" t="n"/>
      <c r="GT114" s="253" t="n"/>
      <c r="GU114" s="254" t="n"/>
      <c r="GV114" s="253" t="n"/>
      <c r="GW114" s="252" t="n"/>
      <c r="GX114" s="258" t="n"/>
      <c r="GY114" s="259" t="n"/>
      <c r="GZ114" s="253" t="n"/>
      <c r="HA114" s="252" t="n"/>
      <c r="HB114" s="261" t="n"/>
      <c r="HC114" s="392" t="n"/>
      <c r="HD114" s="253" t="n"/>
      <c r="HE114" s="393" t="n"/>
      <c r="HF114" s="393" t="n"/>
      <c r="HG114" s="252" t="n"/>
      <c r="HH114" s="253" t="n"/>
      <c r="HI114" s="254" t="n"/>
      <c r="HJ114" s="253" t="n"/>
      <c r="HK114" s="252" t="n"/>
      <c r="HL114" s="253" t="n"/>
      <c r="HM114" s="254" t="n"/>
      <c r="HN114" s="253" t="n"/>
      <c r="HO114" s="264" t="n"/>
      <c r="HP114" s="253" t="n"/>
      <c r="HQ114" s="254" t="n"/>
      <c r="HR114" s="253" t="n"/>
      <c r="HS114" s="264" t="n"/>
      <c r="HT114" s="253" t="n"/>
      <c r="HU114" s="55" t="n"/>
      <c r="HV114" s="255" t="n"/>
      <c r="HW114" s="252" t="n"/>
      <c r="HX114" s="256" t="n"/>
      <c r="HY114" s="254" t="n"/>
      <c r="HZ114" s="253" t="n"/>
      <c r="IA114" s="252" t="n"/>
      <c r="IB114" s="257" t="n"/>
      <c r="IC114" s="55" t="n"/>
      <c r="ID114" s="253" t="n"/>
      <c r="IE114" s="252" t="n"/>
      <c r="IF114" s="253" t="n"/>
      <c r="IG114" s="55" t="n"/>
      <c r="IH114" s="253" t="n"/>
      <c r="II114" s="252" t="n"/>
      <c r="IJ114" s="257" t="n"/>
      <c r="IK114" s="55" t="n"/>
      <c r="IL114" s="253" t="n"/>
      <c r="IM114" s="252" t="n"/>
      <c r="IN114" s="253" t="n"/>
      <c r="IO114" s="55" t="n"/>
      <c r="IP114" s="253" t="n"/>
      <c r="IQ114" s="252" t="n"/>
      <c r="IR114" s="253" t="n"/>
      <c r="IS114" s="254" t="n"/>
      <c r="IT114" s="253" t="n"/>
      <c r="IU114" s="252" t="n"/>
      <c r="IV114" s="258" t="n"/>
      <c r="IW114" s="259" t="n"/>
      <c r="IX114" s="253" t="n"/>
      <c r="IY114" s="252" t="n"/>
      <c r="IZ114" s="261" t="n"/>
      <c r="JA114" s="392" t="n"/>
      <c r="JB114" s="253" t="n"/>
      <c r="JC114" s="393" t="n"/>
      <c r="JD114" s="393" t="n"/>
    </row>
    <row r="115">
      <c r="E115" s="248" t="n"/>
      <c r="F115" s="248" t="n"/>
      <c r="G115" s="249" t="n"/>
      <c r="H115" s="250" t="n"/>
      <c r="I115" s="251" t="n"/>
      <c r="J115" s="251" t="n"/>
      <c r="K115" s="251" t="n"/>
      <c r="L115" s="251" t="n"/>
      <c r="M115" s="251" t="n"/>
      <c r="N115" s="251" t="n"/>
      <c r="O115" s="252" t="n"/>
      <c r="P115" s="253" t="n"/>
      <c r="Q115" s="254" t="n"/>
      <c r="R115" s="253" t="n"/>
      <c r="S115" s="252" t="n"/>
      <c r="T115" s="253" t="n"/>
      <c r="U115" s="254" t="n"/>
      <c r="V115" s="253" t="n"/>
      <c r="W115" s="252" t="n"/>
      <c r="X115" s="253" t="n"/>
      <c r="Y115" s="254" t="n"/>
      <c r="Z115" s="253" t="n"/>
      <c r="AA115" s="252" t="n"/>
      <c r="AB115" s="253" t="n"/>
      <c r="AC115" s="55" t="n"/>
      <c r="AD115" s="255" t="n"/>
      <c r="AE115" s="252" t="n"/>
      <c r="AF115" s="256" t="n"/>
      <c r="AG115" s="254" t="n"/>
      <c r="AH115" s="253" t="n"/>
      <c r="AI115" s="252" t="n"/>
      <c r="AJ115" s="257" t="n"/>
      <c r="AK115" s="55" t="n"/>
      <c r="AL115" s="253" t="n"/>
      <c r="AM115" s="252" t="n"/>
      <c r="AN115" s="253" t="n"/>
      <c r="AO115" s="55" t="n"/>
      <c r="AP115" s="253" t="n"/>
      <c r="AQ115" s="252" t="n"/>
      <c r="AR115" s="257" t="n"/>
      <c r="AS115" s="55" t="n"/>
      <c r="AT115" s="253" t="n"/>
      <c r="AU115" s="252" t="n"/>
      <c r="AV115" s="253" t="n"/>
      <c r="AW115" s="55" t="n"/>
      <c r="AX115" s="253" t="n"/>
      <c r="AY115" s="252" t="n"/>
      <c r="AZ115" s="253" t="n"/>
      <c r="BA115" s="254" t="n"/>
      <c r="BB115" s="255" t="n"/>
      <c r="BC115" s="252" t="n"/>
      <c r="BD115" s="258" t="n"/>
      <c r="BE115" s="259" t="n"/>
      <c r="BF115" s="255" t="n"/>
      <c r="BG115" s="260" t="n"/>
      <c r="BH115" s="261" t="n"/>
      <c r="BI115" s="392" t="n"/>
      <c r="BJ115" s="255" t="n"/>
      <c r="BK115" s="393" t="n"/>
      <c r="BL115" s="393" t="n"/>
      <c r="BM115" s="252" t="n"/>
      <c r="BN115" s="253" t="n"/>
      <c r="BO115" s="254" t="n"/>
      <c r="BP115" s="253" t="n"/>
      <c r="BQ115" s="252" t="n"/>
      <c r="BR115" s="253" t="n"/>
      <c r="BS115" s="254" t="n"/>
      <c r="BT115" s="253" t="n"/>
      <c r="BU115" s="264" t="n"/>
      <c r="BV115" s="253" t="n"/>
      <c r="BW115" s="254" t="n"/>
      <c r="BX115" s="253" t="n"/>
      <c r="BY115" s="264" t="n"/>
      <c r="BZ115" s="253" t="n"/>
      <c r="CA115" s="55" t="n"/>
      <c r="CB115" s="255" t="n"/>
      <c r="CC115" s="252" t="n"/>
      <c r="CD115" s="256" t="n"/>
      <c r="CE115" s="55" t="n"/>
      <c r="CF115" s="253" t="n"/>
      <c r="CG115" s="252" t="n"/>
      <c r="CH115" s="257" t="n"/>
      <c r="CI115" s="55" t="n"/>
      <c r="CJ115" s="253" t="n"/>
      <c r="CK115" s="252" t="n"/>
      <c r="CL115" s="253" t="n"/>
      <c r="CM115" s="55" t="n"/>
      <c r="CN115" s="253" t="n"/>
      <c r="CO115" s="252" t="n"/>
      <c r="CP115" s="257" t="n"/>
      <c r="CQ115" s="55" t="n"/>
      <c r="CR115" s="253" t="n"/>
      <c r="CS115" s="252" t="n"/>
      <c r="CT115" s="253" t="n"/>
      <c r="CU115" s="55" t="n"/>
      <c r="CV115" s="253" t="n"/>
      <c r="CW115" s="252" t="n"/>
      <c r="CX115" s="253" t="n"/>
      <c r="CY115" s="254" t="n"/>
      <c r="CZ115" s="253" t="n"/>
      <c r="DA115" s="252" t="n"/>
      <c r="DB115" s="258" t="n"/>
      <c r="DC115" s="259" t="n"/>
      <c r="DD115" s="253" t="n"/>
      <c r="DE115" s="252" t="n"/>
      <c r="DF115" s="261" t="n"/>
      <c r="DG115" s="392" t="n"/>
      <c r="DH115" s="253" t="n"/>
      <c r="DI115" s="393" t="n"/>
      <c r="DJ115" s="393" t="n"/>
      <c r="DK115" s="252" t="n"/>
      <c r="DL115" s="253" t="n"/>
      <c r="DM115" s="254" t="n"/>
      <c r="DN115" s="253" t="n"/>
      <c r="DO115" s="252" t="n"/>
      <c r="DP115" s="253" t="n"/>
      <c r="DQ115" s="254" t="n"/>
      <c r="DR115" s="253" t="n"/>
      <c r="DS115" s="264" t="n"/>
      <c r="DT115" s="253" t="n"/>
      <c r="DU115" s="254" t="n"/>
      <c r="DV115" s="253" t="n"/>
      <c r="DW115" s="264" t="n"/>
      <c r="DX115" s="253" t="n"/>
      <c r="DY115" s="55" t="n"/>
      <c r="DZ115" s="255" t="n"/>
      <c r="EA115" s="252" t="n"/>
      <c r="EB115" s="256" t="n"/>
      <c r="EC115" s="254" t="n"/>
      <c r="ED115" s="253" t="n"/>
      <c r="EE115" s="252" t="n"/>
      <c r="EF115" s="257" t="n"/>
      <c r="EG115" s="55" t="n"/>
      <c r="EH115" s="253" t="n"/>
      <c r="EI115" s="252" t="n"/>
      <c r="EJ115" s="253" t="n"/>
      <c r="EK115" s="55" t="n"/>
      <c r="EL115" s="253" t="n"/>
      <c r="EM115" s="252" t="n"/>
      <c r="EN115" s="257" t="n"/>
      <c r="EO115" s="55" t="n"/>
      <c r="EP115" s="253" t="n"/>
      <c r="EQ115" s="252" t="n"/>
      <c r="ER115" s="253" t="n"/>
      <c r="ES115" s="55" t="n"/>
      <c r="ET115" s="253" t="n"/>
      <c r="EU115" s="252" t="n"/>
      <c r="EV115" s="253" t="n"/>
      <c r="EW115" s="254" t="n"/>
      <c r="EX115" s="253" t="n"/>
      <c r="EY115" s="252" t="n"/>
      <c r="EZ115" s="258" t="n"/>
      <c r="FA115" s="259" t="n"/>
      <c r="FB115" s="253" t="n"/>
      <c r="FC115" s="252" t="n"/>
      <c r="FD115" s="261" t="n"/>
      <c r="FE115" s="392" t="n"/>
      <c r="FF115" s="253" t="n"/>
      <c r="FG115" s="393" t="n"/>
      <c r="FH115" s="393" t="n"/>
      <c r="FI115" s="252" t="n"/>
      <c r="FJ115" s="253" t="n"/>
      <c r="FK115" s="254" t="n"/>
      <c r="FL115" s="253" t="n"/>
      <c r="FM115" s="252" t="n"/>
      <c r="FN115" s="253" t="n"/>
      <c r="FO115" s="254" t="n"/>
      <c r="FP115" s="253" t="n"/>
      <c r="FQ115" s="264" t="n"/>
      <c r="FR115" s="253" t="n"/>
      <c r="FS115" s="254" t="n"/>
      <c r="FT115" s="253" t="n"/>
      <c r="FU115" s="264" t="n"/>
      <c r="FV115" s="253" t="n"/>
      <c r="FW115" s="55" t="n"/>
      <c r="FX115" s="255" t="n"/>
      <c r="FY115" s="252" t="n"/>
      <c r="FZ115" s="256" t="n"/>
      <c r="GA115" s="254" t="n"/>
      <c r="GB115" s="253" t="n"/>
      <c r="GC115" s="252" t="n"/>
      <c r="GD115" s="257" t="n"/>
      <c r="GE115" s="55" t="n"/>
      <c r="GF115" s="253" t="n"/>
      <c r="GG115" s="252" t="n"/>
      <c r="GH115" s="253" t="n"/>
      <c r="GI115" s="55" t="n"/>
      <c r="GJ115" s="253" t="n"/>
      <c r="GK115" s="252" t="n"/>
      <c r="GL115" s="257" t="n"/>
      <c r="GM115" s="55" t="n"/>
      <c r="GN115" s="253" t="n"/>
      <c r="GO115" s="252" t="n"/>
      <c r="GP115" s="253" t="n"/>
      <c r="GQ115" s="55" t="n"/>
      <c r="GR115" s="253" t="n"/>
      <c r="GS115" s="252" t="n"/>
      <c r="GT115" s="253" t="n"/>
      <c r="GU115" s="254" t="n"/>
      <c r="GV115" s="253" t="n"/>
      <c r="GW115" s="252" t="n"/>
      <c r="GX115" s="258" t="n"/>
      <c r="GY115" s="259" t="n"/>
      <c r="GZ115" s="253" t="n"/>
      <c r="HA115" s="252" t="n"/>
      <c r="HB115" s="261" t="n"/>
      <c r="HC115" s="392" t="n"/>
      <c r="HD115" s="253" t="n"/>
      <c r="HE115" s="393" t="n"/>
      <c r="HF115" s="393" t="n"/>
      <c r="HG115" s="252" t="n"/>
      <c r="HH115" s="253" t="n"/>
      <c r="HI115" s="254" t="n"/>
      <c r="HJ115" s="253" t="n"/>
      <c r="HK115" s="252" t="n"/>
      <c r="HL115" s="253" t="n"/>
      <c r="HM115" s="254" t="n"/>
      <c r="HN115" s="253" t="n"/>
      <c r="HO115" s="264" t="n"/>
      <c r="HP115" s="253" t="n"/>
      <c r="HQ115" s="254" t="n"/>
      <c r="HR115" s="253" t="n"/>
      <c r="HS115" s="264" t="n"/>
      <c r="HT115" s="253" t="n"/>
      <c r="HU115" s="55" t="n"/>
      <c r="HV115" s="255" t="n"/>
      <c r="HW115" s="252" t="n"/>
      <c r="HX115" s="256" t="n"/>
      <c r="HY115" s="254" t="n"/>
      <c r="HZ115" s="253" t="n"/>
      <c r="IA115" s="252" t="n"/>
      <c r="IB115" s="257" t="n"/>
      <c r="IC115" s="55" t="n"/>
      <c r="ID115" s="253" t="n"/>
      <c r="IE115" s="252" t="n"/>
      <c r="IF115" s="253" t="n"/>
      <c r="IG115" s="55" t="n"/>
      <c r="IH115" s="253" t="n"/>
      <c r="II115" s="252" t="n"/>
      <c r="IJ115" s="257" t="n"/>
      <c r="IK115" s="55" t="n"/>
      <c r="IL115" s="253" t="n"/>
      <c r="IM115" s="252" t="n"/>
      <c r="IN115" s="253" t="n"/>
      <c r="IO115" s="55" t="n"/>
      <c r="IP115" s="253" t="n"/>
      <c r="IQ115" s="252" t="n"/>
      <c r="IR115" s="253" t="n"/>
      <c r="IS115" s="254" t="n"/>
      <c r="IT115" s="253" t="n"/>
      <c r="IU115" s="252" t="n"/>
      <c r="IV115" s="258" t="n"/>
      <c r="IW115" s="259" t="n"/>
      <c r="IX115" s="253" t="n"/>
      <c r="IY115" s="252" t="n"/>
      <c r="IZ115" s="261" t="n"/>
      <c r="JA115" s="392" t="n"/>
      <c r="JB115" s="253" t="n"/>
      <c r="JC115" s="393" t="n"/>
      <c r="JD115" s="393" t="n"/>
    </row>
    <row r="116">
      <c r="E116" s="248" t="n"/>
      <c r="F116" s="248" t="n"/>
      <c r="G116" s="249" t="n"/>
      <c r="H116" s="250" t="n"/>
      <c r="I116" s="251" t="n"/>
      <c r="J116" s="251" t="n"/>
      <c r="K116" s="251" t="n"/>
      <c r="L116" s="251" t="n"/>
      <c r="M116" s="251" t="n"/>
      <c r="N116" s="251" t="n"/>
      <c r="O116" s="252" t="n"/>
      <c r="P116" s="253" t="n"/>
      <c r="Q116" s="254" t="n"/>
      <c r="R116" s="253" t="n"/>
      <c r="S116" s="252" t="n"/>
      <c r="T116" s="253" t="n"/>
      <c r="U116" s="254" t="n"/>
      <c r="V116" s="253" t="n"/>
      <c r="W116" s="252" t="n"/>
      <c r="X116" s="253" t="n"/>
      <c r="Y116" s="254" t="n"/>
      <c r="Z116" s="253" t="n"/>
      <c r="AA116" s="252" t="n"/>
      <c r="AB116" s="253" t="n"/>
      <c r="AC116" s="55" t="n"/>
      <c r="AD116" s="255" t="n"/>
      <c r="AE116" s="252" t="n"/>
      <c r="AF116" s="256" t="n"/>
      <c r="AG116" s="254" t="n"/>
      <c r="AH116" s="253" t="n"/>
      <c r="AI116" s="252" t="n"/>
      <c r="AJ116" s="257" t="n"/>
      <c r="AK116" s="55" t="n"/>
      <c r="AL116" s="253" t="n"/>
      <c r="AM116" s="252" t="n"/>
      <c r="AN116" s="253" t="n"/>
      <c r="AO116" s="55" t="n"/>
      <c r="AP116" s="253" t="n"/>
      <c r="AQ116" s="252" t="n"/>
      <c r="AR116" s="257" t="n"/>
      <c r="AS116" s="55" t="n"/>
      <c r="AT116" s="253" t="n"/>
      <c r="AU116" s="252" t="n"/>
      <c r="AV116" s="253" t="n"/>
      <c r="AW116" s="55" t="n"/>
      <c r="AX116" s="253" t="n"/>
      <c r="AY116" s="252" t="n"/>
      <c r="AZ116" s="253" t="n"/>
      <c r="BA116" s="254" t="n"/>
      <c r="BB116" s="255" t="n"/>
      <c r="BC116" s="252" t="n"/>
      <c r="BD116" s="258" t="n"/>
      <c r="BE116" s="259" t="n"/>
      <c r="BF116" s="255" t="n"/>
      <c r="BG116" s="260" t="n"/>
      <c r="BH116" s="261" t="n"/>
      <c r="BI116" s="392" t="n"/>
      <c r="BJ116" s="255" t="n"/>
      <c r="BK116" s="393" t="n"/>
      <c r="BL116" s="393" t="n"/>
      <c r="BM116" s="252" t="n"/>
      <c r="BN116" s="253" t="n"/>
      <c r="BO116" s="254" t="n"/>
      <c r="BP116" s="253" t="n"/>
      <c r="BQ116" s="252" t="n"/>
      <c r="BR116" s="253" t="n"/>
      <c r="BS116" s="254" t="n"/>
      <c r="BT116" s="253" t="n"/>
      <c r="BU116" s="264" t="n"/>
      <c r="BV116" s="253" t="n"/>
      <c r="BW116" s="254" t="n"/>
      <c r="BX116" s="253" t="n"/>
      <c r="BY116" s="264" t="n"/>
      <c r="BZ116" s="253" t="n"/>
      <c r="CA116" s="55" t="n"/>
      <c r="CB116" s="255" t="n"/>
      <c r="CC116" s="252" t="n"/>
      <c r="CD116" s="256" t="n"/>
      <c r="CE116" s="55" t="n"/>
      <c r="CF116" s="253" t="n"/>
      <c r="CG116" s="252" t="n"/>
      <c r="CH116" s="257" t="n"/>
      <c r="CI116" s="55" t="n"/>
      <c r="CJ116" s="253" t="n"/>
      <c r="CK116" s="252" t="n"/>
      <c r="CL116" s="253" t="n"/>
      <c r="CM116" s="55" t="n"/>
      <c r="CN116" s="253" t="n"/>
      <c r="CO116" s="252" t="n"/>
      <c r="CP116" s="257" t="n"/>
      <c r="CQ116" s="55" t="n"/>
      <c r="CR116" s="253" t="n"/>
      <c r="CS116" s="252" t="n"/>
      <c r="CT116" s="253" t="n"/>
      <c r="CU116" s="55" t="n"/>
      <c r="CV116" s="253" t="n"/>
      <c r="CW116" s="252" t="n"/>
      <c r="CX116" s="253" t="n"/>
      <c r="CY116" s="254" t="n"/>
      <c r="CZ116" s="253" t="n"/>
      <c r="DA116" s="252" t="n"/>
      <c r="DB116" s="258" t="n"/>
      <c r="DC116" s="259" t="n"/>
      <c r="DD116" s="253" t="n"/>
      <c r="DE116" s="252" t="n"/>
      <c r="DF116" s="261" t="n"/>
      <c r="DG116" s="392" t="n"/>
      <c r="DH116" s="253" t="n"/>
      <c r="DI116" s="393" t="n"/>
      <c r="DJ116" s="393" t="n"/>
      <c r="DK116" s="252" t="n"/>
      <c r="DL116" s="253" t="n"/>
      <c r="DM116" s="254" t="n"/>
      <c r="DN116" s="253" t="n"/>
      <c r="DO116" s="252" t="n"/>
      <c r="DP116" s="253" t="n"/>
      <c r="DQ116" s="254" t="n"/>
      <c r="DR116" s="253" t="n"/>
      <c r="DS116" s="264" t="n"/>
      <c r="DT116" s="253" t="n"/>
      <c r="DU116" s="254" t="n"/>
      <c r="DV116" s="253" t="n"/>
      <c r="DW116" s="264" t="n"/>
      <c r="DX116" s="253" t="n"/>
      <c r="DY116" s="55" t="n"/>
      <c r="DZ116" s="255" t="n"/>
      <c r="EA116" s="252" t="n"/>
      <c r="EB116" s="256" t="n"/>
      <c r="EC116" s="254" t="n"/>
      <c r="ED116" s="253" t="n"/>
      <c r="EE116" s="252" t="n"/>
      <c r="EF116" s="257" t="n"/>
      <c r="EG116" s="55" t="n"/>
      <c r="EH116" s="253" t="n"/>
      <c r="EI116" s="252" t="n"/>
      <c r="EJ116" s="253" t="n"/>
      <c r="EK116" s="55" t="n"/>
      <c r="EL116" s="253" t="n"/>
      <c r="EM116" s="252" t="n"/>
      <c r="EN116" s="257" t="n"/>
      <c r="EO116" s="55" t="n"/>
      <c r="EP116" s="253" t="n"/>
      <c r="EQ116" s="252" t="n"/>
      <c r="ER116" s="253" t="n"/>
      <c r="ES116" s="55" t="n"/>
      <c r="ET116" s="253" t="n"/>
      <c r="EU116" s="252" t="n"/>
      <c r="EV116" s="253" t="n"/>
      <c r="EW116" s="254" t="n"/>
      <c r="EX116" s="253" t="n"/>
      <c r="EY116" s="252" t="n"/>
      <c r="EZ116" s="258" t="n"/>
      <c r="FA116" s="259" t="n"/>
      <c r="FB116" s="253" t="n"/>
      <c r="FC116" s="252" t="n"/>
      <c r="FD116" s="261" t="n"/>
      <c r="FE116" s="392" t="n"/>
      <c r="FF116" s="253" t="n"/>
      <c r="FG116" s="393" t="n"/>
      <c r="FH116" s="393" t="n"/>
      <c r="FI116" s="252" t="n"/>
      <c r="FJ116" s="253" t="n"/>
      <c r="FK116" s="254" t="n"/>
      <c r="FL116" s="253" t="n"/>
      <c r="FM116" s="252" t="n"/>
      <c r="FN116" s="253" t="n"/>
      <c r="FO116" s="254" t="n"/>
      <c r="FP116" s="253" t="n"/>
      <c r="FQ116" s="264" t="n"/>
      <c r="FR116" s="253" t="n"/>
      <c r="FS116" s="254" t="n"/>
      <c r="FT116" s="253" t="n"/>
      <c r="FU116" s="264" t="n"/>
      <c r="FV116" s="253" t="n"/>
      <c r="FW116" s="55" t="n"/>
      <c r="FX116" s="255" t="n"/>
      <c r="FY116" s="252" t="n"/>
      <c r="FZ116" s="256" t="n"/>
      <c r="GA116" s="254" t="n"/>
      <c r="GB116" s="253" t="n"/>
      <c r="GC116" s="252" t="n"/>
      <c r="GD116" s="257" t="n"/>
      <c r="GE116" s="55" t="n"/>
      <c r="GF116" s="253" t="n"/>
      <c r="GG116" s="252" t="n"/>
      <c r="GH116" s="253" t="n"/>
      <c r="GI116" s="55" t="n"/>
      <c r="GJ116" s="253" t="n"/>
      <c r="GK116" s="252" t="n"/>
      <c r="GL116" s="257" t="n"/>
      <c r="GM116" s="55" t="n"/>
      <c r="GN116" s="253" t="n"/>
      <c r="GO116" s="252" t="n"/>
      <c r="GP116" s="253" t="n"/>
      <c r="GQ116" s="55" t="n"/>
      <c r="GR116" s="253" t="n"/>
      <c r="GS116" s="252" t="n"/>
      <c r="GT116" s="253" t="n"/>
      <c r="GU116" s="254" t="n"/>
      <c r="GV116" s="253" t="n"/>
      <c r="GW116" s="252" t="n"/>
      <c r="GX116" s="258" t="n"/>
      <c r="GY116" s="259" t="n"/>
      <c r="GZ116" s="253" t="n"/>
      <c r="HA116" s="252" t="n"/>
      <c r="HB116" s="261" t="n"/>
      <c r="HC116" s="392" t="n"/>
      <c r="HD116" s="253" t="n"/>
      <c r="HE116" s="393" t="n"/>
      <c r="HF116" s="393" t="n"/>
      <c r="HG116" s="252" t="n"/>
      <c r="HH116" s="253" t="n"/>
      <c r="HI116" s="254" t="n"/>
      <c r="HJ116" s="253" t="n"/>
      <c r="HK116" s="252" t="n"/>
      <c r="HL116" s="253" t="n"/>
      <c r="HM116" s="254" t="n"/>
      <c r="HN116" s="253" t="n"/>
      <c r="HO116" s="264" t="n"/>
      <c r="HP116" s="253" t="n"/>
      <c r="HQ116" s="254" t="n"/>
      <c r="HR116" s="253" t="n"/>
      <c r="HS116" s="264" t="n"/>
      <c r="HT116" s="253" t="n"/>
      <c r="HU116" s="55" t="n"/>
      <c r="HV116" s="255" t="n"/>
      <c r="HW116" s="252" t="n"/>
      <c r="HX116" s="256" t="n"/>
      <c r="HY116" s="254" t="n"/>
      <c r="HZ116" s="253" t="n"/>
      <c r="IA116" s="252" t="n"/>
      <c r="IB116" s="257" t="n"/>
      <c r="IC116" s="55" t="n"/>
      <c r="ID116" s="253" t="n"/>
      <c r="IE116" s="252" t="n"/>
      <c r="IF116" s="253" t="n"/>
      <c r="IG116" s="55" t="n"/>
      <c r="IH116" s="253" t="n"/>
      <c r="II116" s="252" t="n"/>
      <c r="IJ116" s="257" t="n"/>
      <c r="IK116" s="55" t="n"/>
      <c r="IL116" s="253" t="n"/>
      <c r="IM116" s="252" t="n"/>
      <c r="IN116" s="253" t="n"/>
      <c r="IO116" s="55" t="n"/>
      <c r="IP116" s="253" t="n"/>
      <c r="IQ116" s="252" t="n"/>
      <c r="IR116" s="253" t="n"/>
      <c r="IS116" s="254" t="n"/>
      <c r="IT116" s="253" t="n"/>
      <c r="IU116" s="252" t="n"/>
      <c r="IV116" s="258" t="n"/>
      <c r="IW116" s="259" t="n"/>
      <c r="IX116" s="253" t="n"/>
      <c r="IY116" s="252" t="n"/>
      <c r="IZ116" s="261" t="n"/>
      <c r="JA116" s="392" t="n"/>
      <c r="JB116" s="253" t="n"/>
      <c r="JC116" s="393" t="n"/>
      <c r="JD116" s="393" t="n"/>
    </row>
    <row r="117">
      <c r="E117" s="248" t="n"/>
      <c r="F117" s="248" t="n"/>
      <c r="G117" s="249" t="n"/>
      <c r="H117" s="250" t="n"/>
      <c r="I117" s="251" t="n"/>
      <c r="J117" s="251" t="n"/>
      <c r="K117" s="251" t="n"/>
      <c r="L117" s="251" t="n"/>
      <c r="M117" s="251" t="n"/>
      <c r="N117" s="251" t="n"/>
      <c r="O117" s="252" t="n"/>
      <c r="P117" s="253" t="n"/>
      <c r="Q117" s="254" t="n"/>
      <c r="R117" s="253" t="n"/>
      <c r="S117" s="252" t="n"/>
      <c r="T117" s="253" t="n"/>
      <c r="U117" s="254" t="n"/>
      <c r="V117" s="253" t="n"/>
      <c r="W117" s="252" t="n"/>
      <c r="X117" s="253" t="n"/>
      <c r="Y117" s="254" t="n"/>
      <c r="Z117" s="253" t="n"/>
      <c r="AA117" s="252" t="n"/>
      <c r="AB117" s="253" t="n"/>
      <c r="AC117" s="55" t="n"/>
      <c r="AD117" s="255" t="n"/>
      <c r="AE117" s="252" t="n"/>
      <c r="AF117" s="256" t="n"/>
      <c r="AG117" s="254" t="n"/>
      <c r="AH117" s="253" t="n"/>
      <c r="AI117" s="252" t="n"/>
      <c r="AJ117" s="257" t="n"/>
      <c r="AK117" s="55" t="n"/>
      <c r="AL117" s="253" t="n"/>
      <c r="AM117" s="252" t="n"/>
      <c r="AN117" s="253" t="n"/>
      <c r="AO117" s="55" t="n"/>
      <c r="AP117" s="253" t="n"/>
      <c r="AQ117" s="252" t="n"/>
      <c r="AR117" s="257" t="n"/>
      <c r="AS117" s="55" t="n"/>
      <c r="AT117" s="253" t="n"/>
      <c r="AU117" s="252" t="n"/>
      <c r="AV117" s="253" t="n"/>
      <c r="AW117" s="55" t="n"/>
      <c r="AX117" s="253" t="n"/>
      <c r="AY117" s="252" t="n"/>
      <c r="AZ117" s="253" t="n"/>
      <c r="BA117" s="254" t="n"/>
      <c r="BB117" s="255" t="n"/>
      <c r="BC117" s="252" t="n"/>
      <c r="BD117" s="258" t="n"/>
      <c r="BE117" s="259" t="n"/>
      <c r="BF117" s="255" t="n"/>
      <c r="BG117" s="260" t="n"/>
      <c r="BH117" s="261" t="n"/>
      <c r="BI117" s="392" t="n"/>
      <c r="BJ117" s="255" t="n"/>
      <c r="BK117" s="393" t="n"/>
      <c r="BL117" s="393" t="n"/>
      <c r="BM117" s="252" t="n"/>
      <c r="BN117" s="253" t="n"/>
      <c r="BO117" s="254" t="n"/>
      <c r="BP117" s="253" t="n"/>
      <c r="BQ117" s="252" t="n"/>
      <c r="BR117" s="253" t="n"/>
      <c r="BS117" s="254" t="n"/>
      <c r="BT117" s="253" t="n"/>
      <c r="BU117" s="264" t="n"/>
      <c r="BV117" s="253" t="n"/>
      <c r="BW117" s="254" t="n"/>
      <c r="BX117" s="253" t="n"/>
      <c r="BY117" s="264" t="n"/>
      <c r="BZ117" s="253" t="n"/>
      <c r="CA117" s="55" t="n"/>
      <c r="CB117" s="255" t="n"/>
      <c r="CC117" s="252" t="n"/>
      <c r="CD117" s="256" t="n"/>
      <c r="CE117" s="55" t="n"/>
      <c r="CF117" s="253" t="n"/>
      <c r="CG117" s="252" t="n"/>
      <c r="CH117" s="257" t="n"/>
      <c r="CI117" s="55" t="n"/>
      <c r="CJ117" s="253" t="n"/>
      <c r="CK117" s="252" t="n"/>
      <c r="CL117" s="253" t="n"/>
      <c r="CM117" s="55" t="n"/>
      <c r="CN117" s="253" t="n"/>
      <c r="CO117" s="252" t="n"/>
      <c r="CP117" s="257" t="n"/>
      <c r="CQ117" s="55" t="n"/>
      <c r="CR117" s="253" t="n"/>
      <c r="CS117" s="252" t="n"/>
      <c r="CT117" s="253" t="n"/>
      <c r="CU117" s="55" t="n"/>
      <c r="CV117" s="253" t="n"/>
      <c r="CW117" s="252" t="n"/>
      <c r="CX117" s="253" t="n"/>
      <c r="CY117" s="254" t="n"/>
      <c r="CZ117" s="253" t="n"/>
      <c r="DA117" s="252" t="n"/>
      <c r="DB117" s="258" t="n"/>
      <c r="DC117" s="259" t="n"/>
      <c r="DD117" s="253" t="n"/>
      <c r="DE117" s="252" t="n"/>
      <c r="DF117" s="261" t="n"/>
      <c r="DG117" s="392" t="n"/>
      <c r="DH117" s="253" t="n"/>
      <c r="DI117" s="393" t="n"/>
      <c r="DJ117" s="393" t="n"/>
      <c r="DK117" s="252" t="n"/>
      <c r="DL117" s="253" t="n"/>
      <c r="DM117" s="254" t="n"/>
      <c r="DN117" s="253" t="n"/>
      <c r="DO117" s="252" t="n"/>
      <c r="DP117" s="253" t="n"/>
      <c r="DQ117" s="254" t="n"/>
      <c r="DR117" s="253" t="n"/>
      <c r="DS117" s="264" t="n"/>
      <c r="DT117" s="253" t="n"/>
      <c r="DU117" s="254" t="n"/>
      <c r="DV117" s="253" t="n"/>
      <c r="DW117" s="264" t="n"/>
      <c r="DX117" s="253" t="n"/>
      <c r="DY117" s="55" t="n"/>
      <c r="DZ117" s="255" t="n"/>
      <c r="EA117" s="252" t="n"/>
      <c r="EB117" s="256" t="n"/>
      <c r="EC117" s="254" t="n"/>
      <c r="ED117" s="253" t="n"/>
      <c r="EE117" s="252" t="n"/>
      <c r="EF117" s="257" t="n"/>
      <c r="EG117" s="55" t="n"/>
      <c r="EH117" s="253" t="n"/>
      <c r="EI117" s="252" t="n"/>
      <c r="EJ117" s="253" t="n"/>
      <c r="EK117" s="55" t="n"/>
      <c r="EL117" s="253" t="n"/>
      <c r="EM117" s="252" t="n"/>
      <c r="EN117" s="257" t="n"/>
      <c r="EO117" s="55" t="n"/>
      <c r="EP117" s="253" t="n"/>
      <c r="EQ117" s="252" t="n"/>
      <c r="ER117" s="253" t="n"/>
      <c r="ES117" s="55" t="n"/>
      <c r="ET117" s="253" t="n"/>
      <c r="EU117" s="252" t="n"/>
      <c r="EV117" s="253" t="n"/>
      <c r="EW117" s="254" t="n"/>
      <c r="EX117" s="253" t="n"/>
      <c r="EY117" s="252" t="n"/>
      <c r="EZ117" s="258" t="n"/>
      <c r="FA117" s="259" t="n"/>
      <c r="FB117" s="253" t="n"/>
      <c r="FC117" s="252" t="n"/>
      <c r="FD117" s="261" t="n"/>
      <c r="FE117" s="392" t="n"/>
      <c r="FF117" s="253" t="n"/>
      <c r="FG117" s="393" t="n"/>
      <c r="FH117" s="393" t="n"/>
      <c r="FI117" s="252" t="n"/>
      <c r="FJ117" s="253" t="n"/>
      <c r="FK117" s="254" t="n"/>
      <c r="FL117" s="253" t="n"/>
      <c r="FM117" s="252" t="n"/>
      <c r="FN117" s="253" t="n"/>
      <c r="FO117" s="254" t="n"/>
      <c r="FP117" s="253" t="n"/>
      <c r="FQ117" s="264" t="n"/>
      <c r="FR117" s="253" t="n"/>
      <c r="FS117" s="254" t="n"/>
      <c r="FT117" s="253" t="n"/>
      <c r="FU117" s="264" t="n"/>
      <c r="FV117" s="253" t="n"/>
      <c r="FW117" s="55" t="n"/>
      <c r="FX117" s="255" t="n"/>
      <c r="FY117" s="252" t="n"/>
      <c r="FZ117" s="256" t="n"/>
      <c r="GA117" s="254" t="n"/>
      <c r="GB117" s="253" t="n"/>
      <c r="GC117" s="252" t="n"/>
      <c r="GD117" s="257" t="n"/>
      <c r="GE117" s="55" t="n"/>
      <c r="GF117" s="253" t="n"/>
      <c r="GG117" s="252" t="n"/>
      <c r="GH117" s="253" t="n"/>
      <c r="GI117" s="55" t="n"/>
      <c r="GJ117" s="253" t="n"/>
      <c r="GK117" s="252" t="n"/>
      <c r="GL117" s="257" t="n"/>
      <c r="GM117" s="55" t="n"/>
      <c r="GN117" s="253" t="n"/>
      <c r="GO117" s="252" t="n"/>
      <c r="GP117" s="253" t="n"/>
      <c r="GQ117" s="55" t="n"/>
      <c r="GR117" s="253" t="n"/>
      <c r="GS117" s="252" t="n"/>
      <c r="GT117" s="253" t="n"/>
      <c r="GU117" s="254" t="n"/>
      <c r="GV117" s="253" t="n"/>
      <c r="GW117" s="252" t="n"/>
      <c r="GX117" s="258" t="n"/>
      <c r="GY117" s="259" t="n"/>
      <c r="GZ117" s="253" t="n"/>
      <c r="HA117" s="252" t="n"/>
      <c r="HB117" s="261" t="n"/>
      <c r="HC117" s="392" t="n"/>
      <c r="HD117" s="253" t="n"/>
      <c r="HE117" s="393" t="n"/>
      <c r="HF117" s="393" t="n"/>
      <c r="HG117" s="252" t="n"/>
      <c r="HH117" s="253" t="n"/>
      <c r="HI117" s="254" t="n"/>
      <c r="HJ117" s="253" t="n"/>
      <c r="HK117" s="252" t="n"/>
      <c r="HL117" s="253" t="n"/>
      <c r="HM117" s="254" t="n"/>
      <c r="HN117" s="253" t="n"/>
      <c r="HO117" s="264" t="n"/>
      <c r="HP117" s="253" t="n"/>
      <c r="HQ117" s="254" t="n"/>
      <c r="HR117" s="253" t="n"/>
      <c r="HS117" s="264" t="n"/>
      <c r="HT117" s="253" t="n"/>
      <c r="HU117" s="55" t="n"/>
      <c r="HV117" s="255" t="n"/>
      <c r="HW117" s="252" t="n"/>
      <c r="HX117" s="256" t="n"/>
      <c r="HY117" s="254" t="n"/>
      <c r="HZ117" s="253" t="n"/>
      <c r="IA117" s="252" t="n"/>
      <c r="IB117" s="257" t="n"/>
      <c r="IC117" s="55" t="n"/>
      <c r="ID117" s="253" t="n"/>
      <c r="IE117" s="252" t="n"/>
      <c r="IF117" s="253" t="n"/>
      <c r="IG117" s="55" t="n"/>
      <c r="IH117" s="253" t="n"/>
      <c r="II117" s="252" t="n"/>
      <c r="IJ117" s="257" t="n"/>
      <c r="IK117" s="55" t="n"/>
      <c r="IL117" s="253" t="n"/>
      <c r="IM117" s="252" t="n"/>
      <c r="IN117" s="253" t="n"/>
      <c r="IO117" s="55" t="n"/>
      <c r="IP117" s="253" t="n"/>
      <c r="IQ117" s="252" t="n"/>
      <c r="IR117" s="253" t="n"/>
      <c r="IS117" s="254" t="n"/>
      <c r="IT117" s="253" t="n"/>
      <c r="IU117" s="252" t="n"/>
      <c r="IV117" s="258" t="n"/>
      <c r="IW117" s="259" t="n"/>
      <c r="IX117" s="253" t="n"/>
      <c r="IY117" s="252" t="n"/>
      <c r="IZ117" s="261" t="n"/>
      <c r="JA117" s="392" t="n"/>
      <c r="JB117" s="253" t="n"/>
      <c r="JC117" s="393" t="n"/>
      <c r="JD117" s="393" t="n"/>
    </row>
    <row r="118">
      <c r="E118" s="248" t="n"/>
      <c r="F118" s="248" t="n"/>
      <c r="G118" s="249" t="n"/>
      <c r="H118" s="250" t="n"/>
      <c r="I118" s="251" t="n"/>
      <c r="J118" s="251" t="n"/>
      <c r="K118" s="251" t="n"/>
      <c r="L118" s="251" t="n"/>
      <c r="M118" s="251" t="n"/>
      <c r="N118" s="251" t="n"/>
      <c r="O118" s="252" t="n"/>
      <c r="P118" s="253" t="n"/>
      <c r="Q118" s="254" t="n"/>
      <c r="R118" s="253" t="n"/>
      <c r="S118" s="252" t="n"/>
      <c r="T118" s="253" t="n"/>
      <c r="U118" s="254" t="n"/>
      <c r="V118" s="253" t="n"/>
      <c r="W118" s="252" t="n"/>
      <c r="X118" s="253" t="n"/>
      <c r="Y118" s="254" t="n"/>
      <c r="Z118" s="253" t="n"/>
      <c r="AA118" s="252" t="n"/>
      <c r="AB118" s="253" t="n"/>
      <c r="AC118" s="55" t="n"/>
      <c r="AD118" s="255" t="n"/>
      <c r="AE118" s="252" t="n"/>
      <c r="AF118" s="256" t="n"/>
      <c r="AG118" s="254" t="n"/>
      <c r="AH118" s="253" t="n"/>
      <c r="AI118" s="252" t="n"/>
      <c r="AJ118" s="257" t="n"/>
      <c r="AK118" s="55" t="n"/>
      <c r="AL118" s="253" t="n"/>
      <c r="AM118" s="252" t="n"/>
      <c r="AN118" s="253" t="n"/>
      <c r="AO118" s="55" t="n"/>
      <c r="AP118" s="253" t="n"/>
      <c r="AQ118" s="252" t="n"/>
      <c r="AR118" s="257" t="n"/>
      <c r="AS118" s="55" t="n"/>
      <c r="AT118" s="253" t="n"/>
      <c r="AU118" s="252" t="n"/>
      <c r="AV118" s="253" t="n"/>
      <c r="AW118" s="55" t="n"/>
      <c r="AX118" s="253" t="n"/>
      <c r="AY118" s="252" t="n"/>
      <c r="AZ118" s="253" t="n"/>
      <c r="BA118" s="254" t="n"/>
      <c r="BB118" s="255" t="n"/>
      <c r="BC118" s="252" t="n"/>
      <c r="BD118" s="258" t="n"/>
      <c r="BE118" s="259" t="n"/>
      <c r="BF118" s="255" t="n"/>
      <c r="BG118" s="260" t="n"/>
      <c r="BH118" s="261" t="n"/>
      <c r="BI118" s="392" t="n"/>
      <c r="BJ118" s="255" t="n"/>
      <c r="BK118" s="393" t="n"/>
      <c r="BL118" s="393" t="n"/>
      <c r="BM118" s="252" t="n"/>
      <c r="BN118" s="253" t="n"/>
      <c r="BO118" s="254" t="n"/>
      <c r="BP118" s="253" t="n"/>
      <c r="BQ118" s="252" t="n"/>
      <c r="BR118" s="253" t="n"/>
      <c r="BS118" s="254" t="n"/>
      <c r="BT118" s="253" t="n"/>
      <c r="BU118" s="264" t="n"/>
      <c r="BV118" s="253" t="n"/>
      <c r="BW118" s="254" t="n"/>
      <c r="BX118" s="253" t="n"/>
      <c r="BY118" s="264" t="n"/>
      <c r="BZ118" s="253" t="n"/>
      <c r="CA118" s="55" t="n"/>
      <c r="CB118" s="255" t="n"/>
      <c r="CC118" s="252" t="n"/>
      <c r="CD118" s="256" t="n"/>
      <c r="CE118" s="55" t="n"/>
      <c r="CF118" s="253" t="n"/>
      <c r="CG118" s="252" t="n"/>
      <c r="CH118" s="257" t="n"/>
      <c r="CI118" s="55" t="n"/>
      <c r="CJ118" s="253" t="n"/>
      <c r="CK118" s="252" t="n"/>
      <c r="CL118" s="253" t="n"/>
      <c r="CM118" s="55" t="n"/>
      <c r="CN118" s="253" t="n"/>
      <c r="CO118" s="252" t="n"/>
      <c r="CP118" s="257" t="n"/>
      <c r="CQ118" s="55" t="n"/>
      <c r="CR118" s="253" t="n"/>
      <c r="CS118" s="252" t="n"/>
      <c r="CT118" s="253" t="n"/>
      <c r="CU118" s="55" t="n"/>
      <c r="CV118" s="253" t="n"/>
      <c r="CW118" s="252" t="n"/>
      <c r="CX118" s="253" t="n"/>
      <c r="CY118" s="254" t="n"/>
      <c r="CZ118" s="253" t="n"/>
      <c r="DA118" s="252" t="n"/>
      <c r="DB118" s="258" t="n"/>
      <c r="DC118" s="259" t="n"/>
      <c r="DD118" s="253" t="n"/>
      <c r="DE118" s="252" t="n"/>
      <c r="DF118" s="261" t="n"/>
      <c r="DG118" s="392" t="n"/>
      <c r="DH118" s="253" t="n"/>
      <c r="DI118" s="393" t="n"/>
      <c r="DJ118" s="393" t="n"/>
      <c r="DK118" s="252" t="n"/>
      <c r="DL118" s="253" t="n"/>
      <c r="DM118" s="254" t="n"/>
      <c r="DN118" s="253" t="n"/>
      <c r="DO118" s="252" t="n"/>
      <c r="DP118" s="253" t="n"/>
      <c r="DQ118" s="254" t="n"/>
      <c r="DR118" s="253" t="n"/>
      <c r="DS118" s="264" t="n"/>
      <c r="DT118" s="253" t="n"/>
      <c r="DU118" s="254" t="n"/>
      <c r="DV118" s="253" t="n"/>
      <c r="DW118" s="264" t="n"/>
      <c r="DX118" s="253" t="n"/>
      <c r="DY118" s="55" t="n"/>
      <c r="DZ118" s="255" t="n"/>
      <c r="EA118" s="252" t="n"/>
      <c r="EB118" s="256" t="n"/>
      <c r="EC118" s="254" t="n"/>
      <c r="ED118" s="253" t="n"/>
      <c r="EE118" s="252" t="n"/>
      <c r="EF118" s="257" t="n"/>
      <c r="EG118" s="55" t="n"/>
      <c r="EH118" s="253" t="n"/>
      <c r="EI118" s="252" t="n"/>
      <c r="EJ118" s="253" t="n"/>
      <c r="EK118" s="55" t="n"/>
      <c r="EL118" s="253" t="n"/>
      <c r="EM118" s="252" t="n"/>
      <c r="EN118" s="257" t="n"/>
      <c r="EO118" s="55" t="n"/>
      <c r="EP118" s="253" t="n"/>
      <c r="EQ118" s="252" t="n"/>
      <c r="ER118" s="253" t="n"/>
      <c r="ES118" s="55" t="n"/>
      <c r="ET118" s="253" t="n"/>
      <c r="EU118" s="252" t="n"/>
      <c r="EV118" s="253" t="n"/>
      <c r="EW118" s="254" t="n"/>
      <c r="EX118" s="253" t="n"/>
      <c r="EY118" s="252" t="n"/>
      <c r="EZ118" s="258" t="n"/>
      <c r="FA118" s="259" t="n"/>
      <c r="FB118" s="253" t="n"/>
      <c r="FC118" s="252" t="n"/>
      <c r="FD118" s="261" t="n"/>
      <c r="FE118" s="392" t="n"/>
      <c r="FF118" s="253" t="n"/>
      <c r="FG118" s="393" t="n"/>
      <c r="FH118" s="393" t="n"/>
      <c r="FI118" s="252" t="n"/>
      <c r="FJ118" s="253" t="n"/>
      <c r="FK118" s="254" t="n"/>
      <c r="FL118" s="253" t="n"/>
      <c r="FM118" s="252" t="n"/>
      <c r="FN118" s="253" t="n"/>
      <c r="FO118" s="254" t="n"/>
      <c r="FP118" s="253" t="n"/>
      <c r="FQ118" s="264" t="n"/>
      <c r="FR118" s="253" t="n"/>
      <c r="FS118" s="254" t="n"/>
      <c r="FT118" s="253" t="n"/>
      <c r="FU118" s="264" t="n"/>
      <c r="FV118" s="253" t="n"/>
      <c r="FW118" s="55" t="n"/>
      <c r="FX118" s="255" t="n"/>
      <c r="FY118" s="252" t="n"/>
      <c r="FZ118" s="256" t="n"/>
      <c r="GA118" s="254" t="n"/>
      <c r="GB118" s="253" t="n"/>
      <c r="GC118" s="252" t="n"/>
      <c r="GD118" s="257" t="n"/>
      <c r="GE118" s="55" t="n"/>
      <c r="GF118" s="253" t="n"/>
      <c r="GG118" s="252" t="n"/>
      <c r="GH118" s="253" t="n"/>
      <c r="GI118" s="55" t="n"/>
      <c r="GJ118" s="253" t="n"/>
      <c r="GK118" s="252" t="n"/>
      <c r="GL118" s="257" t="n"/>
      <c r="GM118" s="55" t="n"/>
      <c r="GN118" s="253" t="n"/>
      <c r="GO118" s="252" t="n"/>
      <c r="GP118" s="253" t="n"/>
      <c r="GQ118" s="55" t="n"/>
      <c r="GR118" s="253" t="n"/>
      <c r="GS118" s="252" t="n"/>
      <c r="GT118" s="253" t="n"/>
      <c r="GU118" s="254" t="n"/>
      <c r="GV118" s="253" t="n"/>
      <c r="GW118" s="252" t="n"/>
      <c r="GX118" s="258" t="n"/>
      <c r="GY118" s="259" t="n"/>
      <c r="GZ118" s="253" t="n"/>
      <c r="HA118" s="252" t="n"/>
      <c r="HB118" s="261" t="n"/>
      <c r="HC118" s="392" t="n"/>
      <c r="HD118" s="253" t="n"/>
      <c r="HE118" s="393" t="n"/>
      <c r="HF118" s="393" t="n"/>
      <c r="HG118" s="252" t="n"/>
      <c r="HH118" s="253" t="n"/>
      <c r="HI118" s="254" t="n"/>
      <c r="HJ118" s="253" t="n"/>
      <c r="HK118" s="252" t="n"/>
      <c r="HL118" s="253" t="n"/>
      <c r="HM118" s="254" t="n"/>
      <c r="HN118" s="253" t="n"/>
      <c r="HO118" s="264" t="n"/>
      <c r="HP118" s="253" t="n"/>
      <c r="HQ118" s="254" t="n"/>
      <c r="HR118" s="253" t="n"/>
      <c r="HS118" s="264" t="n"/>
      <c r="HT118" s="253" t="n"/>
      <c r="HU118" s="55" t="n"/>
      <c r="HV118" s="255" t="n"/>
      <c r="HW118" s="252" t="n"/>
      <c r="HX118" s="256" t="n"/>
      <c r="HY118" s="254" t="n"/>
      <c r="HZ118" s="253" t="n"/>
      <c r="IA118" s="252" t="n"/>
      <c r="IB118" s="257" t="n"/>
      <c r="IC118" s="55" t="n"/>
      <c r="ID118" s="253" t="n"/>
      <c r="IE118" s="252" t="n"/>
      <c r="IF118" s="253" t="n"/>
      <c r="IG118" s="55" t="n"/>
      <c r="IH118" s="253" t="n"/>
      <c r="II118" s="252" t="n"/>
      <c r="IJ118" s="257" t="n"/>
      <c r="IK118" s="55" t="n"/>
      <c r="IL118" s="253" t="n"/>
      <c r="IM118" s="252" t="n"/>
      <c r="IN118" s="253" t="n"/>
      <c r="IO118" s="55" t="n"/>
      <c r="IP118" s="253" t="n"/>
      <c r="IQ118" s="252" t="n"/>
      <c r="IR118" s="253" t="n"/>
      <c r="IS118" s="254" t="n"/>
      <c r="IT118" s="253" t="n"/>
      <c r="IU118" s="252" t="n"/>
      <c r="IV118" s="258" t="n"/>
      <c r="IW118" s="259" t="n"/>
      <c r="IX118" s="253" t="n"/>
      <c r="IY118" s="252" t="n"/>
      <c r="IZ118" s="261" t="n"/>
      <c r="JA118" s="392" t="n"/>
      <c r="JB118" s="253" t="n"/>
      <c r="JC118" s="393" t="n"/>
      <c r="JD118" s="393" t="n"/>
    </row>
    <row r="119">
      <c r="E119" s="248" t="n"/>
      <c r="F119" s="248" t="n"/>
      <c r="G119" s="249" t="n"/>
      <c r="H119" s="250" t="n"/>
      <c r="I119" s="251" t="n"/>
      <c r="J119" s="251" t="n"/>
      <c r="K119" s="251" t="n"/>
      <c r="L119" s="251" t="n"/>
      <c r="M119" s="251" t="n"/>
      <c r="N119" s="251" t="n"/>
      <c r="O119" s="252" t="n"/>
      <c r="P119" s="253" t="n"/>
      <c r="Q119" s="254" t="n"/>
      <c r="R119" s="253" t="n"/>
      <c r="S119" s="252" t="n"/>
      <c r="T119" s="253" t="n"/>
      <c r="U119" s="254" t="n"/>
      <c r="V119" s="253" t="n"/>
      <c r="W119" s="252" t="n"/>
      <c r="X119" s="253" t="n"/>
      <c r="Y119" s="254" t="n"/>
      <c r="Z119" s="253" t="n"/>
      <c r="AA119" s="252" t="n"/>
      <c r="AB119" s="253" t="n"/>
      <c r="AC119" s="55" t="n"/>
      <c r="AD119" s="255" t="n"/>
      <c r="AE119" s="252" t="n"/>
      <c r="AF119" s="256" t="n"/>
      <c r="AG119" s="254" t="n"/>
      <c r="AH119" s="253" t="n"/>
      <c r="AI119" s="252" t="n"/>
      <c r="AJ119" s="257" t="n"/>
      <c r="AK119" s="55" t="n"/>
      <c r="AL119" s="253" t="n"/>
      <c r="AM119" s="252" t="n"/>
      <c r="AN119" s="253" t="n"/>
      <c r="AO119" s="55" t="n"/>
      <c r="AP119" s="253" t="n"/>
      <c r="AQ119" s="252" t="n"/>
      <c r="AR119" s="257" t="n"/>
      <c r="AS119" s="55" t="n"/>
      <c r="AT119" s="253" t="n"/>
      <c r="AU119" s="252" t="n"/>
      <c r="AV119" s="253" t="n"/>
      <c r="AW119" s="55" t="n"/>
      <c r="AX119" s="253" t="n"/>
      <c r="AY119" s="252" t="n"/>
      <c r="AZ119" s="253" t="n"/>
      <c r="BA119" s="254" t="n"/>
      <c r="BB119" s="255" t="n"/>
      <c r="BC119" s="252" t="n"/>
      <c r="BD119" s="258" t="n"/>
      <c r="BE119" s="259" t="n"/>
      <c r="BF119" s="255" t="n"/>
      <c r="BG119" s="260" t="n"/>
      <c r="BH119" s="261" t="n"/>
      <c r="BI119" s="392" t="n"/>
      <c r="BJ119" s="255" t="n"/>
      <c r="BK119" s="393" t="n"/>
      <c r="BL119" s="393" t="n"/>
      <c r="BM119" s="252" t="n"/>
      <c r="BN119" s="253" t="n"/>
      <c r="BO119" s="254" t="n"/>
      <c r="BP119" s="253" t="n"/>
      <c r="BQ119" s="252" t="n"/>
      <c r="BR119" s="253" t="n"/>
      <c r="BS119" s="254" t="n"/>
      <c r="BT119" s="253" t="n"/>
      <c r="BU119" s="264" t="n"/>
      <c r="BV119" s="253" t="n"/>
      <c r="BW119" s="254" t="n"/>
      <c r="BX119" s="253" t="n"/>
      <c r="BY119" s="264" t="n"/>
      <c r="BZ119" s="253" t="n"/>
      <c r="CA119" s="55" t="n"/>
      <c r="CB119" s="255" t="n"/>
      <c r="CC119" s="252" t="n"/>
      <c r="CD119" s="256" t="n"/>
      <c r="CE119" s="55" t="n"/>
      <c r="CF119" s="253" t="n"/>
      <c r="CG119" s="252" t="n"/>
      <c r="CH119" s="257" t="n"/>
      <c r="CI119" s="55" t="n"/>
      <c r="CJ119" s="253" t="n"/>
      <c r="CK119" s="252" t="n"/>
      <c r="CL119" s="253" t="n"/>
      <c r="CM119" s="55" t="n"/>
      <c r="CN119" s="253" t="n"/>
      <c r="CO119" s="252" t="n"/>
      <c r="CP119" s="257" t="n"/>
      <c r="CQ119" s="55" t="n"/>
      <c r="CR119" s="253" t="n"/>
      <c r="CS119" s="252" t="n"/>
      <c r="CT119" s="253" t="n"/>
      <c r="CU119" s="55" t="n"/>
      <c r="CV119" s="253" t="n"/>
      <c r="CW119" s="252" t="n"/>
      <c r="CX119" s="253" t="n"/>
      <c r="CY119" s="254" t="n"/>
      <c r="CZ119" s="253" t="n"/>
      <c r="DA119" s="252" t="n"/>
      <c r="DB119" s="258" t="n"/>
      <c r="DC119" s="259" t="n"/>
      <c r="DD119" s="253" t="n"/>
      <c r="DE119" s="252" t="n"/>
      <c r="DF119" s="261" t="n"/>
      <c r="DG119" s="392" t="n"/>
      <c r="DH119" s="253" t="n"/>
      <c r="DI119" s="393" t="n"/>
      <c r="DJ119" s="393" t="n"/>
      <c r="DK119" s="252" t="n"/>
      <c r="DL119" s="253" t="n"/>
      <c r="DM119" s="254" t="n"/>
      <c r="DN119" s="253" t="n"/>
      <c r="DO119" s="252" t="n"/>
      <c r="DP119" s="253" t="n"/>
      <c r="DQ119" s="254" t="n"/>
      <c r="DR119" s="253" t="n"/>
      <c r="DS119" s="264" t="n"/>
      <c r="DT119" s="253" t="n"/>
      <c r="DU119" s="254" t="n"/>
      <c r="DV119" s="253" t="n"/>
      <c r="DW119" s="264" t="n"/>
      <c r="DX119" s="253" t="n"/>
      <c r="DY119" s="55" t="n"/>
      <c r="DZ119" s="255" t="n"/>
      <c r="EA119" s="252" t="n"/>
      <c r="EB119" s="256" t="n"/>
      <c r="EC119" s="254" t="n"/>
      <c r="ED119" s="253" t="n"/>
      <c r="EE119" s="252" t="n"/>
      <c r="EF119" s="257" t="n"/>
      <c r="EG119" s="55" t="n"/>
      <c r="EH119" s="253" t="n"/>
      <c r="EI119" s="252" t="n"/>
      <c r="EJ119" s="253" t="n"/>
      <c r="EK119" s="55" t="n"/>
      <c r="EL119" s="253" t="n"/>
      <c r="EM119" s="252" t="n"/>
      <c r="EN119" s="257" t="n"/>
      <c r="EO119" s="55" t="n"/>
      <c r="EP119" s="253" t="n"/>
      <c r="EQ119" s="252" t="n"/>
      <c r="ER119" s="253" t="n"/>
      <c r="ES119" s="55" t="n"/>
      <c r="ET119" s="253" t="n"/>
      <c r="EU119" s="252" t="n"/>
      <c r="EV119" s="253" t="n"/>
      <c r="EW119" s="254" t="n"/>
      <c r="EX119" s="253" t="n"/>
      <c r="EY119" s="252" t="n"/>
      <c r="EZ119" s="258" t="n"/>
      <c r="FA119" s="259" t="n"/>
      <c r="FB119" s="253" t="n"/>
      <c r="FC119" s="252" t="n"/>
      <c r="FD119" s="261" t="n"/>
      <c r="FE119" s="392" t="n"/>
      <c r="FF119" s="253" t="n"/>
      <c r="FG119" s="393" t="n"/>
      <c r="FH119" s="393" t="n"/>
      <c r="FI119" s="252" t="n"/>
      <c r="FJ119" s="253" t="n"/>
      <c r="FK119" s="254" t="n"/>
      <c r="FL119" s="253" t="n"/>
      <c r="FM119" s="252" t="n"/>
      <c r="FN119" s="253" t="n"/>
      <c r="FO119" s="254" t="n"/>
      <c r="FP119" s="253" t="n"/>
      <c r="FQ119" s="264" t="n"/>
      <c r="FR119" s="253" t="n"/>
      <c r="FS119" s="254" t="n"/>
      <c r="FT119" s="253" t="n"/>
      <c r="FU119" s="264" t="n"/>
      <c r="FV119" s="253" t="n"/>
      <c r="FW119" s="55" t="n"/>
      <c r="FX119" s="255" t="n"/>
      <c r="FY119" s="252" t="n"/>
      <c r="FZ119" s="256" t="n"/>
      <c r="GA119" s="254" t="n"/>
      <c r="GB119" s="253" t="n"/>
      <c r="GC119" s="252" t="n"/>
      <c r="GD119" s="257" t="n"/>
      <c r="GE119" s="55" t="n"/>
      <c r="GF119" s="253" t="n"/>
      <c r="GG119" s="252" t="n"/>
      <c r="GH119" s="253" t="n"/>
      <c r="GI119" s="55" t="n"/>
      <c r="GJ119" s="253" t="n"/>
      <c r="GK119" s="252" t="n"/>
      <c r="GL119" s="257" t="n"/>
      <c r="GM119" s="55" t="n"/>
      <c r="GN119" s="253" t="n"/>
      <c r="GO119" s="252" t="n"/>
      <c r="GP119" s="253" t="n"/>
      <c r="GQ119" s="55" t="n"/>
      <c r="GR119" s="253" t="n"/>
      <c r="GS119" s="252" t="n"/>
      <c r="GT119" s="253" t="n"/>
      <c r="GU119" s="254" t="n"/>
      <c r="GV119" s="253" t="n"/>
      <c r="GW119" s="252" t="n"/>
      <c r="GX119" s="258" t="n"/>
      <c r="GY119" s="259" t="n"/>
      <c r="GZ119" s="253" t="n"/>
      <c r="HA119" s="252" t="n"/>
      <c r="HB119" s="261" t="n"/>
      <c r="HC119" s="392" t="n"/>
      <c r="HD119" s="253" t="n"/>
      <c r="HE119" s="393" t="n"/>
      <c r="HF119" s="393" t="n"/>
      <c r="HG119" s="252" t="n"/>
      <c r="HH119" s="253" t="n"/>
      <c r="HI119" s="254" t="n"/>
      <c r="HJ119" s="253" t="n"/>
      <c r="HK119" s="252" t="n"/>
      <c r="HL119" s="253" t="n"/>
      <c r="HM119" s="254" t="n"/>
      <c r="HN119" s="253" t="n"/>
      <c r="HO119" s="264" t="n"/>
      <c r="HP119" s="253" t="n"/>
      <c r="HQ119" s="254" t="n"/>
      <c r="HR119" s="253" t="n"/>
      <c r="HS119" s="264" t="n"/>
      <c r="HT119" s="253" t="n"/>
      <c r="HU119" s="55" t="n"/>
      <c r="HV119" s="255" t="n"/>
      <c r="HW119" s="252" t="n"/>
      <c r="HX119" s="256" t="n"/>
      <c r="HY119" s="254" t="n"/>
      <c r="HZ119" s="253" t="n"/>
      <c r="IA119" s="252" t="n"/>
      <c r="IB119" s="257" t="n"/>
      <c r="IC119" s="55" t="n"/>
      <c r="ID119" s="253" t="n"/>
      <c r="IE119" s="252" t="n"/>
      <c r="IF119" s="253" t="n"/>
      <c r="IG119" s="55" t="n"/>
      <c r="IH119" s="253" t="n"/>
      <c r="II119" s="252" t="n"/>
      <c r="IJ119" s="257" t="n"/>
      <c r="IK119" s="55" t="n"/>
      <c r="IL119" s="253" t="n"/>
      <c r="IM119" s="252" t="n"/>
      <c r="IN119" s="253" t="n"/>
      <c r="IO119" s="55" t="n"/>
      <c r="IP119" s="253" t="n"/>
      <c r="IQ119" s="252" t="n"/>
      <c r="IR119" s="253" t="n"/>
      <c r="IS119" s="254" t="n"/>
      <c r="IT119" s="253" t="n"/>
      <c r="IU119" s="252" t="n"/>
      <c r="IV119" s="258" t="n"/>
      <c r="IW119" s="259" t="n"/>
      <c r="IX119" s="253" t="n"/>
      <c r="IY119" s="252" t="n"/>
      <c r="IZ119" s="261" t="n"/>
      <c r="JA119" s="392" t="n"/>
      <c r="JB119" s="253" t="n"/>
      <c r="JC119" s="393" t="n"/>
      <c r="JD119" s="393" t="n"/>
    </row>
    <row r="120">
      <c r="E120" s="248" t="n"/>
      <c r="F120" s="248" t="n"/>
      <c r="G120" s="249" t="n"/>
      <c r="H120" s="250" t="n"/>
      <c r="I120" s="251" t="n"/>
      <c r="J120" s="251" t="n"/>
      <c r="K120" s="251" t="n"/>
      <c r="L120" s="251" t="n"/>
      <c r="M120" s="251" t="n"/>
      <c r="N120" s="251" t="n"/>
      <c r="O120" s="252" t="n"/>
      <c r="P120" s="253" t="n"/>
      <c r="Q120" s="254" t="n"/>
      <c r="R120" s="253" t="n"/>
      <c r="S120" s="252" t="n"/>
      <c r="T120" s="253" t="n"/>
      <c r="U120" s="254" t="n"/>
      <c r="V120" s="253" t="n"/>
      <c r="W120" s="252" t="n"/>
      <c r="X120" s="253" t="n"/>
      <c r="Y120" s="254" t="n"/>
      <c r="Z120" s="253" t="n"/>
      <c r="AA120" s="252" t="n"/>
      <c r="AB120" s="253" t="n"/>
      <c r="AC120" s="55" t="n"/>
      <c r="AD120" s="255" t="n"/>
      <c r="AE120" s="252" t="n"/>
      <c r="AF120" s="256" t="n"/>
      <c r="AG120" s="254" t="n"/>
      <c r="AH120" s="253" t="n"/>
      <c r="AI120" s="252" t="n"/>
      <c r="AJ120" s="257" t="n"/>
      <c r="AK120" s="55" t="n"/>
      <c r="AL120" s="253" t="n"/>
      <c r="AM120" s="252" t="n"/>
      <c r="AN120" s="253" t="n"/>
      <c r="AO120" s="55" t="n"/>
      <c r="AP120" s="253" t="n"/>
      <c r="AQ120" s="252" t="n"/>
      <c r="AR120" s="257" t="n"/>
      <c r="AS120" s="55" t="n"/>
      <c r="AT120" s="253" t="n"/>
      <c r="AU120" s="252" t="n"/>
      <c r="AV120" s="253" t="n"/>
      <c r="AW120" s="55" t="n"/>
      <c r="AX120" s="253" t="n"/>
      <c r="AY120" s="252" t="n"/>
      <c r="AZ120" s="253" t="n"/>
      <c r="BA120" s="254" t="n"/>
      <c r="BB120" s="255" t="n"/>
      <c r="BC120" s="252" t="n"/>
      <c r="BD120" s="258" t="n"/>
      <c r="BE120" s="259" t="n"/>
      <c r="BF120" s="255" t="n"/>
      <c r="BG120" s="260" t="n"/>
      <c r="BH120" s="261" t="n"/>
      <c r="BI120" s="392" t="n"/>
      <c r="BJ120" s="255" t="n"/>
      <c r="BK120" s="393" t="n"/>
      <c r="BL120" s="393" t="n"/>
      <c r="BM120" s="252" t="n"/>
      <c r="BN120" s="253" t="n"/>
      <c r="BO120" s="254" t="n"/>
      <c r="BP120" s="253" t="n"/>
      <c r="BQ120" s="252" t="n"/>
      <c r="BR120" s="253" t="n"/>
      <c r="BS120" s="254" t="n"/>
      <c r="BT120" s="253" t="n"/>
      <c r="BU120" s="264" t="n"/>
      <c r="BV120" s="253" t="n"/>
      <c r="BW120" s="254" t="n"/>
      <c r="BX120" s="253" t="n"/>
      <c r="BY120" s="264" t="n"/>
      <c r="BZ120" s="253" t="n"/>
      <c r="CA120" s="55" t="n"/>
      <c r="CB120" s="255" t="n"/>
      <c r="CC120" s="252" t="n"/>
      <c r="CD120" s="256" t="n"/>
      <c r="CE120" s="55" t="n"/>
      <c r="CF120" s="253" t="n"/>
      <c r="CG120" s="252" t="n"/>
      <c r="CH120" s="257" t="n"/>
      <c r="CI120" s="55" t="n"/>
      <c r="CJ120" s="253" t="n"/>
      <c r="CK120" s="252" t="n"/>
      <c r="CL120" s="253" t="n"/>
      <c r="CM120" s="55" t="n"/>
      <c r="CN120" s="253" t="n"/>
      <c r="CO120" s="252" t="n"/>
      <c r="CP120" s="257" t="n"/>
      <c r="CQ120" s="55" t="n"/>
      <c r="CR120" s="253" t="n"/>
      <c r="CS120" s="252" t="n"/>
      <c r="CT120" s="253" t="n"/>
      <c r="CU120" s="55" t="n"/>
      <c r="CV120" s="253" t="n"/>
      <c r="CW120" s="252" t="n"/>
      <c r="CX120" s="253" t="n"/>
      <c r="CY120" s="254" t="n"/>
      <c r="CZ120" s="253" t="n"/>
      <c r="DA120" s="252" t="n"/>
      <c r="DB120" s="258" t="n"/>
      <c r="DC120" s="259" t="n"/>
      <c r="DD120" s="253" t="n"/>
      <c r="DE120" s="252" t="n"/>
      <c r="DF120" s="261" t="n"/>
      <c r="DG120" s="392" t="n"/>
      <c r="DH120" s="253" t="n"/>
      <c r="DI120" s="393" t="n"/>
      <c r="DJ120" s="393" t="n"/>
      <c r="DK120" s="252" t="n"/>
      <c r="DL120" s="253" t="n"/>
      <c r="DM120" s="254" t="n"/>
      <c r="DN120" s="253" t="n"/>
      <c r="DO120" s="252" t="n"/>
      <c r="DP120" s="253" t="n"/>
      <c r="DQ120" s="254" t="n"/>
      <c r="DR120" s="253" t="n"/>
      <c r="DS120" s="264" t="n"/>
      <c r="DT120" s="253" t="n"/>
      <c r="DU120" s="254" t="n"/>
      <c r="DV120" s="253" t="n"/>
      <c r="DW120" s="264" t="n"/>
      <c r="DX120" s="253" t="n"/>
      <c r="DY120" s="55" t="n"/>
      <c r="DZ120" s="255" t="n"/>
      <c r="EA120" s="252" t="n"/>
      <c r="EB120" s="256" t="n"/>
      <c r="EC120" s="254" t="n"/>
      <c r="ED120" s="253" t="n"/>
      <c r="EE120" s="252" t="n"/>
      <c r="EF120" s="257" t="n"/>
      <c r="EG120" s="55" t="n"/>
      <c r="EH120" s="253" t="n"/>
      <c r="EI120" s="252" t="n"/>
      <c r="EJ120" s="253" t="n"/>
      <c r="EK120" s="55" t="n"/>
      <c r="EL120" s="253" t="n"/>
      <c r="EM120" s="252" t="n"/>
      <c r="EN120" s="257" t="n"/>
      <c r="EO120" s="55" t="n"/>
      <c r="EP120" s="253" t="n"/>
      <c r="EQ120" s="252" t="n"/>
      <c r="ER120" s="253" t="n"/>
      <c r="ES120" s="55" t="n"/>
      <c r="ET120" s="253" t="n"/>
      <c r="EU120" s="252" t="n"/>
      <c r="EV120" s="253" t="n"/>
      <c r="EW120" s="254" t="n"/>
      <c r="EX120" s="253" t="n"/>
      <c r="EY120" s="252" t="n"/>
      <c r="EZ120" s="258" t="n"/>
      <c r="FA120" s="259" t="n"/>
      <c r="FB120" s="253" t="n"/>
      <c r="FC120" s="252" t="n"/>
      <c r="FD120" s="261" t="n"/>
      <c r="FE120" s="392" t="n"/>
      <c r="FF120" s="253" t="n"/>
      <c r="FG120" s="393" t="n"/>
      <c r="FH120" s="393" t="n"/>
      <c r="FI120" s="252" t="n"/>
      <c r="FJ120" s="253" t="n"/>
      <c r="FK120" s="254" t="n"/>
      <c r="FL120" s="253" t="n"/>
      <c r="FM120" s="252" t="n"/>
      <c r="FN120" s="253" t="n"/>
      <c r="FO120" s="254" t="n"/>
      <c r="FP120" s="253" t="n"/>
      <c r="FQ120" s="264" t="n"/>
      <c r="FR120" s="253" t="n"/>
      <c r="FS120" s="254" t="n"/>
      <c r="FT120" s="253" t="n"/>
      <c r="FU120" s="264" t="n"/>
      <c r="FV120" s="253" t="n"/>
      <c r="FW120" s="55" t="n"/>
      <c r="FX120" s="255" t="n"/>
      <c r="FY120" s="252" t="n"/>
      <c r="FZ120" s="256" t="n"/>
      <c r="GA120" s="254" t="n"/>
      <c r="GB120" s="253" t="n"/>
      <c r="GC120" s="252" t="n"/>
      <c r="GD120" s="257" t="n"/>
      <c r="GE120" s="55" t="n"/>
      <c r="GF120" s="253" t="n"/>
      <c r="GG120" s="252" t="n"/>
      <c r="GH120" s="253" t="n"/>
      <c r="GI120" s="55" t="n"/>
      <c r="GJ120" s="253" t="n"/>
      <c r="GK120" s="252" t="n"/>
      <c r="GL120" s="257" t="n"/>
      <c r="GM120" s="55" t="n"/>
      <c r="GN120" s="253" t="n"/>
      <c r="GO120" s="252" t="n"/>
      <c r="GP120" s="253" t="n"/>
      <c r="GQ120" s="55" t="n"/>
      <c r="GR120" s="253" t="n"/>
      <c r="GS120" s="252" t="n"/>
      <c r="GT120" s="253" t="n"/>
      <c r="GU120" s="254" t="n"/>
      <c r="GV120" s="253" t="n"/>
      <c r="GW120" s="252" t="n"/>
      <c r="GX120" s="258" t="n"/>
      <c r="GY120" s="259" t="n"/>
      <c r="GZ120" s="253" t="n"/>
      <c r="HA120" s="252" t="n"/>
      <c r="HB120" s="261" t="n"/>
      <c r="HC120" s="392" t="n"/>
      <c r="HD120" s="253" t="n"/>
      <c r="HE120" s="393" t="n"/>
      <c r="HF120" s="393" t="n"/>
      <c r="HG120" s="252" t="n"/>
      <c r="HH120" s="253" t="n"/>
      <c r="HI120" s="254" t="n"/>
      <c r="HJ120" s="253" t="n"/>
      <c r="HK120" s="252" t="n"/>
      <c r="HL120" s="253" t="n"/>
      <c r="HM120" s="254" t="n"/>
      <c r="HN120" s="253" t="n"/>
      <c r="HO120" s="264" t="n"/>
      <c r="HP120" s="253" t="n"/>
      <c r="HQ120" s="254" t="n"/>
      <c r="HR120" s="253" t="n"/>
      <c r="HS120" s="264" t="n"/>
      <c r="HT120" s="253" t="n"/>
      <c r="HU120" s="55" t="n"/>
      <c r="HV120" s="255" t="n"/>
      <c r="HW120" s="252" t="n"/>
      <c r="HX120" s="256" t="n"/>
      <c r="HY120" s="254" t="n"/>
      <c r="HZ120" s="253" t="n"/>
      <c r="IA120" s="252" t="n"/>
      <c r="IB120" s="257" t="n"/>
      <c r="IC120" s="55" t="n"/>
      <c r="ID120" s="253" t="n"/>
      <c r="IE120" s="252" t="n"/>
      <c r="IF120" s="253" t="n"/>
      <c r="IG120" s="55" t="n"/>
      <c r="IH120" s="253" t="n"/>
      <c r="II120" s="252" t="n"/>
      <c r="IJ120" s="257" t="n"/>
      <c r="IK120" s="55" t="n"/>
      <c r="IL120" s="253" t="n"/>
      <c r="IM120" s="252" t="n"/>
      <c r="IN120" s="253" t="n"/>
      <c r="IO120" s="55" t="n"/>
      <c r="IP120" s="253" t="n"/>
      <c r="IQ120" s="252" t="n"/>
      <c r="IR120" s="253" t="n"/>
      <c r="IS120" s="254" t="n"/>
      <c r="IT120" s="253" t="n"/>
      <c r="IU120" s="252" t="n"/>
      <c r="IV120" s="258" t="n"/>
      <c r="IW120" s="259" t="n"/>
      <c r="IX120" s="253" t="n"/>
      <c r="IY120" s="252" t="n"/>
      <c r="IZ120" s="261" t="n"/>
      <c r="JA120" s="392" t="n"/>
      <c r="JB120" s="253" t="n"/>
      <c r="JC120" s="393" t="n"/>
      <c r="JD120" s="393" t="n"/>
    </row>
    <row r="121">
      <c r="E121" s="248" t="n"/>
      <c r="F121" s="248" t="n"/>
      <c r="G121" s="249" t="n"/>
      <c r="H121" s="250" t="n"/>
      <c r="I121" s="251" t="n"/>
      <c r="J121" s="251" t="n"/>
      <c r="K121" s="251" t="n"/>
      <c r="L121" s="251" t="n"/>
      <c r="M121" s="251" t="n"/>
      <c r="N121" s="251" t="n"/>
      <c r="O121" s="252" t="n"/>
      <c r="P121" s="253" t="n"/>
      <c r="Q121" s="254" t="n"/>
      <c r="R121" s="253" t="n"/>
      <c r="S121" s="252" t="n"/>
      <c r="T121" s="253" t="n"/>
      <c r="U121" s="254" t="n"/>
      <c r="V121" s="253" t="n"/>
      <c r="W121" s="252" t="n"/>
      <c r="X121" s="253" t="n"/>
      <c r="Y121" s="254" t="n"/>
      <c r="Z121" s="253" t="n"/>
      <c r="AA121" s="252" t="n"/>
      <c r="AB121" s="253" t="n"/>
      <c r="AC121" s="55" t="n"/>
      <c r="AD121" s="255" t="n"/>
      <c r="AE121" s="252" t="n"/>
      <c r="AF121" s="256" t="n"/>
      <c r="AG121" s="254" t="n"/>
      <c r="AH121" s="253" t="n"/>
      <c r="AI121" s="252" t="n"/>
      <c r="AJ121" s="257" t="n"/>
      <c r="AK121" s="55" t="n"/>
      <c r="AL121" s="253" t="n"/>
      <c r="AM121" s="252" t="n"/>
      <c r="AN121" s="253" t="n"/>
      <c r="AO121" s="55" t="n"/>
      <c r="AP121" s="253" t="n"/>
      <c r="AQ121" s="252" t="n"/>
      <c r="AR121" s="257" t="n"/>
      <c r="AS121" s="55" t="n"/>
      <c r="AT121" s="253" t="n"/>
      <c r="AU121" s="252" t="n"/>
      <c r="AV121" s="253" t="n"/>
      <c r="AW121" s="55" t="n"/>
      <c r="AX121" s="253" t="n"/>
      <c r="AY121" s="252" t="n"/>
      <c r="AZ121" s="253" t="n"/>
      <c r="BA121" s="254" t="n"/>
      <c r="BB121" s="255" t="n"/>
      <c r="BC121" s="252" t="n"/>
      <c r="BD121" s="258" t="n"/>
      <c r="BE121" s="259" t="n"/>
      <c r="BF121" s="255" t="n"/>
      <c r="BG121" s="260" t="n"/>
      <c r="BH121" s="261" t="n"/>
      <c r="BI121" s="392" t="n"/>
      <c r="BJ121" s="255" t="n"/>
      <c r="BK121" s="393" t="n"/>
      <c r="BL121" s="393" t="n"/>
      <c r="BM121" s="252" t="n"/>
      <c r="BN121" s="253" t="n"/>
      <c r="BO121" s="254" t="n"/>
      <c r="BP121" s="253" t="n"/>
      <c r="BQ121" s="252" t="n"/>
      <c r="BR121" s="253" t="n"/>
      <c r="BS121" s="254" t="n"/>
      <c r="BT121" s="253" t="n"/>
      <c r="BU121" s="264" t="n"/>
      <c r="BV121" s="253" t="n"/>
      <c r="BW121" s="254" t="n"/>
      <c r="BX121" s="253" t="n"/>
      <c r="BY121" s="264" t="n"/>
      <c r="BZ121" s="253" t="n"/>
      <c r="CA121" s="55" t="n"/>
      <c r="CB121" s="255" t="n"/>
      <c r="CC121" s="252" t="n"/>
      <c r="CD121" s="256" t="n"/>
      <c r="CE121" s="55" t="n"/>
      <c r="CF121" s="253" t="n"/>
      <c r="CG121" s="252" t="n"/>
      <c r="CH121" s="257" t="n"/>
      <c r="CI121" s="55" t="n"/>
      <c r="CJ121" s="253" t="n"/>
      <c r="CK121" s="252" t="n"/>
      <c r="CL121" s="253" t="n"/>
      <c r="CM121" s="55" t="n"/>
      <c r="CN121" s="253" t="n"/>
      <c r="CO121" s="252" t="n"/>
      <c r="CP121" s="257" t="n"/>
      <c r="CQ121" s="55" t="n"/>
      <c r="CR121" s="253" t="n"/>
      <c r="CS121" s="252" t="n"/>
      <c r="CT121" s="253" t="n"/>
      <c r="CU121" s="55" t="n"/>
      <c r="CV121" s="253" t="n"/>
      <c r="CW121" s="252" t="n"/>
      <c r="CX121" s="253" t="n"/>
      <c r="CY121" s="254" t="n"/>
      <c r="CZ121" s="253" t="n"/>
      <c r="DA121" s="252" t="n"/>
      <c r="DB121" s="258" t="n"/>
      <c r="DC121" s="259" t="n"/>
      <c r="DD121" s="253" t="n"/>
      <c r="DE121" s="252" t="n"/>
      <c r="DF121" s="261" t="n"/>
      <c r="DG121" s="392" t="n"/>
      <c r="DH121" s="253" t="n"/>
      <c r="DI121" s="393" t="n"/>
      <c r="DJ121" s="393" t="n"/>
      <c r="DK121" s="252" t="n"/>
      <c r="DL121" s="253" t="n"/>
      <c r="DM121" s="254" t="n"/>
      <c r="DN121" s="253" t="n"/>
      <c r="DO121" s="252" t="n"/>
      <c r="DP121" s="253" t="n"/>
      <c r="DQ121" s="254" t="n"/>
      <c r="DR121" s="253" t="n"/>
      <c r="DS121" s="264" t="n"/>
      <c r="DT121" s="253" t="n"/>
      <c r="DU121" s="254" t="n"/>
      <c r="DV121" s="253" t="n"/>
      <c r="DW121" s="264" t="n"/>
      <c r="DX121" s="253" t="n"/>
      <c r="DY121" s="55" t="n"/>
      <c r="DZ121" s="255" t="n"/>
      <c r="EA121" s="252" t="n"/>
      <c r="EB121" s="256" t="n"/>
      <c r="EC121" s="254" t="n"/>
      <c r="ED121" s="253" t="n"/>
      <c r="EE121" s="252" t="n"/>
      <c r="EF121" s="257" t="n"/>
      <c r="EG121" s="55" t="n"/>
      <c r="EH121" s="253" t="n"/>
      <c r="EI121" s="252" t="n"/>
      <c r="EJ121" s="253" t="n"/>
      <c r="EK121" s="55" t="n"/>
      <c r="EL121" s="253" t="n"/>
      <c r="EM121" s="252" t="n"/>
      <c r="EN121" s="257" t="n"/>
      <c r="EO121" s="55" t="n"/>
      <c r="EP121" s="253" t="n"/>
      <c r="EQ121" s="252" t="n"/>
      <c r="ER121" s="253" t="n"/>
      <c r="ES121" s="55" t="n"/>
      <c r="ET121" s="253" t="n"/>
      <c r="EU121" s="252" t="n"/>
      <c r="EV121" s="253" t="n"/>
      <c r="EW121" s="254" t="n"/>
      <c r="EX121" s="253" t="n"/>
      <c r="EY121" s="252" t="n"/>
      <c r="EZ121" s="258" t="n"/>
      <c r="FA121" s="259" t="n"/>
      <c r="FB121" s="253" t="n"/>
      <c r="FC121" s="252" t="n"/>
      <c r="FD121" s="261" t="n"/>
      <c r="FE121" s="392" t="n"/>
      <c r="FF121" s="253" t="n"/>
      <c r="FG121" s="393" t="n"/>
      <c r="FH121" s="393" t="n"/>
      <c r="FI121" s="252" t="n"/>
      <c r="FJ121" s="253" t="n"/>
      <c r="FK121" s="254" t="n"/>
      <c r="FL121" s="253" t="n"/>
      <c r="FM121" s="252" t="n"/>
      <c r="FN121" s="253" t="n"/>
      <c r="FO121" s="254" t="n"/>
      <c r="FP121" s="253" t="n"/>
      <c r="FQ121" s="264" t="n"/>
      <c r="FR121" s="253" t="n"/>
      <c r="FS121" s="254" t="n"/>
      <c r="FT121" s="253" t="n"/>
      <c r="FU121" s="264" t="n"/>
      <c r="FV121" s="253" t="n"/>
      <c r="FW121" s="55" t="n"/>
      <c r="FX121" s="255" t="n"/>
      <c r="FY121" s="252" t="n"/>
      <c r="FZ121" s="256" t="n"/>
      <c r="GA121" s="254" t="n"/>
      <c r="GB121" s="253" t="n"/>
      <c r="GC121" s="252" t="n"/>
      <c r="GD121" s="257" t="n"/>
      <c r="GE121" s="55" t="n"/>
      <c r="GF121" s="253" t="n"/>
      <c r="GG121" s="252" t="n"/>
      <c r="GH121" s="253" t="n"/>
      <c r="GI121" s="55" t="n"/>
      <c r="GJ121" s="253" t="n"/>
      <c r="GK121" s="252" t="n"/>
      <c r="GL121" s="257" t="n"/>
      <c r="GM121" s="55" t="n"/>
      <c r="GN121" s="253" t="n"/>
      <c r="GO121" s="252" t="n"/>
      <c r="GP121" s="253" t="n"/>
      <c r="GQ121" s="55" t="n"/>
      <c r="GR121" s="253" t="n"/>
      <c r="GS121" s="252" t="n"/>
      <c r="GT121" s="253" t="n"/>
      <c r="GU121" s="254" t="n"/>
      <c r="GV121" s="253" t="n"/>
      <c r="GW121" s="252" t="n"/>
      <c r="GX121" s="258" t="n"/>
      <c r="GY121" s="259" t="n"/>
      <c r="GZ121" s="253" t="n"/>
      <c r="HA121" s="252" t="n"/>
      <c r="HB121" s="261" t="n"/>
      <c r="HC121" s="392" t="n"/>
      <c r="HD121" s="253" t="n"/>
      <c r="HE121" s="393" t="n"/>
      <c r="HF121" s="393" t="n"/>
      <c r="HG121" s="252" t="n"/>
      <c r="HH121" s="253" t="n"/>
      <c r="HI121" s="254" t="n"/>
      <c r="HJ121" s="253" t="n"/>
      <c r="HK121" s="252" t="n"/>
      <c r="HL121" s="253" t="n"/>
      <c r="HM121" s="254" t="n"/>
      <c r="HN121" s="253" t="n"/>
      <c r="HO121" s="264" t="n"/>
      <c r="HP121" s="253" t="n"/>
      <c r="HQ121" s="254" t="n"/>
      <c r="HR121" s="253" t="n"/>
      <c r="HS121" s="264" t="n"/>
      <c r="HT121" s="253" t="n"/>
      <c r="HU121" s="55" t="n"/>
      <c r="HV121" s="255" t="n"/>
      <c r="HW121" s="252" t="n"/>
      <c r="HX121" s="256" t="n"/>
      <c r="HY121" s="254" t="n"/>
      <c r="HZ121" s="253" t="n"/>
      <c r="IA121" s="252" t="n"/>
      <c r="IB121" s="257" t="n"/>
      <c r="IC121" s="55" t="n"/>
      <c r="ID121" s="253" t="n"/>
      <c r="IE121" s="252" t="n"/>
      <c r="IF121" s="253" t="n"/>
      <c r="IG121" s="55" t="n"/>
      <c r="IH121" s="253" t="n"/>
      <c r="II121" s="252" t="n"/>
      <c r="IJ121" s="257" t="n"/>
      <c r="IK121" s="55" t="n"/>
      <c r="IL121" s="253" t="n"/>
      <c r="IM121" s="252" t="n"/>
      <c r="IN121" s="253" t="n"/>
      <c r="IO121" s="55" t="n"/>
      <c r="IP121" s="253" t="n"/>
      <c r="IQ121" s="252" t="n"/>
      <c r="IR121" s="253" t="n"/>
      <c r="IS121" s="254" t="n"/>
      <c r="IT121" s="253" t="n"/>
      <c r="IU121" s="252" t="n"/>
      <c r="IV121" s="258" t="n"/>
      <c r="IW121" s="259" t="n"/>
      <c r="IX121" s="253" t="n"/>
      <c r="IY121" s="252" t="n"/>
      <c r="IZ121" s="261" t="n"/>
      <c r="JA121" s="392" t="n"/>
      <c r="JB121" s="253" t="n"/>
      <c r="JC121" s="393" t="n"/>
      <c r="JD121" s="393" t="n"/>
    </row>
    <row r="122">
      <c r="E122" s="248" t="n"/>
      <c r="F122" s="248" t="n"/>
      <c r="G122" s="249" t="n"/>
      <c r="H122" s="250" t="n"/>
      <c r="I122" s="251" t="n"/>
      <c r="J122" s="251" t="n"/>
      <c r="K122" s="251" t="n"/>
      <c r="L122" s="251" t="n"/>
      <c r="M122" s="251" t="n"/>
      <c r="N122" s="251" t="n"/>
      <c r="O122" s="252" t="n"/>
      <c r="P122" s="253" t="n"/>
      <c r="Q122" s="254" t="n"/>
      <c r="R122" s="253" t="n"/>
      <c r="S122" s="252" t="n"/>
      <c r="T122" s="253" t="n"/>
      <c r="U122" s="254" t="n"/>
      <c r="V122" s="253" t="n"/>
      <c r="W122" s="252" t="n"/>
      <c r="X122" s="253" t="n"/>
      <c r="Y122" s="254" t="n"/>
      <c r="Z122" s="253" t="n"/>
      <c r="AA122" s="252" t="n"/>
      <c r="AB122" s="253" t="n"/>
      <c r="AC122" s="55" t="n"/>
      <c r="AD122" s="255" t="n"/>
      <c r="AE122" s="252" t="n"/>
      <c r="AF122" s="256" t="n"/>
      <c r="AG122" s="254" t="n"/>
      <c r="AH122" s="253" t="n"/>
      <c r="AI122" s="252" t="n"/>
      <c r="AJ122" s="257" t="n"/>
      <c r="AK122" s="55" t="n"/>
      <c r="AL122" s="253" t="n"/>
      <c r="AM122" s="252" t="n"/>
      <c r="AN122" s="253" t="n"/>
      <c r="AO122" s="55" t="n"/>
      <c r="AP122" s="253" t="n"/>
      <c r="AQ122" s="252" t="n"/>
      <c r="AR122" s="257" t="n"/>
      <c r="AS122" s="55" t="n"/>
      <c r="AT122" s="253" t="n"/>
      <c r="AU122" s="252" t="n"/>
      <c r="AV122" s="253" t="n"/>
      <c r="AW122" s="55" t="n"/>
      <c r="AX122" s="253" t="n"/>
      <c r="AY122" s="252" t="n"/>
      <c r="AZ122" s="253" t="n"/>
      <c r="BA122" s="254" t="n"/>
      <c r="BB122" s="255" t="n"/>
      <c r="BC122" s="252" t="n"/>
      <c r="BD122" s="258" t="n"/>
      <c r="BE122" s="259" t="n"/>
      <c r="BF122" s="255" t="n"/>
      <c r="BG122" s="260" t="n"/>
      <c r="BH122" s="261" t="n"/>
      <c r="BI122" s="392" t="n"/>
      <c r="BJ122" s="255" t="n"/>
      <c r="BK122" s="393" t="n"/>
      <c r="BL122" s="393" t="n"/>
      <c r="BM122" s="252" t="n"/>
      <c r="BN122" s="253" t="n"/>
      <c r="BO122" s="254" t="n"/>
      <c r="BP122" s="253" t="n"/>
      <c r="BQ122" s="252" t="n"/>
      <c r="BR122" s="253" t="n"/>
      <c r="BS122" s="254" t="n"/>
      <c r="BT122" s="253" t="n"/>
      <c r="BU122" s="264" t="n"/>
      <c r="BV122" s="253" t="n"/>
      <c r="BW122" s="254" t="n"/>
      <c r="BX122" s="253" t="n"/>
      <c r="BY122" s="264" t="n"/>
      <c r="BZ122" s="253" t="n"/>
      <c r="CA122" s="55" t="n"/>
      <c r="CB122" s="255" t="n"/>
      <c r="CC122" s="252" t="n"/>
      <c r="CD122" s="256" t="n"/>
      <c r="CE122" s="55" t="n"/>
      <c r="CF122" s="253" t="n"/>
      <c r="CG122" s="252" t="n"/>
      <c r="CH122" s="257" t="n"/>
      <c r="CI122" s="55" t="n"/>
      <c r="CJ122" s="253" t="n"/>
      <c r="CK122" s="252" t="n"/>
      <c r="CL122" s="253" t="n"/>
      <c r="CM122" s="55" t="n"/>
      <c r="CN122" s="253" t="n"/>
      <c r="CO122" s="252" t="n"/>
      <c r="CP122" s="257" t="n"/>
      <c r="CQ122" s="55" t="n"/>
      <c r="CR122" s="253" t="n"/>
      <c r="CS122" s="252" t="n"/>
      <c r="CT122" s="253" t="n"/>
      <c r="CU122" s="55" t="n"/>
      <c r="CV122" s="253" t="n"/>
      <c r="CW122" s="252" t="n"/>
      <c r="CX122" s="253" t="n"/>
      <c r="CY122" s="254" t="n"/>
      <c r="CZ122" s="253" t="n"/>
      <c r="DA122" s="252" t="n"/>
      <c r="DB122" s="258" t="n"/>
      <c r="DC122" s="259" t="n"/>
      <c r="DD122" s="253" t="n"/>
      <c r="DE122" s="252" t="n"/>
      <c r="DF122" s="261" t="n"/>
      <c r="DG122" s="392" t="n"/>
      <c r="DH122" s="253" t="n"/>
      <c r="DI122" s="393" t="n"/>
      <c r="DJ122" s="393" t="n"/>
      <c r="DK122" s="252" t="n"/>
      <c r="DL122" s="253" t="n"/>
      <c r="DM122" s="254" t="n"/>
      <c r="DN122" s="253" t="n"/>
      <c r="DO122" s="252" t="n"/>
      <c r="DP122" s="253" t="n"/>
      <c r="DQ122" s="254" t="n"/>
      <c r="DR122" s="253" t="n"/>
      <c r="DS122" s="264" t="n"/>
      <c r="DT122" s="253" t="n"/>
      <c r="DU122" s="254" t="n"/>
      <c r="DV122" s="253" t="n"/>
      <c r="DW122" s="264" t="n"/>
      <c r="DX122" s="253" t="n"/>
      <c r="DY122" s="55" t="n"/>
      <c r="DZ122" s="255" t="n"/>
      <c r="EA122" s="252" t="n"/>
      <c r="EB122" s="256" t="n"/>
      <c r="EC122" s="254" t="n"/>
      <c r="ED122" s="253" t="n"/>
      <c r="EE122" s="252" t="n"/>
      <c r="EF122" s="257" t="n"/>
      <c r="EG122" s="55" t="n"/>
      <c r="EH122" s="253" t="n"/>
      <c r="EI122" s="252" t="n"/>
      <c r="EJ122" s="253" t="n"/>
      <c r="EK122" s="55" t="n"/>
      <c r="EL122" s="253" t="n"/>
      <c r="EM122" s="252" t="n"/>
      <c r="EN122" s="257" t="n"/>
      <c r="EO122" s="55" t="n"/>
      <c r="EP122" s="253" t="n"/>
      <c r="EQ122" s="252" t="n"/>
      <c r="ER122" s="253" t="n"/>
      <c r="ES122" s="55" t="n"/>
      <c r="ET122" s="253" t="n"/>
      <c r="EU122" s="252" t="n"/>
      <c r="EV122" s="253" t="n"/>
      <c r="EW122" s="254" t="n"/>
      <c r="EX122" s="253" t="n"/>
      <c r="EY122" s="252" t="n"/>
      <c r="EZ122" s="258" t="n"/>
      <c r="FA122" s="259" t="n"/>
      <c r="FB122" s="253" t="n"/>
      <c r="FC122" s="252" t="n"/>
      <c r="FD122" s="261" t="n"/>
      <c r="FE122" s="392" t="n"/>
      <c r="FF122" s="253" t="n"/>
      <c r="FG122" s="393" t="n"/>
      <c r="FH122" s="393" t="n"/>
      <c r="FI122" s="252" t="n"/>
      <c r="FJ122" s="253" t="n"/>
      <c r="FK122" s="254" t="n"/>
      <c r="FL122" s="253" t="n"/>
      <c r="FM122" s="252" t="n"/>
      <c r="FN122" s="253" t="n"/>
      <c r="FO122" s="254" t="n"/>
      <c r="FP122" s="253" t="n"/>
      <c r="FQ122" s="264" t="n"/>
      <c r="FR122" s="253" t="n"/>
      <c r="FS122" s="254" t="n"/>
      <c r="FT122" s="253" t="n"/>
      <c r="FU122" s="264" t="n"/>
      <c r="FV122" s="253" t="n"/>
      <c r="FW122" s="55" t="n"/>
      <c r="FX122" s="255" t="n"/>
      <c r="FY122" s="252" t="n"/>
      <c r="FZ122" s="256" t="n"/>
      <c r="GA122" s="254" t="n"/>
      <c r="GB122" s="253" t="n"/>
      <c r="GC122" s="252" t="n"/>
      <c r="GD122" s="257" t="n"/>
      <c r="GE122" s="55" t="n"/>
      <c r="GF122" s="253" t="n"/>
      <c r="GG122" s="252" t="n"/>
      <c r="GH122" s="253" t="n"/>
      <c r="GI122" s="55" t="n"/>
      <c r="GJ122" s="253" t="n"/>
      <c r="GK122" s="252" t="n"/>
      <c r="GL122" s="257" t="n"/>
      <c r="GM122" s="55" t="n"/>
      <c r="GN122" s="253" t="n"/>
      <c r="GO122" s="252" t="n"/>
      <c r="GP122" s="253" t="n"/>
      <c r="GQ122" s="55" t="n"/>
      <c r="GR122" s="253" t="n"/>
      <c r="GS122" s="252" t="n"/>
      <c r="GT122" s="253" t="n"/>
      <c r="GU122" s="254" t="n"/>
      <c r="GV122" s="253" t="n"/>
      <c r="GW122" s="252" t="n"/>
      <c r="GX122" s="258" t="n"/>
      <c r="GY122" s="259" t="n"/>
      <c r="GZ122" s="253" t="n"/>
      <c r="HA122" s="252" t="n"/>
      <c r="HB122" s="261" t="n"/>
      <c r="HC122" s="392" t="n"/>
      <c r="HD122" s="253" t="n"/>
      <c r="HE122" s="393" t="n"/>
      <c r="HF122" s="393" t="n"/>
      <c r="HG122" s="252" t="n"/>
      <c r="HH122" s="253" t="n"/>
      <c r="HI122" s="254" t="n"/>
      <c r="HJ122" s="253" t="n"/>
      <c r="HK122" s="252" t="n"/>
      <c r="HL122" s="253" t="n"/>
      <c r="HM122" s="254" t="n"/>
      <c r="HN122" s="253" t="n"/>
      <c r="HO122" s="264" t="n"/>
      <c r="HP122" s="253" t="n"/>
      <c r="HQ122" s="254" t="n"/>
      <c r="HR122" s="253" t="n"/>
      <c r="HS122" s="264" t="n"/>
      <c r="HT122" s="253" t="n"/>
      <c r="HU122" s="55" t="n"/>
      <c r="HV122" s="255" t="n"/>
      <c r="HW122" s="252" t="n"/>
      <c r="HX122" s="256" t="n"/>
      <c r="HY122" s="254" t="n"/>
      <c r="HZ122" s="253" t="n"/>
      <c r="IA122" s="252" t="n"/>
      <c r="IB122" s="257" t="n"/>
      <c r="IC122" s="55" t="n"/>
      <c r="ID122" s="253" t="n"/>
      <c r="IE122" s="252" t="n"/>
      <c r="IF122" s="253" t="n"/>
      <c r="IG122" s="55" t="n"/>
      <c r="IH122" s="253" t="n"/>
      <c r="II122" s="252" t="n"/>
      <c r="IJ122" s="257" t="n"/>
      <c r="IK122" s="55" t="n"/>
      <c r="IL122" s="253" t="n"/>
      <c r="IM122" s="252" t="n"/>
      <c r="IN122" s="253" t="n"/>
      <c r="IO122" s="55" t="n"/>
      <c r="IP122" s="253" t="n"/>
      <c r="IQ122" s="252" t="n"/>
      <c r="IR122" s="253" t="n"/>
      <c r="IS122" s="254" t="n"/>
      <c r="IT122" s="253" t="n"/>
      <c r="IU122" s="252" t="n"/>
      <c r="IV122" s="258" t="n"/>
      <c r="IW122" s="259" t="n"/>
      <c r="IX122" s="253" t="n"/>
      <c r="IY122" s="252" t="n"/>
      <c r="IZ122" s="261" t="n"/>
      <c r="JA122" s="392" t="n"/>
      <c r="JB122" s="253" t="n"/>
      <c r="JC122" s="393" t="n"/>
      <c r="JD122" s="393" t="n"/>
    </row>
    <row r="123">
      <c r="E123" s="248" t="n"/>
      <c r="F123" s="248" t="n"/>
      <c r="G123" s="249" t="n"/>
      <c r="H123" s="250" t="n"/>
      <c r="I123" s="251" t="n"/>
      <c r="J123" s="251" t="n"/>
      <c r="K123" s="251" t="n"/>
      <c r="L123" s="251" t="n"/>
      <c r="M123" s="251" t="n"/>
      <c r="N123" s="251" t="n"/>
      <c r="O123" s="252" t="n"/>
      <c r="P123" s="253" t="n"/>
      <c r="Q123" s="254" t="n"/>
      <c r="R123" s="253" t="n"/>
      <c r="S123" s="252" t="n"/>
      <c r="T123" s="253" t="n"/>
      <c r="U123" s="254" t="n"/>
      <c r="V123" s="253" t="n"/>
      <c r="W123" s="252" t="n"/>
      <c r="X123" s="253" t="n"/>
      <c r="Y123" s="254" t="n"/>
      <c r="Z123" s="253" t="n"/>
      <c r="AA123" s="252" t="n"/>
      <c r="AB123" s="253" t="n"/>
      <c r="AC123" s="55" t="n"/>
      <c r="AD123" s="255" t="n"/>
      <c r="AE123" s="252" t="n"/>
      <c r="AF123" s="256" t="n"/>
      <c r="AG123" s="254" t="n"/>
      <c r="AH123" s="253" t="n"/>
      <c r="AI123" s="252" t="n"/>
      <c r="AJ123" s="257" t="n"/>
      <c r="AK123" s="55" t="n"/>
      <c r="AL123" s="253" t="n"/>
      <c r="AM123" s="252" t="n"/>
      <c r="AN123" s="253" t="n"/>
      <c r="AO123" s="55" t="n"/>
      <c r="AP123" s="253" t="n"/>
      <c r="AQ123" s="252" t="n"/>
      <c r="AR123" s="257" t="n"/>
      <c r="AS123" s="55" t="n"/>
      <c r="AT123" s="253" t="n"/>
      <c r="AU123" s="252" t="n"/>
      <c r="AV123" s="253" t="n"/>
      <c r="AW123" s="55" t="n"/>
      <c r="AX123" s="253" t="n"/>
      <c r="AY123" s="252" t="n"/>
      <c r="AZ123" s="253" t="n"/>
      <c r="BA123" s="254" t="n"/>
      <c r="BB123" s="255" t="n"/>
      <c r="BC123" s="252" t="n"/>
      <c r="BD123" s="258" t="n"/>
      <c r="BE123" s="259" t="n"/>
      <c r="BF123" s="255" t="n"/>
      <c r="BG123" s="260" t="n"/>
      <c r="BH123" s="261" t="n"/>
      <c r="BI123" s="392" t="n"/>
      <c r="BJ123" s="255" t="n"/>
      <c r="BK123" s="393" t="n"/>
      <c r="BL123" s="393" t="n"/>
      <c r="BM123" s="252" t="n"/>
      <c r="BN123" s="253" t="n"/>
      <c r="BO123" s="254" t="n"/>
      <c r="BP123" s="253" t="n"/>
      <c r="BQ123" s="252" t="n"/>
      <c r="BR123" s="253" t="n"/>
      <c r="BS123" s="254" t="n"/>
      <c r="BT123" s="253" t="n"/>
      <c r="BU123" s="264" t="n"/>
      <c r="BV123" s="253" t="n"/>
      <c r="BW123" s="254" t="n"/>
      <c r="BX123" s="253" t="n"/>
      <c r="BY123" s="264" t="n"/>
      <c r="BZ123" s="253" t="n"/>
      <c r="CA123" s="55" t="n"/>
      <c r="CB123" s="255" t="n"/>
      <c r="CC123" s="252" t="n"/>
      <c r="CD123" s="256" t="n"/>
      <c r="CE123" s="55" t="n"/>
      <c r="CF123" s="253" t="n"/>
      <c r="CG123" s="252" t="n"/>
      <c r="CH123" s="257" t="n"/>
      <c r="CI123" s="55" t="n"/>
      <c r="CJ123" s="253" t="n"/>
      <c r="CK123" s="252" t="n"/>
      <c r="CL123" s="253" t="n"/>
      <c r="CM123" s="55" t="n"/>
      <c r="CN123" s="253" t="n"/>
      <c r="CO123" s="252" t="n"/>
      <c r="CP123" s="257" t="n"/>
      <c r="CQ123" s="55" t="n"/>
      <c r="CR123" s="253" t="n"/>
      <c r="CS123" s="252" t="n"/>
      <c r="CT123" s="253" t="n"/>
      <c r="CU123" s="55" t="n"/>
      <c r="CV123" s="253" t="n"/>
      <c r="CW123" s="252" t="n"/>
      <c r="CX123" s="253" t="n"/>
      <c r="CY123" s="254" t="n"/>
      <c r="CZ123" s="253" t="n"/>
      <c r="DA123" s="252" t="n"/>
      <c r="DB123" s="258" t="n"/>
      <c r="DC123" s="259" t="n"/>
      <c r="DD123" s="253" t="n"/>
      <c r="DE123" s="252" t="n"/>
      <c r="DF123" s="261" t="n"/>
      <c r="DG123" s="392" t="n"/>
      <c r="DH123" s="253" t="n"/>
      <c r="DI123" s="393" t="n"/>
      <c r="DJ123" s="393" t="n"/>
      <c r="DK123" s="252" t="n"/>
      <c r="DL123" s="253" t="n"/>
      <c r="DM123" s="254" t="n"/>
      <c r="DN123" s="253" t="n"/>
      <c r="DO123" s="252" t="n"/>
      <c r="DP123" s="253" t="n"/>
      <c r="DQ123" s="254" t="n"/>
      <c r="DR123" s="253" t="n"/>
      <c r="DS123" s="264" t="n"/>
      <c r="DT123" s="253" t="n"/>
      <c r="DU123" s="254" t="n"/>
      <c r="DV123" s="253" t="n"/>
      <c r="DW123" s="264" t="n"/>
      <c r="DX123" s="253" t="n"/>
      <c r="DY123" s="55" t="n"/>
      <c r="DZ123" s="255" t="n"/>
      <c r="EA123" s="252" t="n"/>
      <c r="EB123" s="256" t="n"/>
      <c r="EC123" s="254" t="n"/>
      <c r="ED123" s="253" t="n"/>
      <c r="EE123" s="252" t="n"/>
      <c r="EF123" s="257" t="n"/>
      <c r="EG123" s="55" t="n"/>
      <c r="EH123" s="253" t="n"/>
      <c r="EI123" s="252" t="n"/>
      <c r="EJ123" s="253" t="n"/>
      <c r="EK123" s="55" t="n"/>
      <c r="EL123" s="253" t="n"/>
      <c r="EM123" s="252" t="n"/>
      <c r="EN123" s="257" t="n"/>
      <c r="EO123" s="55" t="n"/>
      <c r="EP123" s="253" t="n"/>
      <c r="EQ123" s="252" t="n"/>
      <c r="ER123" s="253" t="n"/>
      <c r="ES123" s="55" t="n"/>
      <c r="ET123" s="253" t="n"/>
      <c r="EU123" s="252" t="n"/>
      <c r="EV123" s="253" t="n"/>
      <c r="EW123" s="254" t="n"/>
      <c r="EX123" s="253" t="n"/>
      <c r="EY123" s="252" t="n"/>
      <c r="EZ123" s="258" t="n"/>
      <c r="FA123" s="259" t="n"/>
      <c r="FB123" s="253" t="n"/>
      <c r="FC123" s="252" t="n"/>
      <c r="FD123" s="261" t="n"/>
      <c r="FE123" s="392" t="n"/>
      <c r="FF123" s="253" t="n"/>
      <c r="FG123" s="393" t="n"/>
      <c r="FH123" s="393" t="n"/>
      <c r="FI123" s="252" t="n"/>
      <c r="FJ123" s="253" t="n"/>
      <c r="FK123" s="254" t="n"/>
      <c r="FL123" s="253" t="n"/>
      <c r="FM123" s="252" t="n"/>
      <c r="FN123" s="253" t="n"/>
      <c r="FO123" s="254" t="n"/>
      <c r="FP123" s="253" t="n"/>
      <c r="FQ123" s="264" t="n"/>
      <c r="FR123" s="253" t="n"/>
      <c r="FS123" s="254" t="n"/>
      <c r="FT123" s="253" t="n"/>
      <c r="FU123" s="264" t="n"/>
      <c r="FV123" s="253" t="n"/>
      <c r="FW123" s="55" t="n"/>
      <c r="FX123" s="255" t="n"/>
      <c r="FY123" s="252" t="n"/>
      <c r="FZ123" s="256" t="n"/>
      <c r="GA123" s="254" t="n"/>
      <c r="GB123" s="253" t="n"/>
      <c r="GC123" s="252" t="n"/>
      <c r="GD123" s="257" t="n"/>
      <c r="GE123" s="55" t="n"/>
      <c r="GF123" s="253" t="n"/>
      <c r="GG123" s="252" t="n"/>
      <c r="GH123" s="253" t="n"/>
      <c r="GI123" s="55" t="n"/>
      <c r="GJ123" s="253" t="n"/>
      <c r="GK123" s="252" t="n"/>
      <c r="GL123" s="257" t="n"/>
      <c r="GM123" s="55" t="n"/>
      <c r="GN123" s="253" t="n"/>
      <c r="GO123" s="252" t="n"/>
      <c r="GP123" s="253" t="n"/>
      <c r="GQ123" s="55" t="n"/>
      <c r="GR123" s="253" t="n"/>
      <c r="GS123" s="252" t="n"/>
      <c r="GT123" s="253" t="n"/>
      <c r="GU123" s="254" t="n"/>
      <c r="GV123" s="253" t="n"/>
      <c r="GW123" s="252" t="n"/>
      <c r="GX123" s="258" t="n"/>
      <c r="GY123" s="259" t="n"/>
      <c r="GZ123" s="253" t="n"/>
      <c r="HA123" s="252" t="n"/>
      <c r="HB123" s="261" t="n"/>
      <c r="HC123" s="392" t="n"/>
      <c r="HD123" s="253" t="n"/>
      <c r="HE123" s="393" t="n"/>
      <c r="HF123" s="393" t="n"/>
      <c r="HG123" s="252" t="n"/>
      <c r="HH123" s="253" t="n"/>
      <c r="HI123" s="254" t="n"/>
      <c r="HJ123" s="253" t="n"/>
      <c r="HK123" s="252" t="n"/>
      <c r="HL123" s="253" t="n"/>
      <c r="HM123" s="254" t="n"/>
      <c r="HN123" s="253" t="n"/>
      <c r="HO123" s="264" t="n"/>
      <c r="HP123" s="253" t="n"/>
      <c r="HQ123" s="254" t="n"/>
      <c r="HR123" s="253" t="n"/>
      <c r="HS123" s="264" t="n"/>
      <c r="HT123" s="253" t="n"/>
      <c r="HU123" s="55" t="n"/>
      <c r="HV123" s="255" t="n"/>
      <c r="HW123" s="252" t="n"/>
      <c r="HX123" s="256" t="n"/>
      <c r="HY123" s="254" t="n"/>
      <c r="HZ123" s="253" t="n"/>
      <c r="IA123" s="252" t="n"/>
      <c r="IB123" s="257" t="n"/>
      <c r="IC123" s="55" t="n"/>
      <c r="ID123" s="253" t="n"/>
      <c r="IE123" s="252" t="n"/>
      <c r="IF123" s="253" t="n"/>
      <c r="IG123" s="55" t="n"/>
      <c r="IH123" s="253" t="n"/>
      <c r="II123" s="252" t="n"/>
      <c r="IJ123" s="257" t="n"/>
      <c r="IK123" s="55" t="n"/>
      <c r="IL123" s="253" t="n"/>
      <c r="IM123" s="252" t="n"/>
      <c r="IN123" s="253" t="n"/>
      <c r="IO123" s="55" t="n"/>
      <c r="IP123" s="253" t="n"/>
      <c r="IQ123" s="252" t="n"/>
      <c r="IR123" s="253" t="n"/>
      <c r="IS123" s="254" t="n"/>
      <c r="IT123" s="253" t="n"/>
      <c r="IU123" s="252" t="n"/>
      <c r="IV123" s="258" t="n"/>
      <c r="IW123" s="259" t="n"/>
      <c r="IX123" s="253" t="n"/>
      <c r="IY123" s="252" t="n"/>
      <c r="IZ123" s="261" t="n"/>
      <c r="JA123" s="392" t="n"/>
      <c r="JB123" s="253" t="n"/>
      <c r="JC123" s="393" t="n"/>
      <c r="JD123" s="393" t="n"/>
    </row>
    <row r="124">
      <c r="E124" s="248" t="n"/>
      <c r="F124" s="248" t="n"/>
      <c r="G124" s="249" t="n"/>
      <c r="H124" s="250" t="n"/>
      <c r="I124" s="251" t="n"/>
      <c r="J124" s="251" t="n"/>
      <c r="K124" s="251" t="n"/>
      <c r="L124" s="251" t="n"/>
      <c r="M124" s="251" t="n"/>
      <c r="N124" s="251" t="n"/>
      <c r="O124" s="252" t="n"/>
      <c r="P124" s="253" t="n"/>
      <c r="Q124" s="254" t="n"/>
      <c r="R124" s="253" t="n"/>
      <c r="S124" s="252" t="n"/>
      <c r="T124" s="253" t="n"/>
      <c r="U124" s="254" t="n"/>
      <c r="V124" s="253" t="n"/>
      <c r="W124" s="252" t="n"/>
      <c r="X124" s="253" t="n"/>
      <c r="Y124" s="254" t="n"/>
      <c r="Z124" s="253" t="n"/>
      <c r="AA124" s="252" t="n"/>
      <c r="AB124" s="253" t="n"/>
      <c r="AC124" s="55" t="n"/>
      <c r="AD124" s="255" t="n"/>
      <c r="AE124" s="252" t="n"/>
      <c r="AF124" s="256" t="n"/>
      <c r="AG124" s="254" t="n"/>
      <c r="AH124" s="253" t="n"/>
      <c r="AI124" s="252" t="n"/>
      <c r="AJ124" s="257" t="n"/>
      <c r="AK124" s="55" t="n"/>
      <c r="AL124" s="253" t="n"/>
      <c r="AM124" s="252" t="n"/>
      <c r="AN124" s="253" t="n"/>
      <c r="AO124" s="55" t="n"/>
      <c r="AP124" s="253" t="n"/>
      <c r="AQ124" s="252" t="n"/>
      <c r="AR124" s="257" t="n"/>
      <c r="AS124" s="55" t="n"/>
      <c r="AT124" s="253" t="n"/>
      <c r="AU124" s="252" t="n"/>
      <c r="AV124" s="253" t="n"/>
      <c r="AW124" s="55" t="n"/>
      <c r="AX124" s="253" t="n"/>
      <c r="AY124" s="252" t="n"/>
      <c r="AZ124" s="253" t="n"/>
      <c r="BA124" s="254" t="n"/>
      <c r="BB124" s="255" t="n"/>
      <c r="BC124" s="252" t="n"/>
      <c r="BD124" s="258" t="n"/>
      <c r="BE124" s="259" t="n"/>
      <c r="BF124" s="255" t="n"/>
      <c r="BG124" s="260" t="n"/>
      <c r="BH124" s="261" t="n"/>
      <c r="BI124" s="392" t="n"/>
      <c r="BJ124" s="255" t="n"/>
      <c r="BK124" s="393" t="n"/>
      <c r="BL124" s="393" t="n"/>
      <c r="BM124" s="252" t="n"/>
      <c r="BN124" s="253" t="n"/>
      <c r="BO124" s="254" t="n"/>
      <c r="BP124" s="253" t="n"/>
      <c r="BQ124" s="252" t="n"/>
      <c r="BR124" s="253" t="n"/>
      <c r="BS124" s="254" t="n"/>
      <c r="BT124" s="253" t="n"/>
      <c r="BU124" s="264" t="n"/>
      <c r="BV124" s="253" t="n"/>
      <c r="BW124" s="254" t="n"/>
      <c r="BX124" s="253" t="n"/>
      <c r="BY124" s="264" t="n"/>
      <c r="BZ124" s="253" t="n"/>
      <c r="CA124" s="55" t="n"/>
      <c r="CB124" s="255" t="n"/>
      <c r="CC124" s="252" t="n"/>
      <c r="CD124" s="256" t="n"/>
      <c r="CE124" s="55" t="n"/>
      <c r="CF124" s="253" t="n"/>
      <c r="CG124" s="252" t="n"/>
      <c r="CH124" s="257" t="n"/>
      <c r="CI124" s="55" t="n"/>
      <c r="CJ124" s="253" t="n"/>
      <c r="CK124" s="252" t="n"/>
      <c r="CL124" s="253" t="n"/>
      <c r="CM124" s="55" t="n"/>
      <c r="CN124" s="253" t="n"/>
      <c r="CO124" s="252" t="n"/>
      <c r="CP124" s="257" t="n"/>
      <c r="CQ124" s="55" t="n"/>
      <c r="CR124" s="253" t="n"/>
      <c r="CS124" s="252" t="n"/>
      <c r="CT124" s="253" t="n"/>
      <c r="CU124" s="55" t="n"/>
      <c r="CV124" s="253" t="n"/>
      <c r="CW124" s="252" t="n"/>
      <c r="CX124" s="253" t="n"/>
      <c r="CY124" s="254" t="n"/>
      <c r="CZ124" s="253" t="n"/>
      <c r="DA124" s="252" t="n"/>
      <c r="DB124" s="258" t="n"/>
      <c r="DC124" s="259" t="n"/>
      <c r="DD124" s="253" t="n"/>
      <c r="DE124" s="252" t="n"/>
      <c r="DF124" s="261" t="n"/>
      <c r="DG124" s="392" t="n"/>
      <c r="DH124" s="253" t="n"/>
      <c r="DI124" s="393" t="n"/>
      <c r="DJ124" s="393" t="n"/>
      <c r="DK124" s="252" t="n"/>
      <c r="DL124" s="253" t="n"/>
      <c r="DM124" s="254" t="n"/>
      <c r="DN124" s="253" t="n"/>
      <c r="DO124" s="252" t="n"/>
      <c r="DP124" s="253" t="n"/>
      <c r="DQ124" s="254" t="n"/>
      <c r="DR124" s="253" t="n"/>
      <c r="DS124" s="264" t="n"/>
      <c r="DT124" s="253" t="n"/>
      <c r="DU124" s="254" t="n"/>
      <c r="DV124" s="253" t="n"/>
      <c r="DW124" s="264" t="n"/>
      <c r="DX124" s="253" t="n"/>
      <c r="DY124" s="55" t="n"/>
      <c r="DZ124" s="255" t="n"/>
      <c r="EA124" s="252" t="n"/>
      <c r="EB124" s="256" t="n"/>
      <c r="EC124" s="254" t="n"/>
      <c r="ED124" s="253" t="n"/>
      <c r="EE124" s="252" t="n"/>
      <c r="EF124" s="257" t="n"/>
      <c r="EG124" s="55" t="n"/>
      <c r="EH124" s="253" t="n"/>
      <c r="EI124" s="252" t="n"/>
      <c r="EJ124" s="253" t="n"/>
      <c r="EK124" s="55" t="n"/>
      <c r="EL124" s="253" t="n"/>
      <c r="EM124" s="252" t="n"/>
      <c r="EN124" s="257" t="n"/>
      <c r="EO124" s="55" t="n"/>
      <c r="EP124" s="253" t="n"/>
      <c r="EQ124" s="252" t="n"/>
      <c r="ER124" s="253" t="n"/>
      <c r="ES124" s="55" t="n"/>
      <c r="ET124" s="253" t="n"/>
      <c r="EU124" s="252" t="n"/>
      <c r="EV124" s="253" t="n"/>
      <c r="EW124" s="254" t="n"/>
      <c r="EX124" s="253" t="n"/>
      <c r="EY124" s="252" t="n"/>
      <c r="EZ124" s="258" t="n"/>
      <c r="FA124" s="259" t="n"/>
      <c r="FB124" s="253" t="n"/>
      <c r="FC124" s="252" t="n"/>
      <c r="FD124" s="261" t="n"/>
      <c r="FE124" s="392" t="n"/>
      <c r="FF124" s="253" t="n"/>
      <c r="FG124" s="393" t="n"/>
      <c r="FH124" s="393" t="n"/>
      <c r="FI124" s="252" t="n"/>
      <c r="FJ124" s="253" t="n"/>
      <c r="FK124" s="254" t="n"/>
      <c r="FL124" s="253" t="n"/>
      <c r="FM124" s="252" t="n"/>
      <c r="FN124" s="253" t="n"/>
      <c r="FO124" s="254" t="n"/>
      <c r="FP124" s="253" t="n"/>
      <c r="FQ124" s="264" t="n"/>
      <c r="FR124" s="253" t="n"/>
      <c r="FS124" s="254" t="n"/>
      <c r="FT124" s="253" t="n"/>
      <c r="FU124" s="264" t="n"/>
      <c r="FV124" s="253" t="n"/>
      <c r="FW124" s="55" t="n"/>
      <c r="FX124" s="255" t="n"/>
      <c r="FY124" s="252" t="n"/>
      <c r="FZ124" s="256" t="n"/>
      <c r="GA124" s="254" t="n"/>
      <c r="GB124" s="253" t="n"/>
      <c r="GC124" s="252" t="n"/>
      <c r="GD124" s="257" t="n"/>
      <c r="GE124" s="55" t="n"/>
      <c r="GF124" s="253" t="n"/>
      <c r="GG124" s="252" t="n"/>
      <c r="GH124" s="253" t="n"/>
      <c r="GI124" s="55" t="n"/>
      <c r="GJ124" s="253" t="n"/>
      <c r="GK124" s="252" t="n"/>
      <c r="GL124" s="257" t="n"/>
      <c r="GM124" s="55" t="n"/>
      <c r="GN124" s="253" t="n"/>
      <c r="GO124" s="252" t="n"/>
      <c r="GP124" s="253" t="n"/>
      <c r="GQ124" s="55" t="n"/>
      <c r="GR124" s="253" t="n"/>
      <c r="GS124" s="252" t="n"/>
      <c r="GT124" s="253" t="n"/>
      <c r="GU124" s="254" t="n"/>
      <c r="GV124" s="253" t="n"/>
      <c r="GW124" s="252" t="n"/>
      <c r="GX124" s="258" t="n"/>
      <c r="GY124" s="259" t="n"/>
      <c r="GZ124" s="253" t="n"/>
      <c r="HA124" s="252" t="n"/>
      <c r="HB124" s="261" t="n"/>
      <c r="HC124" s="392" t="n"/>
      <c r="HD124" s="253" t="n"/>
      <c r="HE124" s="393" t="n"/>
      <c r="HF124" s="393" t="n"/>
      <c r="HG124" s="252" t="n"/>
      <c r="HH124" s="253" t="n"/>
      <c r="HI124" s="254" t="n"/>
      <c r="HJ124" s="253" t="n"/>
      <c r="HK124" s="252" t="n"/>
      <c r="HL124" s="253" t="n"/>
      <c r="HM124" s="254" t="n"/>
      <c r="HN124" s="253" t="n"/>
      <c r="HO124" s="264" t="n"/>
      <c r="HP124" s="253" t="n"/>
      <c r="HQ124" s="254" t="n"/>
      <c r="HR124" s="253" t="n"/>
      <c r="HS124" s="264" t="n"/>
      <c r="HT124" s="253" t="n"/>
      <c r="HU124" s="55" t="n"/>
      <c r="HV124" s="255" t="n"/>
      <c r="HW124" s="252" t="n"/>
      <c r="HX124" s="256" t="n"/>
      <c r="HY124" s="254" t="n"/>
      <c r="HZ124" s="253" t="n"/>
      <c r="IA124" s="252" t="n"/>
      <c r="IB124" s="257" t="n"/>
      <c r="IC124" s="55" t="n"/>
      <c r="ID124" s="253" t="n"/>
      <c r="IE124" s="252" t="n"/>
      <c r="IF124" s="253" t="n"/>
      <c r="IG124" s="55" t="n"/>
      <c r="IH124" s="253" t="n"/>
      <c r="II124" s="252" t="n"/>
      <c r="IJ124" s="257" t="n"/>
      <c r="IK124" s="55" t="n"/>
      <c r="IL124" s="253" t="n"/>
      <c r="IM124" s="252" t="n"/>
      <c r="IN124" s="253" t="n"/>
      <c r="IO124" s="55" t="n"/>
      <c r="IP124" s="253" t="n"/>
      <c r="IQ124" s="252" t="n"/>
      <c r="IR124" s="253" t="n"/>
      <c r="IS124" s="254" t="n"/>
      <c r="IT124" s="253" t="n"/>
      <c r="IU124" s="252" t="n"/>
      <c r="IV124" s="258" t="n"/>
      <c r="IW124" s="259" t="n"/>
      <c r="IX124" s="253" t="n"/>
      <c r="IY124" s="252" t="n"/>
      <c r="IZ124" s="261" t="n"/>
      <c r="JA124" s="392" t="n"/>
      <c r="JB124" s="253" t="n"/>
      <c r="JC124" s="393" t="n"/>
      <c r="JD124" s="393" t="n"/>
    </row>
    <row r="125">
      <c r="E125" s="248" t="n"/>
      <c r="F125" s="248" t="n"/>
      <c r="G125" s="249" t="n"/>
      <c r="H125" s="250" t="n"/>
      <c r="I125" s="251" t="n"/>
      <c r="J125" s="251" t="n"/>
      <c r="K125" s="251" t="n"/>
      <c r="L125" s="251" t="n"/>
      <c r="M125" s="251" t="n"/>
      <c r="N125" s="251" t="n"/>
      <c r="O125" s="252" t="n"/>
      <c r="P125" s="253" t="n"/>
      <c r="Q125" s="254" t="n"/>
      <c r="R125" s="253" t="n"/>
      <c r="S125" s="252" t="n"/>
      <c r="T125" s="253" t="n"/>
      <c r="U125" s="254" t="n"/>
      <c r="V125" s="253" t="n"/>
      <c r="W125" s="252" t="n"/>
      <c r="X125" s="253" t="n"/>
      <c r="Y125" s="254" t="n"/>
      <c r="Z125" s="253" t="n"/>
      <c r="AA125" s="252" t="n"/>
      <c r="AB125" s="253" t="n"/>
      <c r="AC125" s="55" t="n"/>
      <c r="AD125" s="255" t="n"/>
      <c r="AE125" s="252" t="n"/>
      <c r="AF125" s="256" t="n"/>
      <c r="AG125" s="254" t="n"/>
      <c r="AH125" s="253" t="n"/>
      <c r="AI125" s="252" t="n"/>
      <c r="AJ125" s="257" t="n"/>
      <c r="AK125" s="55" t="n"/>
      <c r="AL125" s="253" t="n"/>
      <c r="AM125" s="252" t="n"/>
      <c r="AN125" s="253" t="n"/>
      <c r="AO125" s="55" t="n"/>
      <c r="AP125" s="253" t="n"/>
      <c r="AQ125" s="252" t="n"/>
      <c r="AR125" s="257" t="n"/>
      <c r="AS125" s="55" t="n"/>
      <c r="AT125" s="253" t="n"/>
      <c r="AU125" s="252" t="n"/>
      <c r="AV125" s="253" t="n"/>
      <c r="AW125" s="55" t="n"/>
      <c r="AX125" s="253" t="n"/>
      <c r="AY125" s="252" t="n"/>
      <c r="AZ125" s="253" t="n"/>
      <c r="BA125" s="254" t="n"/>
      <c r="BB125" s="255" t="n"/>
      <c r="BC125" s="252" t="n"/>
      <c r="BD125" s="258" t="n"/>
      <c r="BE125" s="259" t="n"/>
      <c r="BF125" s="255" t="n"/>
      <c r="BG125" s="260" t="n"/>
      <c r="BH125" s="261" t="n"/>
      <c r="BI125" s="392" t="n"/>
      <c r="BJ125" s="255" t="n"/>
      <c r="BK125" s="393" t="n"/>
      <c r="BL125" s="393" t="n"/>
      <c r="BM125" s="252" t="n"/>
      <c r="BN125" s="253" t="n"/>
      <c r="BO125" s="254" t="n"/>
      <c r="BP125" s="253" t="n"/>
      <c r="BQ125" s="252" t="n"/>
      <c r="BR125" s="253" t="n"/>
      <c r="BS125" s="254" t="n"/>
      <c r="BT125" s="253" t="n"/>
      <c r="BU125" s="264" t="n"/>
      <c r="BV125" s="253" t="n"/>
      <c r="BW125" s="254" t="n"/>
      <c r="BX125" s="253" t="n"/>
      <c r="BY125" s="264" t="n"/>
      <c r="BZ125" s="253" t="n"/>
      <c r="CA125" s="55" t="n"/>
      <c r="CB125" s="255" t="n"/>
      <c r="CC125" s="252" t="n"/>
      <c r="CD125" s="256" t="n"/>
      <c r="CE125" s="55" t="n"/>
      <c r="CF125" s="253" t="n"/>
      <c r="CG125" s="252" t="n"/>
      <c r="CH125" s="257" t="n"/>
      <c r="CI125" s="55" t="n"/>
      <c r="CJ125" s="253" t="n"/>
      <c r="CK125" s="252" t="n"/>
      <c r="CL125" s="253" t="n"/>
      <c r="CM125" s="55" t="n"/>
      <c r="CN125" s="253" t="n"/>
      <c r="CO125" s="252" t="n"/>
      <c r="CP125" s="257" t="n"/>
      <c r="CQ125" s="55" t="n"/>
      <c r="CR125" s="253" t="n"/>
      <c r="CS125" s="252" t="n"/>
      <c r="CT125" s="253" t="n"/>
      <c r="CU125" s="55" t="n"/>
      <c r="CV125" s="253" t="n"/>
      <c r="CW125" s="252" t="n"/>
      <c r="CX125" s="253" t="n"/>
      <c r="CY125" s="254" t="n"/>
      <c r="CZ125" s="253" t="n"/>
      <c r="DA125" s="252" t="n"/>
      <c r="DB125" s="258" t="n"/>
      <c r="DC125" s="259" t="n"/>
      <c r="DD125" s="253" t="n"/>
      <c r="DE125" s="252" t="n"/>
      <c r="DF125" s="261" t="n"/>
      <c r="DG125" s="392" t="n"/>
      <c r="DH125" s="253" t="n"/>
      <c r="DI125" s="393" t="n"/>
      <c r="DJ125" s="393" t="n"/>
      <c r="DK125" s="252" t="n"/>
      <c r="DL125" s="253" t="n"/>
      <c r="DM125" s="254" t="n"/>
      <c r="DN125" s="253" t="n"/>
      <c r="DO125" s="252" t="n"/>
      <c r="DP125" s="253" t="n"/>
      <c r="DQ125" s="254" t="n"/>
      <c r="DR125" s="253" t="n"/>
      <c r="DS125" s="264" t="n"/>
      <c r="DT125" s="253" t="n"/>
      <c r="DU125" s="254" t="n"/>
      <c r="DV125" s="253" t="n"/>
      <c r="DW125" s="264" t="n"/>
      <c r="DX125" s="253" t="n"/>
      <c r="DY125" s="55" t="n"/>
      <c r="DZ125" s="255" t="n"/>
      <c r="EA125" s="252" t="n"/>
      <c r="EB125" s="256" t="n"/>
      <c r="EC125" s="254" t="n"/>
      <c r="ED125" s="253" t="n"/>
      <c r="EE125" s="252" t="n"/>
      <c r="EF125" s="257" t="n"/>
      <c r="EG125" s="55" t="n"/>
      <c r="EH125" s="253" t="n"/>
      <c r="EI125" s="252" t="n"/>
      <c r="EJ125" s="253" t="n"/>
      <c r="EK125" s="55" t="n"/>
      <c r="EL125" s="253" t="n"/>
      <c r="EM125" s="252" t="n"/>
      <c r="EN125" s="257" t="n"/>
      <c r="EO125" s="55" t="n"/>
      <c r="EP125" s="253" t="n"/>
      <c r="EQ125" s="252" t="n"/>
      <c r="ER125" s="253" t="n"/>
      <c r="ES125" s="55" t="n"/>
      <c r="ET125" s="253" t="n"/>
      <c r="EU125" s="252" t="n"/>
      <c r="EV125" s="253" t="n"/>
      <c r="EW125" s="254" t="n"/>
      <c r="EX125" s="253" t="n"/>
      <c r="EY125" s="252" t="n"/>
      <c r="EZ125" s="258" t="n"/>
      <c r="FA125" s="259" t="n"/>
      <c r="FB125" s="253" t="n"/>
      <c r="FC125" s="252" t="n"/>
      <c r="FD125" s="261" t="n"/>
      <c r="FE125" s="392" t="n"/>
      <c r="FF125" s="253" t="n"/>
      <c r="FG125" s="393" t="n"/>
      <c r="FH125" s="393" t="n"/>
      <c r="FI125" s="252" t="n"/>
      <c r="FJ125" s="253" t="n"/>
      <c r="FK125" s="254" t="n"/>
      <c r="FL125" s="253" t="n"/>
      <c r="FM125" s="252" t="n"/>
      <c r="FN125" s="253" t="n"/>
      <c r="FO125" s="254" t="n"/>
      <c r="FP125" s="253" t="n"/>
      <c r="FQ125" s="264" t="n"/>
      <c r="FR125" s="253" t="n"/>
      <c r="FS125" s="254" t="n"/>
      <c r="FT125" s="253" t="n"/>
      <c r="FU125" s="264" t="n"/>
      <c r="FV125" s="253" t="n"/>
      <c r="FW125" s="55" t="n"/>
      <c r="FX125" s="255" t="n"/>
      <c r="FY125" s="252" t="n"/>
      <c r="FZ125" s="256" t="n"/>
      <c r="GA125" s="254" t="n"/>
      <c r="GB125" s="253" t="n"/>
      <c r="GC125" s="252" t="n"/>
      <c r="GD125" s="257" t="n"/>
      <c r="GE125" s="55" t="n"/>
      <c r="GF125" s="253" t="n"/>
      <c r="GG125" s="252" t="n"/>
      <c r="GH125" s="253" t="n"/>
      <c r="GI125" s="55" t="n"/>
      <c r="GJ125" s="253" t="n"/>
      <c r="GK125" s="252" t="n"/>
      <c r="GL125" s="257" t="n"/>
      <c r="GM125" s="55" t="n"/>
      <c r="GN125" s="253" t="n"/>
      <c r="GO125" s="252" t="n"/>
      <c r="GP125" s="253" t="n"/>
      <c r="GQ125" s="55" t="n"/>
      <c r="GR125" s="253" t="n"/>
      <c r="GS125" s="252" t="n"/>
      <c r="GT125" s="253" t="n"/>
      <c r="GU125" s="254" t="n"/>
      <c r="GV125" s="253" t="n"/>
      <c r="GW125" s="252" t="n"/>
      <c r="GX125" s="258" t="n"/>
      <c r="GY125" s="259" t="n"/>
      <c r="GZ125" s="253" t="n"/>
      <c r="HA125" s="252" t="n"/>
      <c r="HB125" s="261" t="n"/>
      <c r="HC125" s="392" t="n"/>
      <c r="HD125" s="253" t="n"/>
      <c r="HE125" s="393" t="n"/>
      <c r="HF125" s="393" t="n"/>
      <c r="HG125" s="252" t="n"/>
      <c r="HH125" s="253" t="n"/>
      <c r="HI125" s="254" t="n"/>
      <c r="HJ125" s="253" t="n"/>
      <c r="HK125" s="252" t="n"/>
      <c r="HL125" s="253" t="n"/>
      <c r="HM125" s="254" t="n"/>
      <c r="HN125" s="253" t="n"/>
      <c r="HO125" s="264" t="n"/>
      <c r="HP125" s="253" t="n"/>
      <c r="HQ125" s="254" t="n"/>
      <c r="HR125" s="253" t="n"/>
      <c r="HS125" s="264" t="n"/>
      <c r="HT125" s="253" t="n"/>
      <c r="HU125" s="55" t="n"/>
      <c r="HV125" s="255" t="n"/>
      <c r="HW125" s="252" t="n"/>
      <c r="HX125" s="256" t="n"/>
      <c r="HY125" s="254" t="n"/>
      <c r="HZ125" s="253" t="n"/>
      <c r="IA125" s="252" t="n"/>
      <c r="IB125" s="257" t="n"/>
      <c r="IC125" s="55" t="n"/>
      <c r="ID125" s="253" t="n"/>
      <c r="IE125" s="252" t="n"/>
      <c r="IF125" s="253" t="n"/>
      <c r="IG125" s="55" t="n"/>
      <c r="IH125" s="253" t="n"/>
      <c r="II125" s="252" t="n"/>
      <c r="IJ125" s="257" t="n"/>
      <c r="IK125" s="55" t="n"/>
      <c r="IL125" s="253" t="n"/>
      <c r="IM125" s="252" t="n"/>
      <c r="IN125" s="253" t="n"/>
      <c r="IO125" s="55" t="n"/>
      <c r="IP125" s="253" t="n"/>
      <c r="IQ125" s="252" t="n"/>
      <c r="IR125" s="253" t="n"/>
      <c r="IS125" s="254" t="n"/>
      <c r="IT125" s="253" t="n"/>
      <c r="IU125" s="252" t="n"/>
      <c r="IV125" s="258" t="n"/>
      <c r="IW125" s="259" t="n"/>
      <c r="IX125" s="253" t="n"/>
      <c r="IY125" s="252" t="n"/>
      <c r="IZ125" s="261" t="n"/>
      <c r="JA125" s="392" t="n"/>
      <c r="JB125" s="253" t="n"/>
      <c r="JC125" s="393" t="n"/>
      <c r="JD125" s="393" t="n"/>
    </row>
    <row r="126">
      <c r="E126" s="248" t="n"/>
      <c r="F126" s="248" t="n"/>
      <c r="G126" s="249" t="n"/>
      <c r="H126" s="250" t="n"/>
      <c r="I126" s="251" t="n"/>
      <c r="J126" s="251" t="n"/>
      <c r="K126" s="251" t="n"/>
      <c r="L126" s="251" t="n"/>
      <c r="M126" s="251" t="n"/>
      <c r="N126" s="251" t="n"/>
      <c r="O126" s="252" t="n"/>
      <c r="P126" s="253" t="n"/>
      <c r="Q126" s="254" t="n"/>
      <c r="R126" s="253" t="n"/>
      <c r="S126" s="252" t="n"/>
      <c r="T126" s="253" t="n"/>
      <c r="U126" s="254" t="n"/>
      <c r="V126" s="253" t="n"/>
      <c r="W126" s="252" t="n"/>
      <c r="X126" s="253" t="n"/>
      <c r="Y126" s="254" t="n"/>
      <c r="Z126" s="253" t="n"/>
      <c r="AA126" s="252" t="n"/>
      <c r="AB126" s="253" t="n"/>
      <c r="AC126" s="55" t="n"/>
      <c r="AD126" s="255" t="n"/>
      <c r="AE126" s="252" t="n"/>
      <c r="AF126" s="256" t="n"/>
      <c r="AG126" s="254" t="n"/>
      <c r="AH126" s="253" t="n"/>
      <c r="AI126" s="252" t="n"/>
      <c r="AJ126" s="257" t="n"/>
      <c r="AK126" s="55" t="n"/>
      <c r="AL126" s="253" t="n"/>
      <c r="AM126" s="252" t="n"/>
      <c r="AN126" s="253" t="n"/>
      <c r="AO126" s="55" t="n"/>
      <c r="AP126" s="253" t="n"/>
      <c r="AQ126" s="252" t="n"/>
      <c r="AR126" s="257" t="n"/>
      <c r="AS126" s="55" t="n"/>
      <c r="AT126" s="253" t="n"/>
      <c r="AU126" s="252" t="n"/>
      <c r="AV126" s="253" t="n"/>
      <c r="AW126" s="55" t="n"/>
      <c r="AX126" s="253" t="n"/>
      <c r="AY126" s="252" t="n"/>
      <c r="AZ126" s="253" t="n"/>
      <c r="BA126" s="254" t="n"/>
      <c r="BB126" s="255" t="n"/>
      <c r="BC126" s="252" t="n"/>
      <c r="BD126" s="258" t="n"/>
      <c r="BE126" s="259" t="n"/>
      <c r="BF126" s="255" t="n"/>
      <c r="BG126" s="260" t="n"/>
      <c r="BH126" s="261" t="n"/>
      <c r="BI126" s="392" t="n"/>
      <c r="BJ126" s="255" t="n"/>
      <c r="BK126" s="393" t="n"/>
      <c r="BL126" s="393" t="n"/>
      <c r="BM126" s="252" t="n"/>
      <c r="BN126" s="253" t="n"/>
      <c r="BO126" s="254" t="n"/>
      <c r="BP126" s="253" t="n"/>
      <c r="BQ126" s="252" t="n"/>
      <c r="BR126" s="253" t="n"/>
      <c r="BS126" s="254" t="n"/>
      <c r="BT126" s="253" t="n"/>
      <c r="BU126" s="264" t="n"/>
      <c r="BV126" s="253" t="n"/>
      <c r="BW126" s="254" t="n"/>
      <c r="BX126" s="253" t="n"/>
      <c r="BY126" s="264" t="n"/>
      <c r="BZ126" s="253" t="n"/>
      <c r="CA126" s="55" t="n"/>
      <c r="CB126" s="255" t="n"/>
      <c r="CC126" s="252" t="n"/>
      <c r="CD126" s="256" t="n"/>
      <c r="CE126" s="55" t="n"/>
      <c r="CF126" s="253" t="n"/>
      <c r="CG126" s="252" t="n"/>
      <c r="CH126" s="257" t="n"/>
      <c r="CI126" s="55" t="n"/>
      <c r="CJ126" s="253" t="n"/>
      <c r="CK126" s="252" t="n"/>
      <c r="CL126" s="253" t="n"/>
      <c r="CM126" s="55" t="n"/>
      <c r="CN126" s="253" t="n"/>
      <c r="CO126" s="252" t="n"/>
      <c r="CP126" s="257" t="n"/>
      <c r="CQ126" s="55" t="n"/>
      <c r="CR126" s="253" t="n"/>
      <c r="CS126" s="252" t="n"/>
      <c r="CT126" s="253" t="n"/>
      <c r="CU126" s="55" t="n"/>
      <c r="CV126" s="253" t="n"/>
      <c r="CW126" s="252" t="n"/>
      <c r="CX126" s="253" t="n"/>
      <c r="CY126" s="254" t="n"/>
      <c r="CZ126" s="253" t="n"/>
      <c r="DA126" s="252" t="n"/>
      <c r="DB126" s="258" t="n"/>
      <c r="DC126" s="259" t="n"/>
      <c r="DD126" s="253" t="n"/>
      <c r="DE126" s="252" t="n"/>
      <c r="DF126" s="261" t="n"/>
      <c r="DG126" s="392" t="n"/>
      <c r="DH126" s="253" t="n"/>
      <c r="DI126" s="393" t="n"/>
      <c r="DJ126" s="393" t="n"/>
      <c r="DK126" s="252" t="n"/>
      <c r="DL126" s="253" t="n"/>
      <c r="DM126" s="254" t="n"/>
      <c r="DN126" s="253" t="n"/>
      <c r="DO126" s="252" t="n"/>
      <c r="DP126" s="253" t="n"/>
      <c r="DQ126" s="254" t="n"/>
      <c r="DR126" s="253" t="n"/>
      <c r="DS126" s="264" t="n"/>
      <c r="DT126" s="253" t="n"/>
      <c r="DU126" s="254" t="n"/>
      <c r="DV126" s="253" t="n"/>
      <c r="DW126" s="264" t="n"/>
      <c r="DX126" s="253" t="n"/>
      <c r="DY126" s="55" t="n"/>
      <c r="DZ126" s="255" t="n"/>
      <c r="EA126" s="252" t="n"/>
      <c r="EB126" s="256" t="n"/>
      <c r="EC126" s="254" t="n"/>
      <c r="ED126" s="253" t="n"/>
      <c r="EE126" s="252" t="n"/>
      <c r="EF126" s="257" t="n"/>
      <c r="EG126" s="55" t="n"/>
      <c r="EH126" s="253" t="n"/>
      <c r="EI126" s="252" t="n"/>
      <c r="EJ126" s="253" t="n"/>
      <c r="EK126" s="55" t="n"/>
      <c r="EL126" s="253" t="n"/>
      <c r="EM126" s="252" t="n"/>
      <c r="EN126" s="257" t="n"/>
      <c r="EO126" s="55" t="n"/>
      <c r="EP126" s="253" t="n"/>
      <c r="EQ126" s="252" t="n"/>
      <c r="ER126" s="253" t="n"/>
      <c r="ES126" s="55" t="n"/>
      <c r="ET126" s="253" t="n"/>
      <c r="EU126" s="252" t="n"/>
      <c r="EV126" s="253" t="n"/>
      <c r="EW126" s="254" t="n"/>
      <c r="EX126" s="253" t="n"/>
      <c r="EY126" s="252" t="n"/>
      <c r="EZ126" s="258" t="n"/>
      <c r="FA126" s="259" t="n"/>
      <c r="FB126" s="253" t="n"/>
      <c r="FC126" s="252" t="n"/>
      <c r="FD126" s="261" t="n"/>
      <c r="FE126" s="392" t="n"/>
      <c r="FF126" s="253" t="n"/>
      <c r="FG126" s="393" t="n"/>
      <c r="FH126" s="393" t="n"/>
      <c r="FI126" s="252" t="n"/>
      <c r="FJ126" s="253" t="n"/>
      <c r="FK126" s="254" t="n"/>
      <c r="FL126" s="253" t="n"/>
      <c r="FM126" s="252" t="n"/>
      <c r="FN126" s="253" t="n"/>
      <c r="FO126" s="254" t="n"/>
      <c r="FP126" s="253" t="n"/>
      <c r="FQ126" s="264" t="n"/>
      <c r="FR126" s="253" t="n"/>
      <c r="FS126" s="254" t="n"/>
      <c r="FT126" s="253" t="n"/>
      <c r="FU126" s="264" t="n"/>
      <c r="FV126" s="253" t="n"/>
      <c r="FW126" s="55" t="n"/>
      <c r="FX126" s="255" t="n"/>
      <c r="FY126" s="252" t="n"/>
      <c r="FZ126" s="256" t="n"/>
      <c r="GA126" s="254" t="n"/>
      <c r="GB126" s="253" t="n"/>
      <c r="GC126" s="252" t="n"/>
      <c r="GD126" s="257" t="n"/>
      <c r="GE126" s="55" t="n"/>
      <c r="GF126" s="253" t="n"/>
      <c r="GG126" s="252" t="n"/>
      <c r="GH126" s="253" t="n"/>
      <c r="GI126" s="55" t="n"/>
      <c r="GJ126" s="253" t="n"/>
      <c r="GK126" s="252" t="n"/>
      <c r="GL126" s="257" t="n"/>
      <c r="GM126" s="55" t="n"/>
      <c r="GN126" s="253" t="n"/>
      <c r="GO126" s="252" t="n"/>
      <c r="GP126" s="253" t="n"/>
      <c r="GQ126" s="55" t="n"/>
      <c r="GR126" s="253" t="n"/>
      <c r="GS126" s="252" t="n"/>
      <c r="GT126" s="253" t="n"/>
      <c r="GU126" s="254" t="n"/>
      <c r="GV126" s="253" t="n"/>
      <c r="GW126" s="252" t="n"/>
      <c r="GX126" s="258" t="n"/>
      <c r="GY126" s="259" t="n"/>
      <c r="GZ126" s="253" t="n"/>
      <c r="HA126" s="252" t="n"/>
      <c r="HB126" s="261" t="n"/>
      <c r="HC126" s="392" t="n"/>
      <c r="HD126" s="253" t="n"/>
      <c r="HE126" s="393" t="n"/>
      <c r="HF126" s="393" t="n"/>
      <c r="HG126" s="252" t="n"/>
      <c r="HH126" s="253" t="n"/>
      <c r="HI126" s="254" t="n"/>
      <c r="HJ126" s="253" t="n"/>
      <c r="HK126" s="252" t="n"/>
      <c r="HL126" s="253" t="n"/>
      <c r="HM126" s="254" t="n"/>
      <c r="HN126" s="253" t="n"/>
      <c r="HO126" s="264" t="n"/>
      <c r="HP126" s="253" t="n"/>
      <c r="HQ126" s="254" t="n"/>
      <c r="HR126" s="253" t="n"/>
      <c r="HS126" s="264" t="n"/>
      <c r="HT126" s="253" t="n"/>
      <c r="HU126" s="55" t="n"/>
      <c r="HV126" s="255" t="n"/>
      <c r="HW126" s="252" t="n"/>
      <c r="HX126" s="256" t="n"/>
      <c r="HY126" s="254" t="n"/>
      <c r="HZ126" s="253" t="n"/>
      <c r="IA126" s="252" t="n"/>
      <c r="IB126" s="257" t="n"/>
      <c r="IC126" s="55" t="n"/>
      <c r="ID126" s="253" t="n"/>
      <c r="IE126" s="252" t="n"/>
      <c r="IF126" s="253" t="n"/>
      <c r="IG126" s="55" t="n"/>
      <c r="IH126" s="253" t="n"/>
      <c r="II126" s="252" t="n"/>
      <c r="IJ126" s="257" t="n"/>
      <c r="IK126" s="55" t="n"/>
      <c r="IL126" s="253" t="n"/>
      <c r="IM126" s="252" t="n"/>
      <c r="IN126" s="253" t="n"/>
      <c r="IO126" s="55" t="n"/>
      <c r="IP126" s="253" t="n"/>
      <c r="IQ126" s="252" t="n"/>
      <c r="IR126" s="253" t="n"/>
      <c r="IS126" s="254" t="n"/>
      <c r="IT126" s="253" t="n"/>
      <c r="IU126" s="252" t="n"/>
      <c r="IV126" s="258" t="n"/>
      <c r="IW126" s="259" t="n"/>
      <c r="IX126" s="253" t="n"/>
      <c r="IY126" s="252" t="n"/>
      <c r="IZ126" s="261" t="n"/>
      <c r="JA126" s="392" t="n"/>
      <c r="JB126" s="253" t="n"/>
      <c r="JC126" s="393" t="n"/>
      <c r="JD126" s="393" t="n"/>
    </row>
    <row r="127">
      <c r="E127" s="248" t="n"/>
      <c r="F127" s="248" t="n"/>
      <c r="G127" s="249" t="n"/>
      <c r="H127" s="250" t="n"/>
      <c r="I127" s="251" t="n"/>
      <c r="J127" s="251" t="n"/>
      <c r="K127" s="251" t="n"/>
      <c r="L127" s="251" t="n"/>
      <c r="M127" s="251" t="n"/>
      <c r="N127" s="251" t="n"/>
      <c r="O127" s="252" t="n"/>
      <c r="P127" s="253" t="n"/>
      <c r="Q127" s="254" t="n"/>
      <c r="R127" s="253" t="n"/>
      <c r="S127" s="252" t="n"/>
      <c r="T127" s="253" t="n"/>
      <c r="U127" s="254" t="n"/>
      <c r="V127" s="253" t="n"/>
      <c r="W127" s="252" t="n"/>
      <c r="X127" s="253" t="n"/>
      <c r="Y127" s="254" t="n"/>
      <c r="Z127" s="253" t="n"/>
      <c r="AA127" s="252" t="n"/>
      <c r="AB127" s="253" t="n"/>
      <c r="AC127" s="55" t="n"/>
      <c r="AD127" s="255" t="n"/>
      <c r="AE127" s="252" t="n"/>
      <c r="AF127" s="256" t="n"/>
      <c r="AG127" s="254" t="n"/>
      <c r="AH127" s="253" t="n"/>
      <c r="AI127" s="252" t="n"/>
      <c r="AJ127" s="257" t="n"/>
      <c r="AK127" s="55" t="n"/>
      <c r="AL127" s="253" t="n"/>
      <c r="AM127" s="252" t="n"/>
      <c r="AN127" s="253" t="n"/>
      <c r="AO127" s="55" t="n"/>
      <c r="AP127" s="253" t="n"/>
      <c r="AQ127" s="252" t="n"/>
      <c r="AR127" s="257" t="n"/>
      <c r="AS127" s="55" t="n"/>
      <c r="AT127" s="253" t="n"/>
      <c r="AU127" s="252" t="n"/>
      <c r="AV127" s="253" t="n"/>
      <c r="AW127" s="55" t="n"/>
      <c r="AX127" s="253" t="n"/>
      <c r="AY127" s="252" t="n"/>
      <c r="AZ127" s="253" t="n"/>
      <c r="BA127" s="254" t="n"/>
      <c r="BB127" s="255" t="n"/>
      <c r="BC127" s="252" t="n"/>
      <c r="BD127" s="258" t="n"/>
      <c r="BE127" s="259" t="n"/>
      <c r="BF127" s="255" t="n"/>
      <c r="BG127" s="260" t="n"/>
      <c r="BH127" s="261" t="n"/>
      <c r="BI127" s="392" t="n"/>
      <c r="BJ127" s="255" t="n"/>
      <c r="BK127" s="393" t="n"/>
      <c r="BL127" s="393" t="n"/>
      <c r="BM127" s="252" t="n"/>
      <c r="BN127" s="253" t="n"/>
      <c r="BO127" s="254" t="n"/>
      <c r="BP127" s="253" t="n"/>
      <c r="BQ127" s="252" t="n"/>
      <c r="BR127" s="253" t="n"/>
      <c r="BS127" s="254" t="n"/>
      <c r="BT127" s="253" t="n"/>
      <c r="BU127" s="264" t="n"/>
      <c r="BV127" s="253" t="n"/>
      <c r="BW127" s="254" t="n"/>
      <c r="BX127" s="253" t="n"/>
      <c r="BY127" s="264" t="n"/>
      <c r="BZ127" s="253" t="n"/>
      <c r="CA127" s="55" t="n"/>
      <c r="CB127" s="255" t="n"/>
      <c r="CC127" s="252" t="n"/>
      <c r="CD127" s="256" t="n"/>
      <c r="CE127" s="55" t="n"/>
      <c r="CF127" s="253" t="n"/>
      <c r="CG127" s="252" t="n"/>
      <c r="CH127" s="257" t="n"/>
      <c r="CI127" s="55" t="n"/>
      <c r="CJ127" s="253" t="n"/>
      <c r="CK127" s="252" t="n"/>
      <c r="CL127" s="253" t="n"/>
      <c r="CM127" s="55" t="n"/>
      <c r="CN127" s="253" t="n"/>
      <c r="CO127" s="252" t="n"/>
      <c r="CP127" s="257" t="n"/>
      <c r="CQ127" s="55" t="n"/>
      <c r="CR127" s="253" t="n"/>
      <c r="CS127" s="252" t="n"/>
      <c r="CT127" s="253" t="n"/>
      <c r="CU127" s="55" t="n"/>
      <c r="CV127" s="253" t="n"/>
      <c r="CW127" s="252" t="n"/>
      <c r="CX127" s="253" t="n"/>
      <c r="CY127" s="254" t="n"/>
      <c r="CZ127" s="253" t="n"/>
      <c r="DA127" s="252" t="n"/>
      <c r="DB127" s="258" t="n"/>
      <c r="DC127" s="259" t="n"/>
      <c r="DD127" s="253" t="n"/>
      <c r="DE127" s="252" t="n"/>
      <c r="DF127" s="261" t="n"/>
      <c r="DG127" s="392" t="n"/>
      <c r="DH127" s="253" t="n"/>
      <c r="DI127" s="393" t="n"/>
      <c r="DJ127" s="393" t="n"/>
      <c r="DK127" s="252" t="n"/>
      <c r="DL127" s="253" t="n"/>
      <c r="DM127" s="254" t="n"/>
      <c r="DN127" s="253" t="n"/>
      <c r="DO127" s="252" t="n"/>
      <c r="DP127" s="253" t="n"/>
      <c r="DQ127" s="254" t="n"/>
      <c r="DR127" s="253" t="n"/>
      <c r="DS127" s="264" t="n"/>
      <c r="DT127" s="253" t="n"/>
      <c r="DU127" s="254" t="n"/>
      <c r="DV127" s="253" t="n"/>
      <c r="DW127" s="264" t="n"/>
      <c r="DX127" s="253" t="n"/>
      <c r="DY127" s="55" t="n"/>
      <c r="DZ127" s="255" t="n"/>
      <c r="EA127" s="252" t="n"/>
      <c r="EB127" s="256" t="n"/>
      <c r="EC127" s="254" t="n"/>
      <c r="ED127" s="253" t="n"/>
      <c r="EE127" s="252" t="n"/>
      <c r="EF127" s="257" t="n"/>
      <c r="EG127" s="55" t="n"/>
      <c r="EH127" s="253" t="n"/>
      <c r="EI127" s="252" t="n"/>
      <c r="EJ127" s="253" t="n"/>
      <c r="EK127" s="55" t="n"/>
      <c r="EL127" s="253" t="n"/>
      <c r="EM127" s="252" t="n"/>
      <c r="EN127" s="257" t="n"/>
      <c r="EO127" s="55" t="n"/>
      <c r="EP127" s="253" t="n"/>
      <c r="EQ127" s="252" t="n"/>
      <c r="ER127" s="253" t="n"/>
      <c r="ES127" s="55" t="n"/>
      <c r="ET127" s="253" t="n"/>
      <c r="EU127" s="252" t="n"/>
      <c r="EV127" s="253" t="n"/>
      <c r="EW127" s="254" t="n"/>
      <c r="EX127" s="253" t="n"/>
      <c r="EY127" s="252" t="n"/>
      <c r="EZ127" s="258" t="n"/>
      <c r="FA127" s="259" t="n"/>
      <c r="FB127" s="253" t="n"/>
      <c r="FC127" s="252" t="n"/>
      <c r="FD127" s="261" t="n"/>
      <c r="FE127" s="392" t="n"/>
      <c r="FF127" s="253" t="n"/>
      <c r="FG127" s="393" t="n"/>
      <c r="FH127" s="393" t="n"/>
      <c r="FI127" s="252" t="n"/>
      <c r="FJ127" s="253" t="n"/>
      <c r="FK127" s="254" t="n"/>
      <c r="FL127" s="253" t="n"/>
      <c r="FM127" s="252" t="n"/>
      <c r="FN127" s="253" t="n"/>
      <c r="FO127" s="254" t="n"/>
      <c r="FP127" s="253" t="n"/>
      <c r="FQ127" s="264" t="n"/>
      <c r="FR127" s="253" t="n"/>
      <c r="FS127" s="254" t="n"/>
      <c r="FT127" s="253" t="n"/>
      <c r="FU127" s="264" t="n"/>
      <c r="FV127" s="253" t="n"/>
      <c r="FW127" s="55" t="n"/>
      <c r="FX127" s="255" t="n"/>
      <c r="FY127" s="252" t="n"/>
      <c r="FZ127" s="256" t="n"/>
      <c r="GA127" s="254" t="n"/>
      <c r="GB127" s="253" t="n"/>
      <c r="GC127" s="252" t="n"/>
      <c r="GD127" s="257" t="n"/>
      <c r="GE127" s="55" t="n"/>
      <c r="GF127" s="253" t="n"/>
      <c r="GG127" s="252" t="n"/>
      <c r="GH127" s="253" t="n"/>
      <c r="GI127" s="55" t="n"/>
      <c r="GJ127" s="253" t="n"/>
      <c r="GK127" s="252" t="n"/>
      <c r="GL127" s="257" t="n"/>
      <c r="GM127" s="55" t="n"/>
      <c r="GN127" s="253" t="n"/>
      <c r="GO127" s="252" t="n"/>
      <c r="GP127" s="253" t="n"/>
      <c r="GQ127" s="55" t="n"/>
      <c r="GR127" s="253" t="n"/>
      <c r="GS127" s="252" t="n"/>
      <c r="GT127" s="253" t="n"/>
      <c r="GU127" s="254" t="n"/>
      <c r="GV127" s="253" t="n"/>
      <c r="GW127" s="252" t="n"/>
      <c r="GX127" s="258" t="n"/>
      <c r="GY127" s="259" t="n"/>
      <c r="GZ127" s="253" t="n"/>
      <c r="HA127" s="252" t="n"/>
      <c r="HB127" s="261" t="n"/>
      <c r="HC127" s="392" t="n"/>
      <c r="HD127" s="253" t="n"/>
      <c r="HE127" s="393" t="n"/>
      <c r="HF127" s="393" t="n"/>
      <c r="HG127" s="252" t="n"/>
      <c r="HH127" s="253" t="n"/>
      <c r="HI127" s="254" t="n"/>
      <c r="HJ127" s="253" t="n"/>
      <c r="HK127" s="252" t="n"/>
      <c r="HL127" s="253" t="n"/>
      <c r="HM127" s="254" t="n"/>
      <c r="HN127" s="253" t="n"/>
      <c r="HO127" s="264" t="n"/>
      <c r="HP127" s="253" t="n"/>
      <c r="HQ127" s="254" t="n"/>
      <c r="HR127" s="253" t="n"/>
      <c r="HS127" s="264" t="n"/>
      <c r="HT127" s="253" t="n"/>
      <c r="HU127" s="55" t="n"/>
      <c r="HV127" s="255" t="n"/>
      <c r="HW127" s="252" t="n"/>
      <c r="HX127" s="256" t="n"/>
      <c r="HY127" s="254" t="n"/>
      <c r="HZ127" s="253" t="n"/>
      <c r="IA127" s="252" t="n"/>
      <c r="IB127" s="257" t="n"/>
      <c r="IC127" s="55" t="n"/>
      <c r="ID127" s="253" t="n"/>
      <c r="IE127" s="252" t="n"/>
      <c r="IF127" s="253" t="n"/>
      <c r="IG127" s="55" t="n"/>
      <c r="IH127" s="253" t="n"/>
      <c r="II127" s="252" t="n"/>
      <c r="IJ127" s="257" t="n"/>
      <c r="IK127" s="55" t="n"/>
      <c r="IL127" s="253" t="n"/>
      <c r="IM127" s="252" t="n"/>
      <c r="IN127" s="253" t="n"/>
      <c r="IO127" s="55" t="n"/>
      <c r="IP127" s="253" t="n"/>
      <c r="IQ127" s="252" t="n"/>
      <c r="IR127" s="253" t="n"/>
      <c r="IS127" s="254" t="n"/>
      <c r="IT127" s="253" t="n"/>
      <c r="IU127" s="252" t="n"/>
      <c r="IV127" s="258" t="n"/>
      <c r="IW127" s="259" t="n"/>
      <c r="IX127" s="253" t="n"/>
      <c r="IY127" s="252" t="n"/>
      <c r="IZ127" s="261" t="n"/>
      <c r="JA127" s="392" t="n"/>
      <c r="JB127" s="253" t="n"/>
      <c r="JC127" s="393" t="n"/>
      <c r="JD127" s="393" t="n"/>
    </row>
    <row r="128">
      <c r="E128" s="248" t="n"/>
      <c r="F128" s="248" t="n"/>
      <c r="G128" s="249" t="n"/>
      <c r="H128" s="250" t="n"/>
      <c r="I128" s="251" t="n"/>
      <c r="J128" s="251" t="n"/>
      <c r="K128" s="251" t="n"/>
      <c r="L128" s="251" t="n"/>
      <c r="M128" s="251" t="n"/>
      <c r="N128" s="251" t="n"/>
      <c r="O128" s="252" t="n"/>
      <c r="P128" s="253" t="n"/>
      <c r="Q128" s="254" t="n"/>
      <c r="R128" s="253" t="n"/>
      <c r="S128" s="252" t="n"/>
      <c r="T128" s="253" t="n"/>
      <c r="U128" s="254" t="n"/>
      <c r="V128" s="253" t="n"/>
      <c r="W128" s="252" t="n"/>
      <c r="X128" s="253" t="n"/>
      <c r="Y128" s="254" t="n"/>
      <c r="Z128" s="253" t="n"/>
      <c r="AA128" s="252" t="n"/>
      <c r="AB128" s="253" t="n"/>
      <c r="AC128" s="55" t="n"/>
      <c r="AD128" s="255" t="n"/>
      <c r="AE128" s="252" t="n"/>
      <c r="AF128" s="256" t="n"/>
      <c r="AG128" s="254" t="n"/>
      <c r="AH128" s="253" t="n"/>
      <c r="AI128" s="252" t="n"/>
      <c r="AJ128" s="257" t="n"/>
      <c r="AK128" s="55" t="n"/>
      <c r="AL128" s="253" t="n"/>
      <c r="AM128" s="252" t="n"/>
      <c r="AN128" s="253" t="n"/>
      <c r="AO128" s="55" t="n"/>
      <c r="AP128" s="253" t="n"/>
      <c r="AQ128" s="252" t="n"/>
      <c r="AR128" s="257" t="n"/>
      <c r="AS128" s="55" t="n"/>
      <c r="AT128" s="253" t="n"/>
      <c r="AU128" s="252" t="n"/>
      <c r="AV128" s="253" t="n"/>
      <c r="AW128" s="55" t="n"/>
      <c r="AX128" s="253" t="n"/>
      <c r="AY128" s="252" t="n"/>
      <c r="AZ128" s="253" t="n"/>
      <c r="BA128" s="254" t="n"/>
      <c r="BB128" s="255" t="n"/>
      <c r="BC128" s="252" t="n"/>
      <c r="BD128" s="258" t="n"/>
      <c r="BE128" s="259" t="n"/>
      <c r="BF128" s="255" t="n"/>
      <c r="BG128" s="260" t="n"/>
      <c r="BH128" s="261" t="n"/>
      <c r="BI128" s="392" t="n"/>
      <c r="BJ128" s="255" t="n"/>
      <c r="BK128" s="393" t="n"/>
      <c r="BL128" s="393" t="n"/>
      <c r="BM128" s="252" t="n"/>
      <c r="BN128" s="253" t="n"/>
      <c r="BO128" s="254" t="n"/>
      <c r="BP128" s="253" t="n"/>
      <c r="BQ128" s="252" t="n"/>
      <c r="BR128" s="253" t="n"/>
      <c r="BS128" s="254" t="n"/>
      <c r="BT128" s="253" t="n"/>
      <c r="BU128" s="264" t="n"/>
      <c r="BV128" s="253" t="n"/>
      <c r="BW128" s="254" t="n"/>
      <c r="BX128" s="253" t="n"/>
      <c r="BY128" s="264" t="n"/>
      <c r="BZ128" s="253" t="n"/>
      <c r="CA128" s="55" t="n"/>
      <c r="CB128" s="255" t="n"/>
      <c r="CC128" s="252" t="n"/>
      <c r="CD128" s="256" t="n"/>
      <c r="CE128" s="55" t="n"/>
      <c r="CF128" s="253" t="n"/>
      <c r="CG128" s="252" t="n"/>
      <c r="CH128" s="257" t="n"/>
      <c r="CI128" s="55" t="n"/>
      <c r="CJ128" s="253" t="n"/>
      <c r="CK128" s="252" t="n"/>
      <c r="CL128" s="253" t="n"/>
      <c r="CM128" s="55" t="n"/>
      <c r="CN128" s="253" t="n"/>
      <c r="CO128" s="252" t="n"/>
      <c r="CP128" s="257" t="n"/>
      <c r="CQ128" s="55" t="n"/>
      <c r="CR128" s="253" t="n"/>
      <c r="CS128" s="252" t="n"/>
      <c r="CT128" s="253" t="n"/>
      <c r="CU128" s="55" t="n"/>
      <c r="CV128" s="253" t="n"/>
      <c r="CW128" s="252" t="n"/>
      <c r="CX128" s="253" t="n"/>
      <c r="CY128" s="254" t="n"/>
      <c r="CZ128" s="253" t="n"/>
      <c r="DA128" s="252" t="n"/>
      <c r="DB128" s="258" t="n"/>
      <c r="DC128" s="259" t="n"/>
      <c r="DD128" s="253" t="n"/>
      <c r="DE128" s="252" t="n"/>
      <c r="DF128" s="261" t="n"/>
      <c r="DG128" s="392" t="n"/>
      <c r="DH128" s="253" t="n"/>
      <c r="DI128" s="393" t="n"/>
      <c r="DJ128" s="393" t="n"/>
      <c r="DK128" s="252" t="n"/>
      <c r="DL128" s="253" t="n"/>
      <c r="DM128" s="254" t="n"/>
      <c r="DN128" s="253" t="n"/>
      <c r="DO128" s="252" t="n"/>
      <c r="DP128" s="253" t="n"/>
      <c r="DQ128" s="254" t="n"/>
      <c r="DR128" s="253" t="n"/>
      <c r="DS128" s="264" t="n"/>
      <c r="DT128" s="253" t="n"/>
      <c r="DU128" s="254" t="n"/>
      <c r="DV128" s="253" t="n"/>
      <c r="DW128" s="264" t="n"/>
      <c r="DX128" s="253" t="n"/>
      <c r="DY128" s="55" t="n"/>
      <c r="DZ128" s="255" t="n"/>
      <c r="EA128" s="252" t="n"/>
      <c r="EB128" s="256" t="n"/>
      <c r="EC128" s="254" t="n"/>
      <c r="ED128" s="253" t="n"/>
      <c r="EE128" s="252" t="n"/>
      <c r="EF128" s="257" t="n"/>
      <c r="EG128" s="55" t="n"/>
      <c r="EH128" s="253" t="n"/>
      <c r="EI128" s="252" t="n"/>
      <c r="EJ128" s="253" t="n"/>
      <c r="EK128" s="55" t="n"/>
      <c r="EL128" s="253" t="n"/>
      <c r="EM128" s="252" t="n"/>
      <c r="EN128" s="257" t="n"/>
      <c r="EO128" s="55" t="n"/>
      <c r="EP128" s="253" t="n"/>
      <c r="EQ128" s="252" t="n"/>
      <c r="ER128" s="253" t="n"/>
      <c r="ES128" s="55" t="n"/>
      <c r="ET128" s="253" t="n"/>
      <c r="EU128" s="252" t="n"/>
      <c r="EV128" s="253" t="n"/>
      <c r="EW128" s="254" t="n"/>
      <c r="EX128" s="253" t="n"/>
      <c r="EY128" s="252" t="n"/>
      <c r="EZ128" s="258" t="n"/>
      <c r="FA128" s="259" t="n"/>
      <c r="FB128" s="253" t="n"/>
      <c r="FC128" s="252" t="n"/>
      <c r="FD128" s="261" t="n"/>
      <c r="FE128" s="392" t="n"/>
      <c r="FF128" s="253" t="n"/>
      <c r="FG128" s="393" t="n"/>
      <c r="FH128" s="393" t="n"/>
      <c r="FI128" s="252" t="n"/>
      <c r="FJ128" s="253" t="n"/>
      <c r="FK128" s="254" t="n"/>
      <c r="FL128" s="253" t="n"/>
      <c r="FM128" s="252" t="n"/>
      <c r="FN128" s="253" t="n"/>
      <c r="FO128" s="254" t="n"/>
      <c r="FP128" s="253" t="n"/>
      <c r="FQ128" s="264" t="n"/>
      <c r="FR128" s="253" t="n"/>
      <c r="FS128" s="254" t="n"/>
      <c r="FT128" s="253" t="n"/>
      <c r="FU128" s="264" t="n"/>
      <c r="FV128" s="253" t="n"/>
      <c r="FW128" s="55" t="n"/>
      <c r="FX128" s="255" t="n"/>
      <c r="FY128" s="252" t="n"/>
      <c r="FZ128" s="256" t="n"/>
      <c r="GA128" s="254" t="n"/>
      <c r="GB128" s="253" t="n"/>
      <c r="GC128" s="252" t="n"/>
      <c r="GD128" s="257" t="n"/>
      <c r="GE128" s="55" t="n"/>
      <c r="GF128" s="253" t="n"/>
      <c r="GG128" s="252" t="n"/>
      <c r="GH128" s="253" t="n"/>
      <c r="GI128" s="55" t="n"/>
      <c r="GJ128" s="253" t="n"/>
      <c r="GK128" s="252" t="n"/>
      <c r="GL128" s="257" t="n"/>
      <c r="GM128" s="55" t="n"/>
      <c r="GN128" s="253" t="n"/>
      <c r="GO128" s="252" t="n"/>
      <c r="GP128" s="253" t="n"/>
      <c r="GQ128" s="55" t="n"/>
      <c r="GR128" s="253" t="n"/>
      <c r="GS128" s="252" t="n"/>
      <c r="GT128" s="253" t="n"/>
      <c r="GU128" s="254" t="n"/>
      <c r="GV128" s="253" t="n"/>
      <c r="GW128" s="252" t="n"/>
      <c r="GX128" s="258" t="n"/>
      <c r="GY128" s="259" t="n"/>
      <c r="GZ128" s="253" t="n"/>
      <c r="HA128" s="252" t="n"/>
      <c r="HB128" s="261" t="n"/>
      <c r="HC128" s="392" t="n"/>
      <c r="HD128" s="253" t="n"/>
      <c r="HE128" s="393" t="n"/>
      <c r="HF128" s="393" t="n"/>
      <c r="HG128" s="252" t="n"/>
      <c r="HH128" s="253" t="n"/>
      <c r="HI128" s="254" t="n"/>
      <c r="HJ128" s="253" t="n"/>
      <c r="HK128" s="252" t="n"/>
      <c r="HL128" s="253" t="n"/>
      <c r="HM128" s="254" t="n"/>
      <c r="HN128" s="253" t="n"/>
      <c r="HO128" s="264" t="n"/>
      <c r="HP128" s="253" t="n"/>
      <c r="HQ128" s="254" t="n"/>
      <c r="HR128" s="253" t="n"/>
      <c r="HS128" s="264" t="n"/>
      <c r="HT128" s="253" t="n"/>
      <c r="HU128" s="55" t="n"/>
      <c r="HV128" s="255" t="n"/>
      <c r="HW128" s="252" t="n"/>
      <c r="HX128" s="256" t="n"/>
      <c r="HY128" s="254" t="n"/>
      <c r="HZ128" s="253" t="n"/>
      <c r="IA128" s="252" t="n"/>
      <c r="IB128" s="257" t="n"/>
      <c r="IC128" s="55" t="n"/>
      <c r="ID128" s="253" t="n"/>
      <c r="IE128" s="252" t="n"/>
      <c r="IF128" s="253" t="n"/>
      <c r="IG128" s="55" t="n"/>
      <c r="IH128" s="253" t="n"/>
      <c r="II128" s="252" t="n"/>
      <c r="IJ128" s="257" t="n"/>
      <c r="IK128" s="55" t="n"/>
      <c r="IL128" s="253" t="n"/>
      <c r="IM128" s="252" t="n"/>
      <c r="IN128" s="253" t="n"/>
      <c r="IO128" s="55" t="n"/>
      <c r="IP128" s="253" t="n"/>
      <c r="IQ128" s="252" t="n"/>
      <c r="IR128" s="253" t="n"/>
      <c r="IS128" s="254" t="n"/>
      <c r="IT128" s="253" t="n"/>
      <c r="IU128" s="252" t="n"/>
      <c r="IV128" s="258" t="n"/>
      <c r="IW128" s="259" t="n"/>
      <c r="IX128" s="253" t="n"/>
      <c r="IY128" s="252" t="n"/>
      <c r="IZ128" s="261" t="n"/>
      <c r="JA128" s="392" t="n"/>
      <c r="JB128" s="253" t="n"/>
      <c r="JC128" s="393" t="n"/>
      <c r="JD128" s="393" t="n"/>
    </row>
    <row r="129">
      <c r="E129" s="248" t="n"/>
      <c r="F129" s="248" t="n"/>
      <c r="G129" s="249" t="n"/>
      <c r="H129" s="250" t="n"/>
      <c r="I129" s="251" t="n"/>
      <c r="J129" s="251" t="n"/>
      <c r="K129" s="251" t="n"/>
      <c r="L129" s="251" t="n"/>
      <c r="M129" s="251" t="n"/>
      <c r="N129" s="251" t="n"/>
      <c r="O129" s="252" t="n"/>
      <c r="P129" s="253" t="n"/>
      <c r="Q129" s="254" t="n"/>
      <c r="R129" s="253" t="n"/>
      <c r="S129" s="252" t="n"/>
      <c r="T129" s="253" t="n"/>
      <c r="U129" s="254" t="n"/>
      <c r="V129" s="253" t="n"/>
      <c r="W129" s="252" t="n"/>
      <c r="X129" s="253" t="n"/>
      <c r="Y129" s="254" t="n"/>
      <c r="Z129" s="253" t="n"/>
      <c r="AA129" s="252" t="n"/>
      <c r="AB129" s="253" t="n"/>
      <c r="AC129" s="55" t="n"/>
      <c r="AD129" s="255" t="n"/>
      <c r="AE129" s="252" t="n"/>
      <c r="AF129" s="256" t="n"/>
      <c r="AG129" s="254" t="n"/>
      <c r="AH129" s="253" t="n"/>
      <c r="AI129" s="252" t="n"/>
      <c r="AJ129" s="257" t="n"/>
      <c r="AK129" s="55" t="n"/>
      <c r="AL129" s="253" t="n"/>
      <c r="AM129" s="252" t="n"/>
      <c r="AN129" s="253" t="n"/>
      <c r="AO129" s="55" t="n"/>
      <c r="AP129" s="253" t="n"/>
      <c r="AQ129" s="252" t="n"/>
      <c r="AR129" s="257" t="n"/>
      <c r="AS129" s="55" t="n"/>
      <c r="AT129" s="253" t="n"/>
      <c r="AU129" s="252" t="n"/>
      <c r="AV129" s="253" t="n"/>
      <c r="AW129" s="55" t="n"/>
      <c r="AX129" s="253" t="n"/>
      <c r="AY129" s="252" t="n"/>
      <c r="AZ129" s="253" t="n"/>
      <c r="BA129" s="254" t="n"/>
      <c r="BB129" s="255" t="n"/>
      <c r="BC129" s="252" t="n"/>
      <c r="BD129" s="258" t="n"/>
      <c r="BE129" s="259" t="n"/>
      <c r="BF129" s="255" t="n"/>
      <c r="BG129" s="260" t="n"/>
      <c r="BH129" s="261" t="n"/>
      <c r="BI129" s="392" t="n"/>
      <c r="BJ129" s="255" t="n"/>
      <c r="BK129" s="393" t="n"/>
      <c r="BL129" s="393" t="n"/>
      <c r="BM129" s="252" t="n"/>
      <c r="BN129" s="253" t="n"/>
      <c r="BO129" s="254" t="n"/>
      <c r="BP129" s="253" t="n"/>
      <c r="BQ129" s="252" t="n"/>
      <c r="BR129" s="253" t="n"/>
      <c r="BS129" s="254" t="n"/>
      <c r="BT129" s="253" t="n"/>
      <c r="BU129" s="264" t="n"/>
      <c r="BV129" s="253" t="n"/>
      <c r="BW129" s="254" t="n"/>
      <c r="BX129" s="253" t="n"/>
      <c r="BY129" s="264" t="n"/>
      <c r="BZ129" s="253" t="n"/>
      <c r="CA129" s="55" t="n"/>
      <c r="CB129" s="255" t="n"/>
      <c r="CC129" s="252" t="n"/>
      <c r="CD129" s="256" t="n"/>
      <c r="CE129" s="55" t="n"/>
      <c r="CF129" s="253" t="n"/>
      <c r="CG129" s="252" t="n"/>
      <c r="CH129" s="257" t="n"/>
      <c r="CI129" s="55" t="n"/>
      <c r="CJ129" s="253" t="n"/>
      <c r="CK129" s="252" t="n"/>
      <c r="CL129" s="253" t="n"/>
      <c r="CM129" s="55" t="n"/>
      <c r="CN129" s="253" t="n"/>
      <c r="CO129" s="252" t="n"/>
      <c r="CP129" s="257" t="n"/>
      <c r="CQ129" s="55" t="n"/>
      <c r="CR129" s="253" t="n"/>
      <c r="CS129" s="252" t="n"/>
      <c r="CT129" s="253" t="n"/>
      <c r="CU129" s="55" t="n"/>
      <c r="CV129" s="253" t="n"/>
      <c r="CW129" s="252" t="n"/>
      <c r="CX129" s="253" t="n"/>
      <c r="CY129" s="254" t="n"/>
      <c r="CZ129" s="253" t="n"/>
      <c r="DA129" s="252" t="n"/>
      <c r="DB129" s="258" t="n"/>
      <c r="DC129" s="259" t="n"/>
      <c r="DD129" s="253" t="n"/>
      <c r="DE129" s="252" t="n"/>
      <c r="DF129" s="261" t="n"/>
      <c r="DG129" s="392" t="n"/>
      <c r="DH129" s="253" t="n"/>
      <c r="DI129" s="393" t="n"/>
      <c r="DJ129" s="393" t="n"/>
      <c r="DK129" s="252" t="n"/>
      <c r="DL129" s="253" t="n"/>
      <c r="DM129" s="254" t="n"/>
      <c r="DN129" s="253" t="n"/>
      <c r="DO129" s="252" t="n"/>
      <c r="DP129" s="253" t="n"/>
      <c r="DQ129" s="254" t="n"/>
      <c r="DR129" s="253" t="n"/>
      <c r="DS129" s="264" t="n"/>
      <c r="DT129" s="253" t="n"/>
      <c r="DU129" s="254" t="n"/>
      <c r="DV129" s="253" t="n"/>
      <c r="DW129" s="264" t="n"/>
      <c r="DX129" s="253" t="n"/>
      <c r="DY129" s="55" t="n"/>
      <c r="DZ129" s="255" t="n"/>
      <c r="EA129" s="252" t="n"/>
      <c r="EB129" s="256" t="n"/>
      <c r="EC129" s="254" t="n"/>
      <c r="ED129" s="253" t="n"/>
      <c r="EE129" s="252" t="n"/>
      <c r="EF129" s="257" t="n"/>
      <c r="EG129" s="55" t="n"/>
      <c r="EH129" s="253" t="n"/>
      <c r="EI129" s="252" t="n"/>
      <c r="EJ129" s="253" t="n"/>
      <c r="EK129" s="55" t="n"/>
      <c r="EL129" s="253" t="n"/>
      <c r="EM129" s="252" t="n"/>
      <c r="EN129" s="257" t="n"/>
      <c r="EO129" s="55" t="n"/>
      <c r="EP129" s="253" t="n"/>
      <c r="EQ129" s="252" t="n"/>
      <c r="ER129" s="253" t="n"/>
      <c r="ES129" s="55" t="n"/>
      <c r="ET129" s="253" t="n"/>
      <c r="EU129" s="252" t="n"/>
      <c r="EV129" s="253" t="n"/>
      <c r="EW129" s="254" t="n"/>
      <c r="EX129" s="253" t="n"/>
      <c r="EY129" s="252" t="n"/>
      <c r="EZ129" s="258" t="n"/>
      <c r="FA129" s="259" t="n"/>
      <c r="FB129" s="253" t="n"/>
      <c r="FC129" s="252" t="n"/>
      <c r="FD129" s="261" t="n"/>
      <c r="FE129" s="392" t="n"/>
      <c r="FF129" s="253" t="n"/>
      <c r="FG129" s="393" t="n"/>
      <c r="FH129" s="393" t="n"/>
      <c r="FI129" s="252" t="n"/>
      <c r="FJ129" s="253" t="n"/>
      <c r="FK129" s="254" t="n"/>
      <c r="FL129" s="253" t="n"/>
      <c r="FM129" s="252" t="n"/>
      <c r="FN129" s="253" t="n"/>
      <c r="FO129" s="254" t="n"/>
      <c r="FP129" s="253" t="n"/>
      <c r="FQ129" s="264" t="n"/>
      <c r="FR129" s="253" t="n"/>
      <c r="FS129" s="254" t="n"/>
      <c r="FT129" s="253" t="n"/>
      <c r="FU129" s="264" t="n"/>
      <c r="FV129" s="253" t="n"/>
      <c r="FW129" s="55" t="n"/>
      <c r="FX129" s="255" t="n"/>
      <c r="FY129" s="252" t="n"/>
      <c r="FZ129" s="256" t="n"/>
      <c r="GA129" s="254" t="n"/>
      <c r="GB129" s="253" t="n"/>
      <c r="GC129" s="252" t="n"/>
      <c r="GD129" s="257" t="n"/>
      <c r="GE129" s="55" t="n"/>
      <c r="GF129" s="253" t="n"/>
      <c r="GG129" s="252" t="n"/>
      <c r="GH129" s="253" t="n"/>
      <c r="GI129" s="55" t="n"/>
      <c r="GJ129" s="253" t="n"/>
      <c r="GK129" s="252" t="n"/>
      <c r="GL129" s="257" t="n"/>
      <c r="GM129" s="55" t="n"/>
      <c r="GN129" s="253" t="n"/>
      <c r="GO129" s="252" t="n"/>
      <c r="GP129" s="253" t="n"/>
      <c r="GQ129" s="55" t="n"/>
      <c r="GR129" s="253" t="n"/>
      <c r="GS129" s="252" t="n"/>
      <c r="GT129" s="253" t="n"/>
      <c r="GU129" s="254" t="n"/>
      <c r="GV129" s="253" t="n"/>
      <c r="GW129" s="252" t="n"/>
      <c r="GX129" s="258" t="n"/>
      <c r="GY129" s="259" t="n"/>
      <c r="GZ129" s="253" t="n"/>
      <c r="HA129" s="252" t="n"/>
      <c r="HB129" s="261" t="n"/>
      <c r="HC129" s="392" t="n"/>
      <c r="HD129" s="253" t="n"/>
      <c r="HE129" s="393" t="n"/>
      <c r="HF129" s="393" t="n"/>
      <c r="HG129" s="252" t="n"/>
      <c r="HH129" s="253" t="n"/>
      <c r="HI129" s="254" t="n"/>
      <c r="HJ129" s="253" t="n"/>
      <c r="HK129" s="252" t="n"/>
      <c r="HL129" s="253" t="n"/>
      <c r="HM129" s="254" t="n"/>
      <c r="HN129" s="253" t="n"/>
      <c r="HO129" s="264" t="n"/>
      <c r="HP129" s="253" t="n"/>
      <c r="HQ129" s="254" t="n"/>
      <c r="HR129" s="253" t="n"/>
      <c r="HS129" s="264" t="n"/>
      <c r="HT129" s="253" t="n"/>
      <c r="HU129" s="55" t="n"/>
      <c r="HV129" s="255" t="n"/>
      <c r="HW129" s="252" t="n"/>
      <c r="HX129" s="256" t="n"/>
      <c r="HY129" s="254" t="n"/>
      <c r="HZ129" s="253" t="n"/>
      <c r="IA129" s="252" t="n"/>
      <c r="IB129" s="257" t="n"/>
      <c r="IC129" s="55" t="n"/>
      <c r="ID129" s="253" t="n"/>
      <c r="IE129" s="252" t="n"/>
      <c r="IF129" s="253" t="n"/>
      <c r="IG129" s="55" t="n"/>
      <c r="IH129" s="253" t="n"/>
      <c r="II129" s="252" t="n"/>
      <c r="IJ129" s="257" t="n"/>
      <c r="IK129" s="55" t="n"/>
      <c r="IL129" s="253" t="n"/>
      <c r="IM129" s="252" t="n"/>
      <c r="IN129" s="253" t="n"/>
      <c r="IO129" s="55" t="n"/>
      <c r="IP129" s="253" t="n"/>
      <c r="IQ129" s="252" t="n"/>
      <c r="IR129" s="253" t="n"/>
      <c r="IS129" s="254" t="n"/>
      <c r="IT129" s="253" t="n"/>
      <c r="IU129" s="252" t="n"/>
      <c r="IV129" s="258" t="n"/>
      <c r="IW129" s="259" t="n"/>
      <c r="IX129" s="253" t="n"/>
      <c r="IY129" s="252" t="n"/>
      <c r="IZ129" s="261" t="n"/>
      <c r="JA129" s="392" t="n"/>
      <c r="JB129" s="253" t="n"/>
      <c r="JC129" s="393" t="n"/>
      <c r="JD129" s="393" t="n"/>
    </row>
    <row r="130">
      <c r="E130" s="248" t="n"/>
      <c r="F130" s="248" t="n"/>
      <c r="G130" s="249" t="n"/>
      <c r="H130" s="250" t="n"/>
      <c r="I130" s="251" t="n"/>
      <c r="J130" s="251" t="n"/>
      <c r="K130" s="251" t="n"/>
      <c r="L130" s="251" t="n"/>
      <c r="M130" s="251" t="n"/>
      <c r="N130" s="251" t="n"/>
      <c r="O130" s="252" t="n"/>
      <c r="P130" s="253" t="n"/>
      <c r="Q130" s="254" t="n"/>
      <c r="R130" s="253" t="n"/>
      <c r="S130" s="252" t="n"/>
      <c r="T130" s="253" t="n"/>
      <c r="U130" s="254" t="n"/>
      <c r="V130" s="253" t="n"/>
      <c r="W130" s="252" t="n"/>
      <c r="X130" s="253" t="n"/>
      <c r="Y130" s="254" t="n"/>
      <c r="Z130" s="253" t="n"/>
      <c r="AA130" s="252" t="n"/>
      <c r="AB130" s="253" t="n"/>
      <c r="AC130" s="55" t="n"/>
      <c r="AD130" s="255" t="n"/>
      <c r="AE130" s="252" t="n"/>
      <c r="AF130" s="256" t="n"/>
      <c r="AG130" s="254" t="n"/>
      <c r="AH130" s="253" t="n"/>
      <c r="AI130" s="252" t="n"/>
      <c r="AJ130" s="257" t="n"/>
      <c r="AK130" s="55" t="n"/>
      <c r="AL130" s="253" t="n"/>
      <c r="AM130" s="252" t="n"/>
      <c r="AN130" s="253" t="n"/>
      <c r="AO130" s="55" t="n"/>
      <c r="AP130" s="253" t="n"/>
      <c r="AQ130" s="252" t="n"/>
      <c r="AR130" s="257" t="n"/>
      <c r="AS130" s="55" t="n"/>
      <c r="AT130" s="253" t="n"/>
      <c r="AU130" s="252" t="n"/>
      <c r="AV130" s="253" t="n"/>
      <c r="AW130" s="55" t="n"/>
      <c r="AX130" s="253" t="n"/>
      <c r="AY130" s="252" t="n"/>
      <c r="AZ130" s="253" t="n"/>
      <c r="BA130" s="254" t="n"/>
      <c r="BB130" s="255" t="n"/>
      <c r="BC130" s="252" t="n"/>
      <c r="BD130" s="258" t="n"/>
      <c r="BE130" s="259" t="n"/>
      <c r="BF130" s="255" t="n"/>
      <c r="BG130" s="260" t="n"/>
      <c r="BH130" s="261" t="n"/>
      <c r="BI130" s="392" t="n"/>
      <c r="BJ130" s="255" t="n"/>
      <c r="BK130" s="393" t="n"/>
      <c r="BL130" s="393" t="n"/>
      <c r="BM130" s="252" t="n"/>
      <c r="BN130" s="253" t="n"/>
      <c r="BO130" s="254" t="n"/>
      <c r="BP130" s="253" t="n"/>
      <c r="BQ130" s="252" t="n"/>
      <c r="BR130" s="253" t="n"/>
      <c r="BS130" s="254" t="n"/>
      <c r="BT130" s="253" t="n"/>
      <c r="BU130" s="264" t="n"/>
      <c r="BV130" s="253" t="n"/>
      <c r="BW130" s="254" t="n"/>
      <c r="BX130" s="253" t="n"/>
      <c r="BY130" s="264" t="n"/>
      <c r="BZ130" s="253" t="n"/>
      <c r="CA130" s="55" t="n"/>
      <c r="CB130" s="255" t="n"/>
      <c r="CC130" s="252" t="n"/>
      <c r="CD130" s="256" t="n"/>
      <c r="CE130" s="55" t="n"/>
      <c r="CF130" s="253" t="n"/>
      <c r="CG130" s="252" t="n"/>
      <c r="CH130" s="257" t="n"/>
      <c r="CI130" s="55" t="n"/>
      <c r="CJ130" s="253" t="n"/>
      <c r="CK130" s="252" t="n"/>
      <c r="CL130" s="253" t="n"/>
      <c r="CM130" s="55" t="n"/>
      <c r="CN130" s="253" t="n"/>
      <c r="CO130" s="252" t="n"/>
      <c r="CP130" s="257" t="n"/>
      <c r="CQ130" s="55" t="n"/>
      <c r="CR130" s="253" t="n"/>
      <c r="CS130" s="252" t="n"/>
      <c r="CT130" s="253" t="n"/>
      <c r="CU130" s="55" t="n"/>
      <c r="CV130" s="253" t="n"/>
      <c r="CW130" s="252" t="n"/>
      <c r="CX130" s="253" t="n"/>
      <c r="CY130" s="254" t="n"/>
      <c r="CZ130" s="253" t="n"/>
      <c r="DA130" s="252" t="n"/>
      <c r="DB130" s="258" t="n"/>
      <c r="DC130" s="259" t="n"/>
      <c r="DD130" s="253" t="n"/>
      <c r="DE130" s="252" t="n"/>
      <c r="DF130" s="261" t="n"/>
      <c r="DG130" s="392" t="n"/>
      <c r="DH130" s="253" t="n"/>
      <c r="DI130" s="393" t="n"/>
      <c r="DJ130" s="393" t="n"/>
      <c r="DK130" s="252" t="n"/>
      <c r="DL130" s="253" t="n"/>
      <c r="DM130" s="254" t="n"/>
      <c r="DN130" s="253" t="n"/>
      <c r="DO130" s="252" t="n"/>
      <c r="DP130" s="253" t="n"/>
      <c r="DQ130" s="254" t="n"/>
      <c r="DR130" s="253" t="n"/>
      <c r="DS130" s="264" t="n"/>
      <c r="DT130" s="253" t="n"/>
      <c r="DU130" s="254" t="n"/>
      <c r="DV130" s="253" t="n"/>
      <c r="DW130" s="264" t="n"/>
      <c r="DX130" s="253" t="n"/>
      <c r="DY130" s="55" t="n"/>
      <c r="DZ130" s="255" t="n"/>
      <c r="EA130" s="252" t="n"/>
      <c r="EB130" s="256" t="n"/>
      <c r="EC130" s="254" t="n"/>
      <c r="ED130" s="253" t="n"/>
      <c r="EE130" s="252" t="n"/>
      <c r="EF130" s="257" t="n"/>
      <c r="EG130" s="55" t="n"/>
      <c r="EH130" s="253" t="n"/>
      <c r="EI130" s="252" t="n"/>
      <c r="EJ130" s="253" t="n"/>
      <c r="EK130" s="55" t="n"/>
      <c r="EL130" s="253" t="n"/>
      <c r="EM130" s="252" t="n"/>
      <c r="EN130" s="257" t="n"/>
      <c r="EO130" s="55" t="n"/>
      <c r="EP130" s="253" t="n"/>
      <c r="EQ130" s="252" t="n"/>
      <c r="ER130" s="253" t="n"/>
      <c r="ES130" s="55" t="n"/>
      <c r="ET130" s="253" t="n"/>
      <c r="EU130" s="252" t="n"/>
      <c r="EV130" s="253" t="n"/>
      <c r="EW130" s="254" t="n"/>
      <c r="EX130" s="253" t="n"/>
      <c r="EY130" s="252" t="n"/>
      <c r="EZ130" s="258" t="n"/>
      <c r="FA130" s="259" t="n"/>
      <c r="FB130" s="253" t="n"/>
      <c r="FC130" s="252" t="n"/>
      <c r="FD130" s="261" t="n"/>
      <c r="FE130" s="392" t="n"/>
      <c r="FF130" s="253" t="n"/>
      <c r="FG130" s="393" t="n"/>
      <c r="FH130" s="393" t="n"/>
      <c r="FI130" s="252" t="n"/>
      <c r="FJ130" s="253" t="n"/>
      <c r="FK130" s="254" t="n"/>
      <c r="FL130" s="253" t="n"/>
      <c r="FM130" s="252" t="n"/>
      <c r="FN130" s="253" t="n"/>
      <c r="FO130" s="254" t="n"/>
      <c r="FP130" s="253" t="n"/>
      <c r="FQ130" s="264" t="n"/>
      <c r="FR130" s="253" t="n"/>
      <c r="FS130" s="254" t="n"/>
      <c r="FT130" s="253" t="n"/>
      <c r="FU130" s="264" t="n"/>
      <c r="FV130" s="253" t="n"/>
      <c r="FW130" s="55" t="n"/>
      <c r="FX130" s="255" t="n"/>
      <c r="FY130" s="252" t="n"/>
      <c r="FZ130" s="256" t="n"/>
      <c r="GA130" s="254" t="n"/>
      <c r="GB130" s="253" t="n"/>
      <c r="GC130" s="252" t="n"/>
      <c r="GD130" s="257" t="n"/>
      <c r="GE130" s="55" t="n"/>
      <c r="GF130" s="253" t="n"/>
      <c r="GG130" s="252" t="n"/>
      <c r="GH130" s="253" t="n"/>
      <c r="GI130" s="55" t="n"/>
      <c r="GJ130" s="253" t="n"/>
      <c r="GK130" s="252" t="n"/>
      <c r="GL130" s="257" t="n"/>
      <c r="GM130" s="55" t="n"/>
      <c r="GN130" s="253" t="n"/>
      <c r="GO130" s="252" t="n"/>
      <c r="GP130" s="253" t="n"/>
      <c r="GQ130" s="55" t="n"/>
      <c r="GR130" s="253" t="n"/>
      <c r="GS130" s="252" t="n"/>
      <c r="GT130" s="253" t="n"/>
      <c r="GU130" s="254" t="n"/>
      <c r="GV130" s="253" t="n"/>
      <c r="GW130" s="252" t="n"/>
      <c r="GX130" s="258" t="n"/>
      <c r="GY130" s="259" t="n"/>
      <c r="GZ130" s="253" t="n"/>
      <c r="HA130" s="252" t="n"/>
      <c r="HB130" s="261" t="n"/>
      <c r="HC130" s="392" t="n"/>
      <c r="HD130" s="253" t="n"/>
      <c r="HE130" s="393" t="n"/>
      <c r="HF130" s="393" t="n"/>
      <c r="HG130" s="252" t="n"/>
      <c r="HH130" s="253" t="n"/>
      <c r="HI130" s="254" t="n"/>
      <c r="HJ130" s="253" t="n"/>
      <c r="HK130" s="252" t="n"/>
      <c r="HL130" s="253" t="n"/>
      <c r="HM130" s="254" t="n"/>
      <c r="HN130" s="253" t="n"/>
      <c r="HO130" s="264" t="n"/>
      <c r="HP130" s="253" t="n"/>
      <c r="HQ130" s="254" t="n"/>
      <c r="HR130" s="253" t="n"/>
      <c r="HS130" s="264" t="n"/>
      <c r="HT130" s="253" t="n"/>
      <c r="HU130" s="55" t="n"/>
      <c r="HV130" s="255" t="n"/>
      <c r="HW130" s="252" t="n"/>
      <c r="HX130" s="256" t="n"/>
      <c r="HY130" s="254" t="n"/>
      <c r="HZ130" s="253" t="n"/>
      <c r="IA130" s="252" t="n"/>
      <c r="IB130" s="257" t="n"/>
      <c r="IC130" s="55" t="n"/>
      <c r="ID130" s="253" t="n"/>
      <c r="IE130" s="252" t="n"/>
      <c r="IF130" s="253" t="n"/>
      <c r="IG130" s="55" t="n"/>
      <c r="IH130" s="253" t="n"/>
      <c r="II130" s="252" t="n"/>
      <c r="IJ130" s="257" t="n"/>
      <c r="IK130" s="55" t="n"/>
      <c r="IL130" s="253" t="n"/>
      <c r="IM130" s="252" t="n"/>
      <c r="IN130" s="253" t="n"/>
      <c r="IO130" s="55" t="n"/>
      <c r="IP130" s="253" t="n"/>
      <c r="IQ130" s="252" t="n"/>
      <c r="IR130" s="253" t="n"/>
      <c r="IS130" s="254" t="n"/>
      <c r="IT130" s="253" t="n"/>
      <c r="IU130" s="252" t="n"/>
      <c r="IV130" s="258" t="n"/>
      <c r="IW130" s="259" t="n"/>
      <c r="IX130" s="253" t="n"/>
      <c r="IY130" s="252" t="n"/>
      <c r="IZ130" s="261" t="n"/>
      <c r="JA130" s="392" t="n"/>
      <c r="JB130" s="253" t="n"/>
      <c r="JC130" s="393" t="n"/>
      <c r="JD130" s="393" t="n"/>
    </row>
    <row r="131">
      <c r="E131" s="248" t="n"/>
      <c r="F131" s="248" t="n"/>
      <c r="G131" s="249" t="n"/>
      <c r="H131" s="250" t="n"/>
      <c r="I131" s="251" t="n"/>
      <c r="J131" s="251" t="n"/>
      <c r="K131" s="251" t="n"/>
      <c r="L131" s="251" t="n"/>
      <c r="M131" s="251" t="n"/>
      <c r="N131" s="251" t="n"/>
      <c r="O131" s="252" t="n"/>
      <c r="P131" s="253" t="n"/>
      <c r="Q131" s="254" t="n"/>
      <c r="R131" s="253" t="n"/>
      <c r="S131" s="252" t="n"/>
      <c r="T131" s="253" t="n"/>
      <c r="U131" s="254" t="n"/>
      <c r="V131" s="253" t="n"/>
      <c r="W131" s="252" t="n"/>
      <c r="X131" s="253" t="n"/>
      <c r="Y131" s="254" t="n"/>
      <c r="Z131" s="253" t="n"/>
      <c r="AA131" s="252" t="n"/>
      <c r="AB131" s="253" t="n"/>
      <c r="AC131" s="55" t="n"/>
      <c r="AD131" s="255" t="n"/>
      <c r="AE131" s="252" t="n"/>
      <c r="AF131" s="256" t="n"/>
      <c r="AG131" s="254" t="n"/>
      <c r="AH131" s="253" t="n"/>
      <c r="AI131" s="252" t="n"/>
      <c r="AJ131" s="257" t="n"/>
      <c r="AK131" s="55" t="n"/>
      <c r="AL131" s="253" t="n"/>
      <c r="AM131" s="252" t="n"/>
      <c r="AN131" s="253" t="n"/>
      <c r="AO131" s="55" t="n"/>
      <c r="AP131" s="253" t="n"/>
      <c r="AQ131" s="252" t="n"/>
      <c r="AR131" s="257" t="n"/>
      <c r="AS131" s="55" t="n"/>
      <c r="AT131" s="253" t="n"/>
      <c r="AU131" s="252" t="n"/>
      <c r="AV131" s="253" t="n"/>
      <c r="AW131" s="55" t="n"/>
      <c r="AX131" s="253" t="n"/>
      <c r="AY131" s="252" t="n"/>
      <c r="AZ131" s="253" t="n"/>
      <c r="BA131" s="254" t="n"/>
      <c r="BB131" s="255" t="n"/>
      <c r="BC131" s="252" t="n"/>
      <c r="BD131" s="258" t="n"/>
      <c r="BE131" s="259" t="n"/>
      <c r="BF131" s="255" t="n"/>
      <c r="BG131" s="260" t="n"/>
      <c r="BH131" s="261" t="n"/>
      <c r="BI131" s="392" t="n"/>
      <c r="BJ131" s="255" t="n"/>
      <c r="BK131" s="393" t="n"/>
      <c r="BL131" s="393" t="n"/>
      <c r="BM131" s="252" t="n"/>
      <c r="BN131" s="253" t="n"/>
      <c r="BO131" s="254" t="n"/>
      <c r="BP131" s="253" t="n"/>
      <c r="BQ131" s="252" t="n"/>
      <c r="BR131" s="253" t="n"/>
      <c r="BS131" s="254" t="n"/>
      <c r="BT131" s="253" t="n"/>
      <c r="BU131" s="264" t="n"/>
      <c r="BV131" s="253" t="n"/>
      <c r="BW131" s="254" t="n"/>
      <c r="BX131" s="253" t="n"/>
      <c r="BY131" s="264" t="n"/>
      <c r="BZ131" s="253" t="n"/>
      <c r="CA131" s="55" t="n"/>
      <c r="CB131" s="255" t="n"/>
      <c r="CC131" s="252" t="n"/>
      <c r="CD131" s="256" t="n"/>
      <c r="CE131" s="55" t="n"/>
      <c r="CF131" s="253" t="n"/>
      <c r="CG131" s="252" t="n"/>
      <c r="CH131" s="257" t="n"/>
      <c r="CI131" s="55" t="n"/>
      <c r="CJ131" s="253" t="n"/>
      <c r="CK131" s="252" t="n"/>
      <c r="CL131" s="253" t="n"/>
      <c r="CM131" s="55" t="n"/>
      <c r="CN131" s="253" t="n"/>
      <c r="CO131" s="252" t="n"/>
      <c r="CP131" s="257" t="n"/>
      <c r="CQ131" s="55" t="n"/>
      <c r="CR131" s="253" t="n"/>
      <c r="CS131" s="252" t="n"/>
      <c r="CT131" s="253" t="n"/>
      <c r="CU131" s="55" t="n"/>
      <c r="CV131" s="253" t="n"/>
      <c r="CW131" s="252" t="n"/>
      <c r="CX131" s="253" t="n"/>
      <c r="CY131" s="254" t="n"/>
      <c r="CZ131" s="253" t="n"/>
      <c r="DA131" s="252" t="n"/>
      <c r="DB131" s="258" t="n"/>
      <c r="DC131" s="259" t="n"/>
      <c r="DD131" s="253" t="n"/>
      <c r="DE131" s="252" t="n"/>
      <c r="DF131" s="261" t="n"/>
      <c r="DG131" s="392" t="n"/>
      <c r="DH131" s="253" t="n"/>
      <c r="DI131" s="393" t="n"/>
      <c r="DJ131" s="393" t="n"/>
      <c r="DK131" s="252" t="n"/>
      <c r="DL131" s="253" t="n"/>
      <c r="DM131" s="254" t="n"/>
      <c r="DN131" s="253" t="n"/>
      <c r="DO131" s="252" t="n"/>
      <c r="DP131" s="253" t="n"/>
      <c r="DQ131" s="254" t="n"/>
      <c r="DR131" s="253" t="n"/>
      <c r="DS131" s="264" t="n"/>
      <c r="DT131" s="253" t="n"/>
      <c r="DU131" s="254" t="n"/>
      <c r="DV131" s="253" t="n"/>
      <c r="DW131" s="264" t="n"/>
      <c r="DX131" s="253" t="n"/>
      <c r="DY131" s="55" t="n"/>
      <c r="DZ131" s="255" t="n"/>
      <c r="EA131" s="252" t="n"/>
      <c r="EB131" s="256" t="n"/>
      <c r="EC131" s="254" t="n"/>
      <c r="ED131" s="253" t="n"/>
      <c r="EE131" s="252" t="n"/>
      <c r="EF131" s="257" t="n"/>
      <c r="EG131" s="55" t="n"/>
      <c r="EH131" s="253" t="n"/>
      <c r="EI131" s="252" t="n"/>
      <c r="EJ131" s="253" t="n"/>
      <c r="EK131" s="55" t="n"/>
      <c r="EL131" s="253" t="n"/>
      <c r="EM131" s="252" t="n"/>
      <c r="EN131" s="257" t="n"/>
      <c r="EO131" s="55" t="n"/>
      <c r="EP131" s="253" t="n"/>
      <c r="EQ131" s="252" t="n"/>
      <c r="ER131" s="253" t="n"/>
      <c r="ES131" s="55" t="n"/>
      <c r="ET131" s="253" t="n"/>
      <c r="EU131" s="252" t="n"/>
      <c r="EV131" s="253" t="n"/>
      <c r="EW131" s="254" t="n"/>
      <c r="EX131" s="253" t="n"/>
      <c r="EY131" s="252" t="n"/>
      <c r="EZ131" s="258" t="n"/>
      <c r="FA131" s="259" t="n"/>
      <c r="FB131" s="253" t="n"/>
      <c r="FC131" s="252" t="n"/>
      <c r="FD131" s="261" t="n"/>
      <c r="FE131" s="392" t="n"/>
      <c r="FF131" s="253" t="n"/>
      <c r="FG131" s="393" t="n"/>
      <c r="FH131" s="393" t="n"/>
      <c r="FI131" s="252" t="n"/>
      <c r="FJ131" s="253" t="n"/>
      <c r="FK131" s="254" t="n"/>
      <c r="FL131" s="253" t="n"/>
      <c r="FM131" s="252" t="n"/>
      <c r="FN131" s="253" t="n"/>
      <c r="FO131" s="254" t="n"/>
      <c r="FP131" s="253" t="n"/>
      <c r="FQ131" s="264" t="n"/>
      <c r="FR131" s="253" t="n"/>
      <c r="FS131" s="254" t="n"/>
      <c r="FT131" s="253" t="n"/>
      <c r="FU131" s="264" t="n"/>
      <c r="FV131" s="253" t="n"/>
      <c r="FW131" s="55" t="n"/>
      <c r="FX131" s="255" t="n"/>
      <c r="FY131" s="252" t="n"/>
      <c r="FZ131" s="256" t="n"/>
      <c r="GA131" s="254" t="n"/>
      <c r="GB131" s="253" t="n"/>
      <c r="GC131" s="252" t="n"/>
      <c r="GD131" s="257" t="n"/>
      <c r="GE131" s="55" t="n"/>
      <c r="GF131" s="253" t="n"/>
      <c r="GG131" s="252" t="n"/>
      <c r="GH131" s="253" t="n"/>
      <c r="GI131" s="55" t="n"/>
      <c r="GJ131" s="253" t="n"/>
      <c r="GK131" s="252" t="n"/>
      <c r="GL131" s="257" t="n"/>
      <c r="GM131" s="55" t="n"/>
      <c r="GN131" s="253" t="n"/>
      <c r="GO131" s="252" t="n"/>
      <c r="GP131" s="253" t="n"/>
      <c r="GQ131" s="55" t="n"/>
      <c r="GR131" s="253" t="n"/>
      <c r="GS131" s="252" t="n"/>
      <c r="GT131" s="253" t="n"/>
      <c r="GU131" s="254" t="n"/>
      <c r="GV131" s="253" t="n"/>
      <c r="GW131" s="252" t="n"/>
      <c r="GX131" s="258" t="n"/>
      <c r="GY131" s="259" t="n"/>
      <c r="GZ131" s="253" t="n"/>
      <c r="HA131" s="252" t="n"/>
      <c r="HB131" s="261" t="n"/>
      <c r="HC131" s="392" t="n"/>
      <c r="HD131" s="253" t="n"/>
      <c r="HE131" s="393" t="n"/>
      <c r="HF131" s="393" t="n"/>
      <c r="HG131" s="252" t="n"/>
      <c r="HH131" s="253" t="n"/>
      <c r="HI131" s="254" t="n"/>
      <c r="HJ131" s="253" t="n"/>
      <c r="HK131" s="252" t="n"/>
      <c r="HL131" s="253" t="n"/>
      <c r="HM131" s="254" t="n"/>
      <c r="HN131" s="253" t="n"/>
      <c r="HO131" s="264" t="n"/>
      <c r="HP131" s="253" t="n"/>
      <c r="HQ131" s="254" t="n"/>
      <c r="HR131" s="253" t="n"/>
      <c r="HS131" s="264" t="n"/>
      <c r="HT131" s="253" t="n"/>
      <c r="HU131" s="55" t="n"/>
      <c r="HV131" s="255" t="n"/>
      <c r="HW131" s="252" t="n"/>
      <c r="HX131" s="256" t="n"/>
      <c r="HY131" s="254" t="n"/>
      <c r="HZ131" s="253" t="n"/>
      <c r="IA131" s="252" t="n"/>
      <c r="IB131" s="257" t="n"/>
      <c r="IC131" s="55" t="n"/>
      <c r="ID131" s="253" t="n"/>
      <c r="IE131" s="252" t="n"/>
      <c r="IF131" s="253" t="n"/>
      <c r="IG131" s="55" t="n"/>
      <c r="IH131" s="253" t="n"/>
      <c r="II131" s="252" t="n"/>
      <c r="IJ131" s="257" t="n"/>
      <c r="IK131" s="55" t="n"/>
      <c r="IL131" s="253" t="n"/>
      <c r="IM131" s="252" t="n"/>
      <c r="IN131" s="253" t="n"/>
      <c r="IO131" s="55" t="n"/>
      <c r="IP131" s="253" t="n"/>
      <c r="IQ131" s="252" t="n"/>
      <c r="IR131" s="253" t="n"/>
      <c r="IS131" s="254" t="n"/>
      <c r="IT131" s="253" t="n"/>
      <c r="IU131" s="252" t="n"/>
      <c r="IV131" s="258" t="n"/>
      <c r="IW131" s="259" t="n"/>
      <c r="IX131" s="253" t="n"/>
      <c r="IY131" s="252" t="n"/>
      <c r="IZ131" s="261" t="n"/>
      <c r="JA131" s="392" t="n"/>
      <c r="JB131" s="253" t="n"/>
      <c r="JC131" s="393" t="n"/>
      <c r="JD131" s="393" t="n"/>
    </row>
    <row r="132">
      <c r="E132" s="248" t="n"/>
      <c r="F132" s="248" t="n"/>
      <c r="G132" s="249" t="n"/>
      <c r="H132" s="250" t="n"/>
      <c r="I132" s="251" t="n"/>
      <c r="J132" s="251" t="n"/>
      <c r="K132" s="251" t="n"/>
      <c r="L132" s="251" t="n"/>
      <c r="M132" s="251" t="n"/>
      <c r="N132" s="251" t="n"/>
      <c r="O132" s="252" t="n"/>
      <c r="P132" s="253" t="n"/>
      <c r="Q132" s="254" t="n"/>
      <c r="R132" s="253" t="n"/>
      <c r="S132" s="252" t="n"/>
      <c r="T132" s="253" t="n"/>
      <c r="U132" s="254" t="n"/>
      <c r="V132" s="253" t="n"/>
      <c r="W132" s="252" t="n"/>
      <c r="X132" s="253" t="n"/>
      <c r="Y132" s="254" t="n"/>
      <c r="Z132" s="253" t="n"/>
      <c r="AA132" s="252" t="n"/>
      <c r="AB132" s="253" t="n"/>
      <c r="AC132" s="55" t="n"/>
      <c r="AD132" s="255" t="n"/>
      <c r="AE132" s="252" t="n"/>
      <c r="AF132" s="256" t="n"/>
      <c r="AG132" s="254" t="n"/>
      <c r="AH132" s="253" t="n"/>
      <c r="AI132" s="252" t="n"/>
      <c r="AJ132" s="257" t="n"/>
      <c r="AK132" s="55" t="n"/>
      <c r="AL132" s="253" t="n"/>
      <c r="AM132" s="252" t="n"/>
      <c r="AN132" s="253" t="n"/>
      <c r="AO132" s="55" t="n"/>
      <c r="AP132" s="253" t="n"/>
      <c r="AQ132" s="252" t="n"/>
      <c r="AR132" s="257" t="n"/>
      <c r="AS132" s="55" t="n"/>
      <c r="AT132" s="253" t="n"/>
      <c r="AU132" s="252" t="n"/>
      <c r="AV132" s="253" t="n"/>
      <c r="AW132" s="55" t="n"/>
      <c r="AX132" s="253" t="n"/>
      <c r="AY132" s="252" t="n"/>
      <c r="AZ132" s="253" t="n"/>
      <c r="BA132" s="254" t="n"/>
      <c r="BB132" s="255" t="n"/>
      <c r="BC132" s="252" t="n"/>
      <c r="BD132" s="258" t="n"/>
      <c r="BE132" s="259" t="n"/>
      <c r="BF132" s="255" t="n"/>
      <c r="BG132" s="260" t="n"/>
      <c r="BH132" s="261" t="n"/>
      <c r="BI132" s="392" t="n"/>
      <c r="BJ132" s="255" t="n"/>
      <c r="BK132" s="393" t="n"/>
      <c r="BL132" s="393" t="n"/>
      <c r="BM132" s="252" t="n"/>
      <c r="BN132" s="253" t="n"/>
      <c r="BO132" s="254" t="n"/>
      <c r="BP132" s="253" t="n"/>
      <c r="BQ132" s="252" t="n"/>
      <c r="BR132" s="253" t="n"/>
      <c r="BS132" s="254" t="n"/>
      <c r="BT132" s="253" t="n"/>
      <c r="BU132" s="264" t="n"/>
      <c r="BV132" s="253" t="n"/>
      <c r="BW132" s="254" t="n"/>
      <c r="BX132" s="253" t="n"/>
      <c r="BY132" s="264" t="n"/>
      <c r="BZ132" s="253" t="n"/>
      <c r="CA132" s="55" t="n"/>
      <c r="CB132" s="255" t="n"/>
      <c r="CC132" s="252" t="n"/>
      <c r="CD132" s="256" t="n"/>
      <c r="CE132" s="55" t="n"/>
      <c r="CF132" s="253" t="n"/>
      <c r="CG132" s="252" t="n"/>
      <c r="CH132" s="257" t="n"/>
      <c r="CI132" s="55" t="n"/>
      <c r="CJ132" s="253" t="n"/>
      <c r="CK132" s="252" t="n"/>
      <c r="CL132" s="253" t="n"/>
      <c r="CM132" s="55" t="n"/>
      <c r="CN132" s="253" t="n"/>
      <c r="CO132" s="252" t="n"/>
      <c r="CP132" s="257" t="n"/>
      <c r="CQ132" s="55" t="n"/>
      <c r="CR132" s="253" t="n"/>
      <c r="CS132" s="252" t="n"/>
      <c r="CT132" s="253" t="n"/>
      <c r="CU132" s="55" t="n"/>
      <c r="CV132" s="253" t="n"/>
      <c r="CW132" s="252" t="n"/>
      <c r="CX132" s="253" t="n"/>
      <c r="CY132" s="254" t="n"/>
      <c r="CZ132" s="253" t="n"/>
      <c r="DA132" s="252" t="n"/>
      <c r="DB132" s="258" t="n"/>
      <c r="DC132" s="259" t="n"/>
      <c r="DD132" s="253" t="n"/>
      <c r="DE132" s="252" t="n"/>
      <c r="DF132" s="261" t="n"/>
      <c r="DG132" s="392" t="n"/>
      <c r="DH132" s="253" t="n"/>
      <c r="DI132" s="393" t="n"/>
      <c r="DJ132" s="393" t="n"/>
      <c r="DK132" s="252" t="n"/>
      <c r="DL132" s="253" t="n"/>
      <c r="DM132" s="254" t="n"/>
      <c r="DN132" s="253" t="n"/>
      <c r="DO132" s="252" t="n"/>
      <c r="DP132" s="253" t="n"/>
      <c r="DQ132" s="254" t="n"/>
      <c r="DR132" s="253" t="n"/>
      <c r="DS132" s="264" t="n"/>
      <c r="DT132" s="253" t="n"/>
      <c r="DU132" s="254" t="n"/>
      <c r="DV132" s="253" t="n"/>
      <c r="DW132" s="264" t="n"/>
      <c r="DX132" s="253" t="n"/>
      <c r="DY132" s="55" t="n"/>
      <c r="DZ132" s="255" t="n"/>
      <c r="EA132" s="252" t="n"/>
      <c r="EB132" s="256" t="n"/>
      <c r="EC132" s="254" t="n"/>
      <c r="ED132" s="253" t="n"/>
      <c r="EE132" s="252" t="n"/>
      <c r="EF132" s="257" t="n"/>
      <c r="EG132" s="55" t="n"/>
      <c r="EH132" s="253" t="n"/>
      <c r="EI132" s="252" t="n"/>
      <c r="EJ132" s="253" t="n"/>
      <c r="EK132" s="55" t="n"/>
      <c r="EL132" s="253" t="n"/>
      <c r="EM132" s="252" t="n"/>
      <c r="EN132" s="257" t="n"/>
      <c r="EO132" s="55" t="n"/>
      <c r="EP132" s="253" t="n"/>
      <c r="EQ132" s="252" t="n"/>
      <c r="ER132" s="253" t="n"/>
      <c r="ES132" s="55" t="n"/>
      <c r="ET132" s="253" t="n"/>
      <c r="EU132" s="252" t="n"/>
      <c r="EV132" s="253" t="n"/>
      <c r="EW132" s="254" t="n"/>
      <c r="EX132" s="253" t="n"/>
      <c r="EY132" s="252" t="n"/>
      <c r="EZ132" s="258" t="n"/>
      <c r="FA132" s="259" t="n"/>
      <c r="FB132" s="253" t="n"/>
      <c r="FC132" s="252" t="n"/>
      <c r="FD132" s="261" t="n"/>
      <c r="FE132" s="392" t="n"/>
      <c r="FF132" s="253" t="n"/>
      <c r="FG132" s="393" t="n"/>
      <c r="FH132" s="393" t="n"/>
      <c r="FI132" s="252" t="n"/>
      <c r="FJ132" s="253" t="n"/>
      <c r="FK132" s="254" t="n"/>
      <c r="FL132" s="253" t="n"/>
      <c r="FM132" s="252" t="n"/>
      <c r="FN132" s="253" t="n"/>
      <c r="FO132" s="254" t="n"/>
      <c r="FP132" s="253" t="n"/>
      <c r="FQ132" s="264" t="n"/>
      <c r="FR132" s="253" t="n"/>
      <c r="FS132" s="254" t="n"/>
      <c r="FT132" s="253" t="n"/>
      <c r="FU132" s="264" t="n"/>
      <c r="FV132" s="253" t="n"/>
      <c r="FW132" s="55" t="n"/>
      <c r="FX132" s="255" t="n"/>
      <c r="FY132" s="252" t="n"/>
      <c r="FZ132" s="256" t="n"/>
      <c r="GA132" s="254" t="n"/>
      <c r="GB132" s="253" t="n"/>
      <c r="GC132" s="252" t="n"/>
      <c r="GD132" s="257" t="n"/>
      <c r="GE132" s="55" t="n"/>
      <c r="GF132" s="253" t="n"/>
      <c r="GG132" s="252" t="n"/>
      <c r="GH132" s="253" t="n"/>
      <c r="GI132" s="55" t="n"/>
      <c r="GJ132" s="253" t="n"/>
      <c r="GK132" s="252" t="n"/>
      <c r="GL132" s="257" t="n"/>
      <c r="GM132" s="55" t="n"/>
      <c r="GN132" s="253" t="n"/>
      <c r="GO132" s="252" t="n"/>
      <c r="GP132" s="253" t="n"/>
      <c r="GQ132" s="55" t="n"/>
      <c r="GR132" s="253" t="n"/>
      <c r="GS132" s="252" t="n"/>
      <c r="GT132" s="253" t="n"/>
      <c r="GU132" s="254" t="n"/>
      <c r="GV132" s="253" t="n"/>
      <c r="GW132" s="252" t="n"/>
      <c r="GX132" s="258" t="n"/>
      <c r="GY132" s="259" t="n"/>
      <c r="GZ132" s="253" t="n"/>
      <c r="HA132" s="252" t="n"/>
      <c r="HB132" s="261" t="n"/>
      <c r="HC132" s="392" t="n"/>
      <c r="HD132" s="253" t="n"/>
      <c r="HE132" s="393" t="n"/>
      <c r="HF132" s="393" t="n"/>
      <c r="HG132" s="252" t="n"/>
      <c r="HH132" s="253" t="n"/>
      <c r="HI132" s="254" t="n"/>
      <c r="HJ132" s="253" t="n"/>
      <c r="HK132" s="252" t="n"/>
      <c r="HL132" s="253" t="n"/>
      <c r="HM132" s="254" t="n"/>
      <c r="HN132" s="253" t="n"/>
      <c r="HO132" s="264" t="n"/>
      <c r="HP132" s="253" t="n"/>
      <c r="HQ132" s="254" t="n"/>
      <c r="HR132" s="253" t="n"/>
      <c r="HS132" s="264" t="n"/>
      <c r="HT132" s="253" t="n"/>
      <c r="HU132" s="55" t="n"/>
      <c r="HV132" s="255" t="n"/>
      <c r="HW132" s="252" t="n"/>
      <c r="HX132" s="256" t="n"/>
      <c r="HY132" s="254" t="n"/>
      <c r="HZ132" s="253" t="n"/>
      <c r="IA132" s="252" t="n"/>
      <c r="IB132" s="257" t="n"/>
      <c r="IC132" s="55" t="n"/>
      <c r="ID132" s="253" t="n"/>
      <c r="IE132" s="252" t="n"/>
      <c r="IF132" s="253" t="n"/>
      <c r="IG132" s="55" t="n"/>
      <c r="IH132" s="253" t="n"/>
      <c r="II132" s="252" t="n"/>
      <c r="IJ132" s="257" t="n"/>
      <c r="IK132" s="55" t="n"/>
      <c r="IL132" s="253" t="n"/>
      <c r="IM132" s="252" t="n"/>
      <c r="IN132" s="253" t="n"/>
      <c r="IO132" s="55" t="n"/>
      <c r="IP132" s="253" t="n"/>
      <c r="IQ132" s="252" t="n"/>
      <c r="IR132" s="253" t="n"/>
      <c r="IS132" s="254" t="n"/>
      <c r="IT132" s="253" t="n"/>
      <c r="IU132" s="252" t="n"/>
      <c r="IV132" s="258" t="n"/>
      <c r="IW132" s="259" t="n"/>
      <c r="IX132" s="253" t="n"/>
      <c r="IY132" s="252" t="n"/>
      <c r="IZ132" s="261" t="n"/>
      <c r="JA132" s="392" t="n"/>
      <c r="JB132" s="253" t="n"/>
      <c r="JC132" s="393" t="n"/>
      <c r="JD132" s="393" t="n"/>
    </row>
    <row r="133">
      <c r="E133" s="248" t="n"/>
      <c r="F133" s="248" t="n"/>
      <c r="G133" s="249" t="n"/>
      <c r="H133" s="250" t="n"/>
      <c r="I133" s="251" t="n"/>
      <c r="J133" s="251" t="n"/>
      <c r="K133" s="251" t="n"/>
      <c r="L133" s="251" t="n"/>
      <c r="M133" s="251" t="n"/>
      <c r="N133" s="251" t="n"/>
      <c r="O133" s="252" t="n"/>
      <c r="P133" s="253" t="n"/>
      <c r="Q133" s="254" t="n"/>
      <c r="R133" s="253" t="n"/>
      <c r="S133" s="252" t="n"/>
      <c r="T133" s="253" t="n"/>
      <c r="U133" s="254" t="n"/>
      <c r="V133" s="253" t="n"/>
      <c r="W133" s="252" t="n"/>
      <c r="X133" s="253" t="n"/>
      <c r="Y133" s="254" t="n"/>
      <c r="Z133" s="253" t="n"/>
      <c r="AA133" s="252" t="n"/>
      <c r="AB133" s="253" t="n"/>
      <c r="AC133" s="55" t="n"/>
      <c r="AD133" s="255" t="n"/>
      <c r="AE133" s="252" t="n"/>
      <c r="AF133" s="256" t="n"/>
      <c r="AG133" s="254" t="n"/>
      <c r="AH133" s="253" t="n"/>
      <c r="AI133" s="252" t="n"/>
      <c r="AJ133" s="257" t="n"/>
      <c r="AK133" s="55" t="n"/>
      <c r="AL133" s="253" t="n"/>
      <c r="AM133" s="252" t="n"/>
      <c r="AN133" s="253" t="n"/>
      <c r="AO133" s="55" t="n"/>
      <c r="AP133" s="253" t="n"/>
      <c r="AQ133" s="252" t="n"/>
      <c r="AR133" s="257" t="n"/>
      <c r="AS133" s="55" t="n"/>
      <c r="AT133" s="253" t="n"/>
      <c r="AU133" s="252" t="n"/>
      <c r="AV133" s="253" t="n"/>
      <c r="AW133" s="55" t="n"/>
      <c r="AX133" s="253" t="n"/>
      <c r="AY133" s="252" t="n"/>
      <c r="AZ133" s="253" t="n"/>
      <c r="BA133" s="254" t="n"/>
      <c r="BB133" s="255" t="n"/>
      <c r="BC133" s="252" t="n"/>
      <c r="BD133" s="258" t="n"/>
      <c r="BE133" s="259" t="n"/>
      <c r="BF133" s="255" t="n"/>
      <c r="BG133" s="260" t="n"/>
      <c r="BH133" s="261" t="n"/>
      <c r="BI133" s="392" t="n"/>
      <c r="BJ133" s="255" t="n"/>
      <c r="BK133" s="393" t="n"/>
      <c r="BL133" s="393" t="n"/>
      <c r="BM133" s="252" t="n"/>
      <c r="BN133" s="253" t="n"/>
      <c r="BO133" s="254" t="n"/>
      <c r="BP133" s="253" t="n"/>
      <c r="BQ133" s="252" t="n"/>
      <c r="BR133" s="253" t="n"/>
      <c r="BS133" s="254" t="n"/>
      <c r="BT133" s="253" t="n"/>
      <c r="BU133" s="264" t="n"/>
      <c r="BV133" s="253" t="n"/>
      <c r="BW133" s="254" t="n"/>
      <c r="BX133" s="253" t="n"/>
      <c r="BY133" s="264" t="n"/>
      <c r="BZ133" s="253" t="n"/>
      <c r="CA133" s="55" t="n"/>
      <c r="CB133" s="255" t="n"/>
      <c r="CC133" s="252" t="n"/>
      <c r="CD133" s="256" t="n"/>
      <c r="CE133" s="55" t="n"/>
      <c r="CF133" s="253" t="n"/>
      <c r="CG133" s="252" t="n"/>
      <c r="CH133" s="257" t="n"/>
      <c r="CI133" s="55" t="n"/>
      <c r="CJ133" s="253" t="n"/>
      <c r="CK133" s="252" t="n"/>
      <c r="CL133" s="253" t="n"/>
      <c r="CM133" s="55" t="n"/>
      <c r="CN133" s="253" t="n"/>
      <c r="CO133" s="252" t="n"/>
      <c r="CP133" s="257" t="n"/>
      <c r="CQ133" s="55" t="n"/>
      <c r="CR133" s="253" t="n"/>
      <c r="CS133" s="252" t="n"/>
      <c r="CT133" s="253" t="n"/>
      <c r="CU133" s="55" t="n"/>
      <c r="CV133" s="253" t="n"/>
      <c r="CW133" s="252" t="n"/>
      <c r="CX133" s="253" t="n"/>
      <c r="CY133" s="254" t="n"/>
      <c r="CZ133" s="253" t="n"/>
      <c r="DA133" s="252" t="n"/>
      <c r="DB133" s="258" t="n"/>
      <c r="DC133" s="259" t="n"/>
      <c r="DD133" s="253" t="n"/>
      <c r="DE133" s="252" t="n"/>
      <c r="DF133" s="261" t="n"/>
      <c r="DG133" s="392" t="n"/>
      <c r="DH133" s="253" t="n"/>
      <c r="DI133" s="393" t="n"/>
      <c r="DJ133" s="393" t="n"/>
      <c r="DK133" s="252" t="n"/>
      <c r="DL133" s="253" t="n"/>
      <c r="DM133" s="254" t="n"/>
      <c r="DN133" s="253" t="n"/>
      <c r="DO133" s="252" t="n"/>
      <c r="DP133" s="253" t="n"/>
      <c r="DQ133" s="254" t="n"/>
      <c r="DR133" s="253" t="n"/>
      <c r="DS133" s="264" t="n"/>
      <c r="DT133" s="253" t="n"/>
      <c r="DU133" s="254" t="n"/>
      <c r="DV133" s="253" t="n"/>
      <c r="DW133" s="264" t="n"/>
      <c r="DX133" s="253" t="n"/>
      <c r="DY133" s="55" t="n"/>
      <c r="DZ133" s="255" t="n"/>
      <c r="EA133" s="252" t="n"/>
      <c r="EB133" s="256" t="n"/>
      <c r="EC133" s="254" t="n"/>
      <c r="ED133" s="253" t="n"/>
      <c r="EE133" s="252" t="n"/>
      <c r="EF133" s="257" t="n"/>
      <c r="EG133" s="55" t="n"/>
      <c r="EH133" s="253" t="n"/>
      <c r="EI133" s="252" t="n"/>
      <c r="EJ133" s="253" t="n"/>
      <c r="EK133" s="55" t="n"/>
      <c r="EL133" s="253" t="n"/>
      <c r="EM133" s="252" t="n"/>
      <c r="EN133" s="257" t="n"/>
      <c r="EO133" s="55" t="n"/>
      <c r="EP133" s="253" t="n"/>
      <c r="EQ133" s="252" t="n"/>
      <c r="ER133" s="253" t="n"/>
      <c r="ES133" s="55" t="n"/>
      <c r="ET133" s="253" t="n"/>
      <c r="EU133" s="252" t="n"/>
      <c r="EV133" s="253" t="n"/>
      <c r="EW133" s="254" t="n"/>
      <c r="EX133" s="253" t="n"/>
      <c r="EY133" s="252" t="n"/>
      <c r="EZ133" s="258" t="n"/>
      <c r="FA133" s="259" t="n"/>
      <c r="FB133" s="253" t="n"/>
      <c r="FC133" s="252" t="n"/>
      <c r="FD133" s="261" t="n"/>
      <c r="FE133" s="392" t="n"/>
      <c r="FF133" s="253" t="n"/>
      <c r="FG133" s="393" t="n"/>
      <c r="FH133" s="393" t="n"/>
      <c r="FI133" s="252" t="n"/>
      <c r="FJ133" s="253" t="n"/>
      <c r="FK133" s="254" t="n"/>
      <c r="FL133" s="253" t="n"/>
      <c r="FM133" s="252" t="n"/>
      <c r="FN133" s="253" t="n"/>
      <c r="FO133" s="254" t="n"/>
      <c r="FP133" s="253" t="n"/>
      <c r="FQ133" s="264" t="n"/>
      <c r="FR133" s="253" t="n"/>
      <c r="FS133" s="254" t="n"/>
      <c r="FT133" s="253" t="n"/>
      <c r="FU133" s="264" t="n"/>
      <c r="FV133" s="253" t="n"/>
      <c r="FW133" s="55" t="n"/>
      <c r="FX133" s="255" t="n"/>
      <c r="FY133" s="252" t="n"/>
      <c r="FZ133" s="256" t="n"/>
      <c r="GA133" s="254" t="n"/>
      <c r="GB133" s="253" t="n"/>
      <c r="GC133" s="252" t="n"/>
      <c r="GD133" s="257" t="n"/>
      <c r="GE133" s="55" t="n"/>
      <c r="GF133" s="253" t="n"/>
      <c r="GG133" s="252" t="n"/>
      <c r="GH133" s="253" t="n"/>
      <c r="GI133" s="55" t="n"/>
      <c r="GJ133" s="253" t="n"/>
      <c r="GK133" s="252" t="n"/>
      <c r="GL133" s="257" t="n"/>
      <c r="GM133" s="55" t="n"/>
      <c r="GN133" s="253" t="n"/>
      <c r="GO133" s="252" t="n"/>
      <c r="GP133" s="253" t="n"/>
      <c r="GQ133" s="55" t="n"/>
      <c r="GR133" s="253" t="n"/>
      <c r="GS133" s="252" t="n"/>
      <c r="GT133" s="253" t="n"/>
      <c r="GU133" s="254" t="n"/>
      <c r="GV133" s="253" t="n"/>
      <c r="GW133" s="252" t="n"/>
      <c r="GX133" s="258" t="n"/>
      <c r="GY133" s="259" t="n"/>
      <c r="GZ133" s="253" t="n"/>
      <c r="HA133" s="252" t="n"/>
      <c r="HB133" s="261" t="n"/>
      <c r="HC133" s="392" t="n"/>
      <c r="HD133" s="253" t="n"/>
      <c r="HE133" s="393" t="n"/>
      <c r="HF133" s="393" t="n"/>
      <c r="HG133" s="252" t="n"/>
      <c r="HH133" s="253" t="n"/>
      <c r="HI133" s="254" t="n"/>
      <c r="HJ133" s="253" t="n"/>
      <c r="HK133" s="252" t="n"/>
      <c r="HL133" s="253" t="n"/>
      <c r="HM133" s="254" t="n"/>
      <c r="HN133" s="253" t="n"/>
      <c r="HO133" s="264" t="n"/>
      <c r="HP133" s="253" t="n"/>
      <c r="HQ133" s="254" t="n"/>
      <c r="HR133" s="253" t="n"/>
      <c r="HS133" s="264" t="n"/>
      <c r="HT133" s="253" t="n"/>
      <c r="HU133" s="55" t="n"/>
      <c r="HV133" s="255" t="n"/>
      <c r="HW133" s="252" t="n"/>
      <c r="HX133" s="256" t="n"/>
      <c r="HY133" s="254" t="n"/>
      <c r="HZ133" s="253" t="n"/>
      <c r="IA133" s="252" t="n"/>
      <c r="IB133" s="257" t="n"/>
      <c r="IC133" s="55" t="n"/>
      <c r="ID133" s="253" t="n"/>
      <c r="IE133" s="252" t="n"/>
      <c r="IF133" s="253" t="n"/>
      <c r="IG133" s="55" t="n"/>
      <c r="IH133" s="253" t="n"/>
      <c r="II133" s="252" t="n"/>
      <c r="IJ133" s="257" t="n"/>
      <c r="IK133" s="55" t="n"/>
      <c r="IL133" s="253" t="n"/>
      <c r="IM133" s="252" t="n"/>
      <c r="IN133" s="253" t="n"/>
      <c r="IO133" s="55" t="n"/>
      <c r="IP133" s="253" t="n"/>
      <c r="IQ133" s="252" t="n"/>
      <c r="IR133" s="253" t="n"/>
      <c r="IS133" s="254" t="n"/>
      <c r="IT133" s="253" t="n"/>
      <c r="IU133" s="252" t="n"/>
      <c r="IV133" s="258" t="n"/>
      <c r="IW133" s="259" t="n"/>
      <c r="IX133" s="253" t="n"/>
      <c r="IY133" s="252" t="n"/>
      <c r="IZ133" s="261" t="n"/>
      <c r="JA133" s="392" t="n"/>
      <c r="JB133" s="253" t="n"/>
      <c r="JC133" s="393" t="n"/>
      <c r="JD133" s="393" t="n"/>
    </row>
    <row r="134">
      <c r="E134" s="248" t="n"/>
      <c r="F134" s="248" t="n"/>
      <c r="G134" s="249" t="n"/>
      <c r="H134" s="250" t="n"/>
      <c r="I134" s="251" t="n"/>
      <c r="J134" s="251" t="n"/>
      <c r="K134" s="251" t="n"/>
      <c r="L134" s="251" t="n"/>
      <c r="M134" s="251" t="n"/>
      <c r="N134" s="251" t="n"/>
      <c r="O134" s="252" t="n"/>
      <c r="P134" s="253" t="n"/>
      <c r="Q134" s="254" t="n"/>
      <c r="R134" s="253" t="n"/>
      <c r="S134" s="252" t="n"/>
      <c r="T134" s="253" t="n"/>
      <c r="U134" s="254" t="n"/>
      <c r="V134" s="253" t="n"/>
      <c r="W134" s="252" t="n"/>
      <c r="X134" s="253" t="n"/>
      <c r="Y134" s="254" t="n"/>
      <c r="Z134" s="253" t="n"/>
      <c r="AA134" s="252" t="n"/>
      <c r="AB134" s="253" t="n"/>
      <c r="AC134" s="55" t="n"/>
      <c r="AD134" s="255" t="n"/>
      <c r="AE134" s="252" t="n"/>
      <c r="AF134" s="256" t="n"/>
      <c r="AG134" s="254" t="n"/>
      <c r="AH134" s="253" t="n"/>
      <c r="AI134" s="252" t="n"/>
      <c r="AJ134" s="257" t="n"/>
      <c r="AK134" s="55" t="n"/>
      <c r="AL134" s="253" t="n"/>
      <c r="AM134" s="252" t="n"/>
      <c r="AN134" s="253" t="n"/>
      <c r="AO134" s="55" t="n"/>
      <c r="AP134" s="253" t="n"/>
      <c r="AQ134" s="252" t="n"/>
      <c r="AR134" s="257" t="n"/>
      <c r="AS134" s="55" t="n"/>
      <c r="AT134" s="253" t="n"/>
      <c r="AU134" s="252" t="n"/>
      <c r="AV134" s="253" t="n"/>
      <c r="AW134" s="55" t="n"/>
      <c r="AX134" s="253" t="n"/>
      <c r="AY134" s="252" t="n"/>
      <c r="AZ134" s="253" t="n"/>
      <c r="BA134" s="254" t="n"/>
      <c r="BB134" s="255" t="n"/>
      <c r="BC134" s="252" t="n"/>
      <c r="BD134" s="258" t="n"/>
      <c r="BE134" s="259" t="n"/>
      <c r="BF134" s="255" t="n"/>
      <c r="BG134" s="260" t="n"/>
      <c r="BH134" s="261" t="n"/>
      <c r="BI134" s="392" t="n"/>
      <c r="BJ134" s="255" t="n"/>
      <c r="BK134" s="393" t="n"/>
      <c r="BL134" s="393" t="n"/>
      <c r="BM134" s="252" t="n"/>
      <c r="BN134" s="253" t="n"/>
      <c r="BO134" s="254" t="n"/>
      <c r="BP134" s="253" t="n"/>
      <c r="BQ134" s="252" t="n"/>
      <c r="BR134" s="253" t="n"/>
      <c r="BS134" s="254" t="n"/>
      <c r="BT134" s="253" t="n"/>
      <c r="BU134" s="264" t="n"/>
      <c r="BV134" s="253" t="n"/>
      <c r="BW134" s="254" t="n"/>
      <c r="BX134" s="253" t="n"/>
      <c r="BY134" s="264" t="n"/>
      <c r="BZ134" s="253" t="n"/>
      <c r="CA134" s="55" t="n"/>
      <c r="CB134" s="255" t="n"/>
      <c r="CC134" s="252" t="n"/>
      <c r="CD134" s="256" t="n"/>
      <c r="CE134" s="55" t="n"/>
      <c r="CF134" s="253" t="n"/>
      <c r="CG134" s="252" t="n"/>
      <c r="CH134" s="257" t="n"/>
      <c r="CI134" s="55" t="n"/>
      <c r="CJ134" s="253" t="n"/>
      <c r="CK134" s="252" t="n"/>
      <c r="CL134" s="253" t="n"/>
      <c r="CM134" s="55" t="n"/>
      <c r="CN134" s="253" t="n"/>
      <c r="CO134" s="252" t="n"/>
      <c r="CP134" s="257" t="n"/>
      <c r="CQ134" s="55" t="n"/>
      <c r="CR134" s="253" t="n"/>
      <c r="CS134" s="252" t="n"/>
      <c r="CT134" s="253" t="n"/>
      <c r="CU134" s="55" t="n"/>
      <c r="CV134" s="253" t="n"/>
      <c r="CW134" s="252" t="n"/>
      <c r="CX134" s="253" t="n"/>
      <c r="CY134" s="254" t="n"/>
      <c r="CZ134" s="253" t="n"/>
      <c r="DA134" s="252" t="n"/>
      <c r="DB134" s="258" t="n"/>
      <c r="DC134" s="259" t="n"/>
      <c r="DD134" s="253" t="n"/>
      <c r="DE134" s="252" t="n"/>
      <c r="DF134" s="261" t="n"/>
      <c r="DG134" s="392" t="n"/>
      <c r="DH134" s="253" t="n"/>
      <c r="DI134" s="393" t="n"/>
      <c r="DJ134" s="393" t="n"/>
      <c r="DK134" s="252" t="n"/>
      <c r="DL134" s="253" t="n"/>
      <c r="DM134" s="254" t="n"/>
      <c r="DN134" s="253" t="n"/>
      <c r="DO134" s="252" t="n"/>
      <c r="DP134" s="253" t="n"/>
      <c r="DQ134" s="254" t="n"/>
      <c r="DR134" s="253" t="n"/>
      <c r="DS134" s="264" t="n"/>
      <c r="DT134" s="253" t="n"/>
      <c r="DU134" s="254" t="n"/>
      <c r="DV134" s="253" t="n"/>
      <c r="DW134" s="264" t="n"/>
      <c r="DX134" s="253" t="n"/>
      <c r="DY134" s="55" t="n"/>
      <c r="DZ134" s="255" t="n"/>
      <c r="EA134" s="252" t="n"/>
      <c r="EB134" s="256" t="n"/>
      <c r="EC134" s="254" t="n"/>
      <c r="ED134" s="253" t="n"/>
      <c r="EE134" s="252" t="n"/>
      <c r="EF134" s="257" t="n"/>
      <c r="EG134" s="55" t="n"/>
      <c r="EH134" s="253" t="n"/>
      <c r="EI134" s="252" t="n"/>
      <c r="EJ134" s="253" t="n"/>
      <c r="EK134" s="55" t="n"/>
      <c r="EL134" s="253" t="n"/>
      <c r="EM134" s="252" t="n"/>
      <c r="EN134" s="257" t="n"/>
      <c r="EO134" s="55" t="n"/>
      <c r="EP134" s="253" t="n"/>
      <c r="EQ134" s="252" t="n"/>
      <c r="ER134" s="253" t="n"/>
      <c r="ES134" s="55" t="n"/>
      <c r="ET134" s="253" t="n"/>
      <c r="EU134" s="252" t="n"/>
      <c r="EV134" s="253" t="n"/>
      <c r="EW134" s="254" t="n"/>
      <c r="EX134" s="253" t="n"/>
      <c r="EY134" s="252" t="n"/>
      <c r="EZ134" s="258" t="n"/>
      <c r="FA134" s="259" t="n"/>
      <c r="FB134" s="253" t="n"/>
      <c r="FC134" s="252" t="n"/>
      <c r="FD134" s="261" t="n"/>
      <c r="FE134" s="392" t="n"/>
      <c r="FF134" s="253" t="n"/>
      <c r="FG134" s="393" t="n"/>
      <c r="FH134" s="393" t="n"/>
      <c r="FI134" s="252" t="n"/>
      <c r="FJ134" s="253" t="n"/>
      <c r="FK134" s="254" t="n"/>
      <c r="FL134" s="253" t="n"/>
      <c r="FM134" s="252" t="n"/>
      <c r="FN134" s="253" t="n"/>
      <c r="FO134" s="254" t="n"/>
      <c r="FP134" s="253" t="n"/>
      <c r="FQ134" s="264" t="n"/>
      <c r="FR134" s="253" t="n"/>
      <c r="FS134" s="254" t="n"/>
      <c r="FT134" s="253" t="n"/>
      <c r="FU134" s="264" t="n"/>
      <c r="FV134" s="253" t="n"/>
      <c r="FW134" s="55" t="n"/>
      <c r="FX134" s="255" t="n"/>
      <c r="FY134" s="252" t="n"/>
      <c r="FZ134" s="256" t="n"/>
      <c r="GA134" s="254" t="n"/>
      <c r="GB134" s="253" t="n"/>
      <c r="GC134" s="252" t="n"/>
      <c r="GD134" s="257" t="n"/>
      <c r="GE134" s="55" t="n"/>
      <c r="GF134" s="253" t="n"/>
      <c r="GG134" s="252" t="n"/>
      <c r="GH134" s="253" t="n"/>
      <c r="GI134" s="55" t="n"/>
      <c r="GJ134" s="253" t="n"/>
      <c r="GK134" s="252" t="n"/>
      <c r="GL134" s="257" t="n"/>
      <c r="GM134" s="55" t="n"/>
      <c r="GN134" s="253" t="n"/>
      <c r="GO134" s="252" t="n"/>
      <c r="GP134" s="253" t="n"/>
      <c r="GQ134" s="55" t="n"/>
      <c r="GR134" s="253" t="n"/>
      <c r="GS134" s="252" t="n"/>
      <c r="GT134" s="253" t="n"/>
      <c r="GU134" s="254" t="n"/>
      <c r="GV134" s="253" t="n"/>
      <c r="GW134" s="252" t="n"/>
      <c r="GX134" s="258" t="n"/>
      <c r="GY134" s="259" t="n"/>
      <c r="GZ134" s="253" t="n"/>
      <c r="HA134" s="252" t="n"/>
      <c r="HB134" s="261" t="n"/>
      <c r="HC134" s="392" t="n"/>
      <c r="HD134" s="253" t="n"/>
      <c r="HE134" s="393" t="n"/>
      <c r="HF134" s="393" t="n"/>
      <c r="HG134" s="252" t="n"/>
      <c r="HH134" s="253" t="n"/>
      <c r="HI134" s="254" t="n"/>
      <c r="HJ134" s="253" t="n"/>
      <c r="HK134" s="252" t="n"/>
      <c r="HL134" s="253" t="n"/>
      <c r="HM134" s="254" t="n"/>
      <c r="HN134" s="253" t="n"/>
      <c r="HO134" s="264" t="n"/>
      <c r="HP134" s="253" t="n"/>
      <c r="HQ134" s="254" t="n"/>
      <c r="HR134" s="253" t="n"/>
      <c r="HS134" s="264" t="n"/>
      <c r="HT134" s="253" t="n"/>
      <c r="HU134" s="55" t="n"/>
      <c r="HV134" s="255" t="n"/>
      <c r="HW134" s="252" t="n"/>
      <c r="HX134" s="256" t="n"/>
      <c r="HY134" s="254" t="n"/>
      <c r="HZ134" s="253" t="n"/>
      <c r="IA134" s="252" t="n"/>
      <c r="IB134" s="257" t="n"/>
      <c r="IC134" s="55" t="n"/>
      <c r="ID134" s="253" t="n"/>
      <c r="IE134" s="252" t="n"/>
      <c r="IF134" s="253" t="n"/>
      <c r="IG134" s="55" t="n"/>
      <c r="IH134" s="253" t="n"/>
      <c r="II134" s="252" t="n"/>
      <c r="IJ134" s="257" t="n"/>
      <c r="IK134" s="55" t="n"/>
      <c r="IL134" s="253" t="n"/>
      <c r="IM134" s="252" t="n"/>
      <c r="IN134" s="253" t="n"/>
      <c r="IO134" s="55" t="n"/>
      <c r="IP134" s="253" t="n"/>
      <c r="IQ134" s="252" t="n"/>
      <c r="IR134" s="253" t="n"/>
      <c r="IS134" s="254" t="n"/>
      <c r="IT134" s="253" t="n"/>
      <c r="IU134" s="252" t="n"/>
      <c r="IV134" s="258" t="n"/>
      <c r="IW134" s="259" t="n"/>
      <c r="IX134" s="253" t="n"/>
      <c r="IY134" s="252" t="n"/>
      <c r="IZ134" s="261" t="n"/>
      <c r="JA134" s="392" t="n"/>
      <c r="JB134" s="253" t="n"/>
      <c r="JC134" s="393" t="n"/>
      <c r="JD134" s="393" t="n"/>
    </row>
    <row r="135">
      <c r="E135" s="248" t="n"/>
      <c r="F135" s="248" t="n"/>
      <c r="G135" s="249" t="n"/>
      <c r="H135" s="250" t="n"/>
      <c r="I135" s="251" t="n"/>
      <c r="J135" s="251" t="n"/>
      <c r="K135" s="251" t="n"/>
      <c r="L135" s="251" t="n"/>
      <c r="M135" s="251" t="n"/>
      <c r="N135" s="251" t="n"/>
      <c r="O135" s="252" t="n"/>
      <c r="P135" s="253" t="n"/>
      <c r="Q135" s="254" t="n"/>
      <c r="R135" s="253" t="n"/>
      <c r="S135" s="252" t="n"/>
      <c r="T135" s="253" t="n"/>
      <c r="U135" s="254" t="n"/>
      <c r="V135" s="253" t="n"/>
      <c r="W135" s="252" t="n"/>
      <c r="X135" s="253" t="n"/>
      <c r="Y135" s="254" t="n"/>
      <c r="Z135" s="253" t="n"/>
      <c r="AA135" s="252" t="n"/>
      <c r="AB135" s="253" t="n"/>
      <c r="AC135" s="55" t="n"/>
      <c r="AD135" s="255" t="n"/>
      <c r="AE135" s="252" t="n"/>
      <c r="AF135" s="256" t="n"/>
      <c r="AG135" s="254" t="n"/>
      <c r="AH135" s="253" t="n"/>
      <c r="AI135" s="252" t="n"/>
      <c r="AJ135" s="257" t="n"/>
      <c r="AK135" s="55" t="n"/>
      <c r="AL135" s="253" t="n"/>
      <c r="AM135" s="252" t="n"/>
      <c r="AN135" s="253" t="n"/>
      <c r="AO135" s="55" t="n"/>
      <c r="AP135" s="253" t="n"/>
      <c r="AQ135" s="252" t="n"/>
      <c r="AR135" s="257" t="n"/>
      <c r="AS135" s="55" t="n"/>
      <c r="AT135" s="253" t="n"/>
      <c r="AU135" s="252" t="n"/>
      <c r="AV135" s="253" t="n"/>
      <c r="AW135" s="55" t="n"/>
      <c r="AX135" s="253" t="n"/>
      <c r="AY135" s="252" t="n"/>
      <c r="AZ135" s="253" t="n"/>
      <c r="BA135" s="254" t="n"/>
      <c r="BB135" s="255" t="n"/>
      <c r="BC135" s="252" t="n"/>
      <c r="BD135" s="258" t="n"/>
      <c r="BE135" s="259" t="n"/>
      <c r="BF135" s="255" t="n"/>
      <c r="BG135" s="260" t="n"/>
      <c r="BH135" s="261" t="n"/>
      <c r="BI135" s="392" t="n"/>
      <c r="BJ135" s="255" t="n"/>
      <c r="BK135" s="393" t="n"/>
      <c r="BL135" s="393" t="n"/>
      <c r="BM135" s="252" t="n"/>
      <c r="BN135" s="253" t="n"/>
      <c r="BO135" s="254" t="n"/>
      <c r="BP135" s="253" t="n"/>
      <c r="BQ135" s="252" t="n"/>
      <c r="BR135" s="253" t="n"/>
      <c r="BS135" s="254" t="n"/>
      <c r="BT135" s="253" t="n"/>
      <c r="BU135" s="264" t="n"/>
      <c r="BV135" s="253" t="n"/>
      <c r="BW135" s="254" t="n"/>
      <c r="BX135" s="253" t="n"/>
      <c r="BY135" s="264" t="n"/>
      <c r="BZ135" s="253" t="n"/>
      <c r="CA135" s="55" t="n"/>
      <c r="CB135" s="255" t="n"/>
      <c r="CC135" s="252" t="n"/>
      <c r="CD135" s="256" t="n"/>
      <c r="CE135" s="55" t="n"/>
      <c r="CF135" s="253" t="n"/>
      <c r="CG135" s="252" t="n"/>
      <c r="CH135" s="257" t="n"/>
      <c r="CI135" s="55" t="n"/>
      <c r="CJ135" s="253" t="n"/>
      <c r="CK135" s="252" t="n"/>
      <c r="CL135" s="253" t="n"/>
      <c r="CM135" s="55" t="n"/>
      <c r="CN135" s="253" t="n"/>
      <c r="CO135" s="252" t="n"/>
      <c r="CP135" s="257" t="n"/>
      <c r="CQ135" s="55" t="n"/>
      <c r="CR135" s="253" t="n"/>
      <c r="CS135" s="252" t="n"/>
      <c r="CT135" s="253" t="n"/>
      <c r="CU135" s="55" t="n"/>
      <c r="CV135" s="253" t="n"/>
      <c r="CW135" s="252" t="n"/>
      <c r="CX135" s="253" t="n"/>
      <c r="CY135" s="254" t="n"/>
      <c r="CZ135" s="253" t="n"/>
      <c r="DA135" s="252" t="n"/>
      <c r="DB135" s="258" t="n"/>
      <c r="DC135" s="259" t="n"/>
      <c r="DD135" s="253" t="n"/>
      <c r="DE135" s="252" t="n"/>
      <c r="DF135" s="261" t="n"/>
      <c r="DG135" s="392" t="n"/>
      <c r="DH135" s="253" t="n"/>
      <c r="DI135" s="393" t="n"/>
      <c r="DJ135" s="393" t="n"/>
      <c r="DK135" s="252" t="n"/>
      <c r="DL135" s="253" t="n"/>
      <c r="DM135" s="254" t="n"/>
      <c r="DN135" s="253" t="n"/>
      <c r="DO135" s="252" t="n"/>
      <c r="DP135" s="253" t="n"/>
      <c r="DQ135" s="254" t="n"/>
      <c r="DR135" s="253" t="n"/>
      <c r="DS135" s="264" t="n"/>
      <c r="DT135" s="253" t="n"/>
      <c r="DU135" s="254" t="n"/>
      <c r="DV135" s="253" t="n"/>
      <c r="DW135" s="264" t="n"/>
      <c r="DX135" s="253" t="n"/>
      <c r="DY135" s="55" t="n"/>
      <c r="DZ135" s="255" t="n"/>
      <c r="EA135" s="252" t="n"/>
      <c r="EB135" s="256" t="n"/>
      <c r="EC135" s="254" t="n"/>
      <c r="ED135" s="253" t="n"/>
      <c r="EE135" s="252" t="n"/>
      <c r="EF135" s="257" t="n"/>
      <c r="EG135" s="55" t="n"/>
      <c r="EH135" s="253" t="n"/>
      <c r="EI135" s="252" t="n"/>
      <c r="EJ135" s="253" t="n"/>
      <c r="EK135" s="55" t="n"/>
      <c r="EL135" s="253" t="n"/>
      <c r="EM135" s="252" t="n"/>
      <c r="EN135" s="257" t="n"/>
      <c r="EO135" s="55" t="n"/>
      <c r="EP135" s="253" t="n"/>
      <c r="EQ135" s="252" t="n"/>
      <c r="ER135" s="253" t="n"/>
      <c r="ES135" s="55" t="n"/>
      <c r="ET135" s="253" t="n"/>
      <c r="EU135" s="252" t="n"/>
      <c r="EV135" s="253" t="n"/>
      <c r="EW135" s="254" t="n"/>
      <c r="EX135" s="253" t="n"/>
      <c r="EY135" s="252" t="n"/>
      <c r="EZ135" s="258" t="n"/>
      <c r="FA135" s="259" t="n"/>
      <c r="FB135" s="253" t="n"/>
      <c r="FC135" s="252" t="n"/>
      <c r="FD135" s="261" t="n"/>
      <c r="FE135" s="392" t="n"/>
      <c r="FF135" s="253" t="n"/>
      <c r="FG135" s="393" t="n"/>
      <c r="FH135" s="393" t="n"/>
      <c r="FI135" s="252" t="n"/>
      <c r="FJ135" s="253" t="n"/>
      <c r="FK135" s="254" t="n"/>
      <c r="FL135" s="253" t="n"/>
      <c r="FM135" s="252" t="n"/>
      <c r="FN135" s="253" t="n"/>
      <c r="FO135" s="254" t="n"/>
      <c r="FP135" s="253" t="n"/>
      <c r="FQ135" s="264" t="n"/>
      <c r="FR135" s="253" t="n"/>
      <c r="FS135" s="254" t="n"/>
      <c r="FT135" s="253" t="n"/>
      <c r="FU135" s="264" t="n"/>
      <c r="FV135" s="253" t="n"/>
      <c r="FW135" s="55" t="n"/>
      <c r="FX135" s="255" t="n"/>
      <c r="FY135" s="252" t="n"/>
      <c r="FZ135" s="256" t="n"/>
      <c r="GA135" s="254" t="n"/>
      <c r="GB135" s="253" t="n"/>
      <c r="GC135" s="252" t="n"/>
      <c r="GD135" s="257" t="n"/>
      <c r="GE135" s="55" t="n"/>
      <c r="GF135" s="253" t="n"/>
      <c r="GG135" s="252" t="n"/>
      <c r="GH135" s="253" t="n"/>
      <c r="GI135" s="55" t="n"/>
      <c r="GJ135" s="253" t="n"/>
      <c r="GK135" s="252" t="n"/>
      <c r="GL135" s="257" t="n"/>
      <c r="GM135" s="55" t="n"/>
      <c r="GN135" s="253" t="n"/>
      <c r="GO135" s="252" t="n"/>
      <c r="GP135" s="253" t="n"/>
      <c r="GQ135" s="55" t="n"/>
      <c r="GR135" s="253" t="n"/>
      <c r="GS135" s="252" t="n"/>
      <c r="GT135" s="253" t="n"/>
      <c r="GU135" s="254" t="n"/>
      <c r="GV135" s="253" t="n"/>
      <c r="GW135" s="252" t="n"/>
      <c r="GX135" s="258" t="n"/>
      <c r="GY135" s="259" t="n"/>
      <c r="GZ135" s="253" t="n"/>
      <c r="HA135" s="252" t="n"/>
      <c r="HB135" s="261" t="n"/>
      <c r="HC135" s="392" t="n"/>
      <c r="HD135" s="253" t="n"/>
      <c r="HE135" s="393" t="n"/>
      <c r="HF135" s="393" t="n"/>
      <c r="HG135" s="252" t="n"/>
      <c r="HH135" s="253" t="n"/>
      <c r="HI135" s="254" t="n"/>
      <c r="HJ135" s="253" t="n"/>
      <c r="HK135" s="252" t="n"/>
      <c r="HL135" s="253" t="n"/>
      <c r="HM135" s="254" t="n"/>
      <c r="HN135" s="253" t="n"/>
      <c r="HO135" s="264" t="n"/>
      <c r="HP135" s="253" t="n"/>
      <c r="HQ135" s="254" t="n"/>
      <c r="HR135" s="253" t="n"/>
      <c r="HS135" s="264" t="n"/>
      <c r="HT135" s="253" t="n"/>
      <c r="HU135" s="55" t="n"/>
      <c r="HV135" s="255" t="n"/>
      <c r="HW135" s="252" t="n"/>
      <c r="HX135" s="256" t="n"/>
      <c r="HY135" s="254" t="n"/>
      <c r="HZ135" s="253" t="n"/>
      <c r="IA135" s="252" t="n"/>
      <c r="IB135" s="257" t="n"/>
      <c r="IC135" s="55" t="n"/>
      <c r="ID135" s="253" t="n"/>
      <c r="IE135" s="252" t="n"/>
      <c r="IF135" s="253" t="n"/>
      <c r="IG135" s="55" t="n"/>
      <c r="IH135" s="253" t="n"/>
      <c r="II135" s="252" t="n"/>
      <c r="IJ135" s="257" t="n"/>
      <c r="IK135" s="55" t="n"/>
      <c r="IL135" s="253" t="n"/>
      <c r="IM135" s="252" t="n"/>
      <c r="IN135" s="253" t="n"/>
      <c r="IO135" s="55" t="n"/>
      <c r="IP135" s="253" t="n"/>
      <c r="IQ135" s="252" t="n"/>
      <c r="IR135" s="253" t="n"/>
      <c r="IS135" s="254" t="n"/>
      <c r="IT135" s="253" t="n"/>
      <c r="IU135" s="252" t="n"/>
      <c r="IV135" s="258" t="n"/>
      <c r="IW135" s="259" t="n"/>
      <c r="IX135" s="253" t="n"/>
      <c r="IY135" s="252" t="n"/>
      <c r="IZ135" s="261" t="n"/>
      <c r="JA135" s="392" t="n"/>
      <c r="JB135" s="253" t="n"/>
      <c r="JC135" s="393" t="n"/>
      <c r="JD135" s="393" t="n"/>
    </row>
    <row r="136">
      <c r="E136" s="248" t="n"/>
      <c r="F136" s="248" t="n"/>
      <c r="G136" s="249" t="n"/>
      <c r="H136" s="250" t="n"/>
      <c r="I136" s="251" t="n"/>
      <c r="J136" s="251" t="n"/>
      <c r="K136" s="251" t="n"/>
      <c r="L136" s="251" t="n"/>
      <c r="M136" s="251" t="n"/>
      <c r="N136" s="251" t="n"/>
      <c r="O136" s="252" t="n"/>
      <c r="P136" s="253" t="n"/>
      <c r="Q136" s="254" t="n"/>
      <c r="R136" s="253" t="n"/>
      <c r="S136" s="252" t="n"/>
      <c r="T136" s="253" t="n"/>
      <c r="U136" s="254" t="n"/>
      <c r="V136" s="253" t="n"/>
      <c r="W136" s="252" t="n"/>
      <c r="X136" s="253" t="n"/>
      <c r="Y136" s="254" t="n"/>
      <c r="Z136" s="253" t="n"/>
      <c r="AA136" s="252" t="n"/>
      <c r="AB136" s="253" t="n"/>
      <c r="AC136" s="55" t="n"/>
      <c r="AD136" s="255" t="n"/>
      <c r="AE136" s="252" t="n"/>
      <c r="AF136" s="256" t="n"/>
      <c r="AG136" s="254" t="n"/>
      <c r="AH136" s="253" t="n"/>
      <c r="AI136" s="252" t="n"/>
      <c r="AJ136" s="257" t="n"/>
      <c r="AK136" s="55" t="n"/>
      <c r="AL136" s="253" t="n"/>
      <c r="AM136" s="252" t="n"/>
      <c r="AN136" s="253" t="n"/>
      <c r="AO136" s="55" t="n"/>
      <c r="AP136" s="253" t="n"/>
      <c r="AQ136" s="252" t="n"/>
      <c r="AR136" s="257" t="n"/>
      <c r="AS136" s="55" t="n"/>
      <c r="AT136" s="253" t="n"/>
      <c r="AU136" s="252" t="n"/>
      <c r="AV136" s="253" t="n"/>
      <c r="AW136" s="55" t="n"/>
      <c r="AX136" s="253" t="n"/>
      <c r="AY136" s="252" t="n"/>
      <c r="AZ136" s="253" t="n"/>
      <c r="BA136" s="254" t="n"/>
      <c r="BB136" s="255" t="n"/>
      <c r="BC136" s="252" t="n"/>
      <c r="BD136" s="258" t="n"/>
      <c r="BE136" s="259" t="n"/>
      <c r="BF136" s="255" t="n"/>
      <c r="BG136" s="260" t="n"/>
      <c r="BH136" s="261" t="n"/>
      <c r="BI136" s="392" t="n"/>
      <c r="BJ136" s="255" t="n"/>
      <c r="BK136" s="393" t="n"/>
      <c r="BL136" s="393" t="n"/>
      <c r="BM136" s="252" t="n"/>
      <c r="BN136" s="253" t="n"/>
      <c r="BO136" s="254" t="n"/>
      <c r="BP136" s="253" t="n"/>
      <c r="BQ136" s="252" t="n"/>
      <c r="BR136" s="253" t="n"/>
      <c r="BS136" s="254" t="n"/>
      <c r="BT136" s="253" t="n"/>
      <c r="BU136" s="264" t="n"/>
      <c r="BV136" s="253" t="n"/>
      <c r="BW136" s="254" t="n"/>
      <c r="BX136" s="253" t="n"/>
      <c r="BY136" s="264" t="n"/>
      <c r="BZ136" s="253" t="n"/>
      <c r="CA136" s="55" t="n"/>
      <c r="CB136" s="255" t="n"/>
      <c r="CC136" s="252" t="n"/>
      <c r="CD136" s="256" t="n"/>
      <c r="CE136" s="55" t="n"/>
      <c r="CF136" s="253" t="n"/>
      <c r="CG136" s="252" t="n"/>
      <c r="CH136" s="257" t="n"/>
      <c r="CI136" s="55" t="n"/>
      <c r="CJ136" s="253" t="n"/>
      <c r="CK136" s="252" t="n"/>
      <c r="CL136" s="253" t="n"/>
      <c r="CM136" s="55" t="n"/>
      <c r="CN136" s="253" t="n"/>
      <c r="CO136" s="252" t="n"/>
      <c r="CP136" s="257" t="n"/>
      <c r="CQ136" s="55" t="n"/>
      <c r="CR136" s="253" t="n"/>
      <c r="CS136" s="252" t="n"/>
      <c r="CT136" s="253" t="n"/>
      <c r="CU136" s="55" t="n"/>
      <c r="CV136" s="253" t="n"/>
      <c r="CW136" s="252" t="n"/>
      <c r="CX136" s="253" t="n"/>
      <c r="CY136" s="254" t="n"/>
      <c r="CZ136" s="253" t="n"/>
      <c r="DA136" s="252" t="n"/>
      <c r="DB136" s="258" t="n"/>
      <c r="DC136" s="259" t="n"/>
      <c r="DD136" s="253" t="n"/>
      <c r="DE136" s="252" t="n"/>
      <c r="DF136" s="261" t="n"/>
      <c r="DG136" s="392" t="n"/>
      <c r="DH136" s="253" t="n"/>
      <c r="DI136" s="393" t="n"/>
      <c r="DJ136" s="393" t="n"/>
      <c r="DK136" s="252" t="n"/>
      <c r="DL136" s="253" t="n"/>
      <c r="DM136" s="254" t="n"/>
      <c r="DN136" s="253" t="n"/>
      <c r="DO136" s="252" t="n"/>
      <c r="DP136" s="253" t="n"/>
      <c r="DQ136" s="254" t="n"/>
      <c r="DR136" s="253" t="n"/>
      <c r="DS136" s="264" t="n"/>
      <c r="DT136" s="253" t="n"/>
      <c r="DU136" s="254" t="n"/>
      <c r="DV136" s="253" t="n"/>
      <c r="DW136" s="264" t="n"/>
      <c r="DX136" s="253" t="n"/>
      <c r="DY136" s="55" t="n"/>
      <c r="DZ136" s="255" t="n"/>
      <c r="EA136" s="252" t="n"/>
      <c r="EB136" s="256" t="n"/>
      <c r="EC136" s="254" t="n"/>
      <c r="ED136" s="253" t="n"/>
      <c r="EE136" s="252" t="n"/>
      <c r="EF136" s="257" t="n"/>
      <c r="EG136" s="55" t="n"/>
      <c r="EH136" s="253" t="n"/>
      <c r="EI136" s="252" t="n"/>
      <c r="EJ136" s="253" t="n"/>
      <c r="EK136" s="55" t="n"/>
      <c r="EL136" s="253" t="n"/>
      <c r="EM136" s="252" t="n"/>
      <c r="EN136" s="257" t="n"/>
      <c r="EO136" s="55" t="n"/>
      <c r="EP136" s="253" t="n"/>
      <c r="EQ136" s="252" t="n"/>
      <c r="ER136" s="253" t="n"/>
      <c r="ES136" s="55" t="n"/>
      <c r="ET136" s="253" t="n"/>
      <c r="EU136" s="252" t="n"/>
      <c r="EV136" s="253" t="n"/>
      <c r="EW136" s="254" t="n"/>
      <c r="EX136" s="253" t="n"/>
      <c r="EY136" s="252" t="n"/>
      <c r="EZ136" s="258" t="n"/>
      <c r="FA136" s="259" t="n"/>
      <c r="FB136" s="253" t="n"/>
      <c r="FC136" s="252" t="n"/>
      <c r="FD136" s="261" t="n"/>
      <c r="FE136" s="392" t="n"/>
      <c r="FF136" s="253" t="n"/>
      <c r="FG136" s="393" t="n"/>
      <c r="FH136" s="393" t="n"/>
      <c r="FI136" s="252" t="n"/>
      <c r="FJ136" s="253" t="n"/>
      <c r="FK136" s="254" t="n"/>
      <c r="FL136" s="253" t="n"/>
      <c r="FM136" s="252" t="n"/>
      <c r="FN136" s="253" t="n"/>
      <c r="FO136" s="254" t="n"/>
      <c r="FP136" s="253" t="n"/>
      <c r="FQ136" s="264" t="n"/>
      <c r="FR136" s="253" t="n"/>
      <c r="FS136" s="254" t="n"/>
      <c r="FT136" s="253" t="n"/>
      <c r="FU136" s="264" t="n"/>
      <c r="FV136" s="253" t="n"/>
      <c r="FW136" s="55" t="n"/>
      <c r="FX136" s="255" t="n"/>
      <c r="FY136" s="252" t="n"/>
      <c r="FZ136" s="256" t="n"/>
      <c r="GA136" s="254" t="n"/>
      <c r="GB136" s="253" t="n"/>
      <c r="GC136" s="252" t="n"/>
      <c r="GD136" s="257" t="n"/>
      <c r="GE136" s="55" t="n"/>
      <c r="GF136" s="253" t="n"/>
      <c r="GG136" s="252" t="n"/>
      <c r="GH136" s="253" t="n"/>
      <c r="GI136" s="55" t="n"/>
      <c r="GJ136" s="253" t="n"/>
      <c r="GK136" s="252" t="n"/>
      <c r="GL136" s="257" t="n"/>
      <c r="GM136" s="55" t="n"/>
      <c r="GN136" s="253" t="n"/>
      <c r="GO136" s="252" t="n"/>
      <c r="GP136" s="253" t="n"/>
      <c r="GQ136" s="55" t="n"/>
      <c r="GR136" s="253" t="n"/>
      <c r="GS136" s="252" t="n"/>
      <c r="GT136" s="253" t="n"/>
      <c r="GU136" s="254" t="n"/>
      <c r="GV136" s="253" t="n"/>
      <c r="GW136" s="252" t="n"/>
      <c r="GX136" s="258" t="n"/>
      <c r="GY136" s="259" t="n"/>
      <c r="GZ136" s="253" t="n"/>
      <c r="HA136" s="252" t="n"/>
      <c r="HB136" s="261" t="n"/>
      <c r="HC136" s="392" t="n"/>
      <c r="HD136" s="253" t="n"/>
      <c r="HE136" s="393" t="n"/>
      <c r="HF136" s="393" t="n"/>
      <c r="HG136" s="252" t="n"/>
      <c r="HH136" s="253" t="n"/>
      <c r="HI136" s="254" t="n"/>
      <c r="HJ136" s="253" t="n"/>
      <c r="HK136" s="252" t="n"/>
      <c r="HL136" s="253" t="n"/>
      <c r="HM136" s="254" t="n"/>
      <c r="HN136" s="253" t="n"/>
      <c r="HO136" s="264" t="n"/>
      <c r="HP136" s="253" t="n"/>
      <c r="HQ136" s="254" t="n"/>
      <c r="HR136" s="253" t="n"/>
      <c r="HS136" s="264" t="n"/>
      <c r="HT136" s="253" t="n"/>
      <c r="HU136" s="55" t="n"/>
      <c r="HV136" s="255" t="n"/>
      <c r="HW136" s="252" t="n"/>
      <c r="HX136" s="256" t="n"/>
      <c r="HY136" s="254" t="n"/>
      <c r="HZ136" s="253" t="n"/>
      <c r="IA136" s="252" t="n"/>
      <c r="IB136" s="257" t="n"/>
      <c r="IC136" s="55" t="n"/>
      <c r="ID136" s="253" t="n"/>
      <c r="IE136" s="252" t="n"/>
      <c r="IF136" s="253" t="n"/>
      <c r="IG136" s="55" t="n"/>
      <c r="IH136" s="253" t="n"/>
      <c r="II136" s="252" t="n"/>
      <c r="IJ136" s="257" t="n"/>
      <c r="IK136" s="55" t="n"/>
      <c r="IL136" s="253" t="n"/>
      <c r="IM136" s="252" t="n"/>
      <c r="IN136" s="253" t="n"/>
      <c r="IO136" s="55" t="n"/>
      <c r="IP136" s="253" t="n"/>
      <c r="IQ136" s="252" t="n"/>
      <c r="IR136" s="253" t="n"/>
      <c r="IS136" s="254" t="n"/>
      <c r="IT136" s="253" t="n"/>
      <c r="IU136" s="252" t="n"/>
      <c r="IV136" s="258" t="n"/>
      <c r="IW136" s="259" t="n"/>
      <c r="IX136" s="253" t="n"/>
      <c r="IY136" s="252" t="n"/>
      <c r="IZ136" s="261" t="n"/>
      <c r="JA136" s="392" t="n"/>
      <c r="JB136" s="253" t="n"/>
      <c r="JC136" s="393" t="n"/>
      <c r="JD136" s="393" t="n"/>
    </row>
    <row r="137">
      <c r="E137" s="248" t="n"/>
      <c r="F137" s="248" t="n"/>
      <c r="G137" s="249" t="n"/>
      <c r="H137" s="250" t="n"/>
      <c r="I137" s="251" t="n"/>
      <c r="J137" s="251" t="n"/>
      <c r="K137" s="251" t="n"/>
      <c r="L137" s="251" t="n"/>
      <c r="M137" s="251" t="n"/>
      <c r="N137" s="251" t="n"/>
      <c r="O137" s="252" t="n"/>
      <c r="P137" s="253" t="n"/>
      <c r="Q137" s="254" t="n"/>
      <c r="R137" s="253" t="n"/>
      <c r="S137" s="252" t="n"/>
      <c r="T137" s="253" t="n"/>
      <c r="U137" s="254" t="n"/>
      <c r="V137" s="253" t="n"/>
      <c r="W137" s="252" t="n"/>
      <c r="X137" s="253" t="n"/>
      <c r="Y137" s="254" t="n"/>
      <c r="Z137" s="253" t="n"/>
      <c r="AA137" s="252" t="n"/>
      <c r="AB137" s="253" t="n"/>
      <c r="AC137" s="55" t="n"/>
      <c r="AD137" s="255" t="n"/>
      <c r="AE137" s="252" t="n"/>
      <c r="AF137" s="256" t="n"/>
      <c r="AG137" s="254" t="n"/>
      <c r="AH137" s="253" t="n"/>
      <c r="AI137" s="252" t="n"/>
      <c r="AJ137" s="257" t="n"/>
      <c r="AK137" s="55" t="n"/>
      <c r="AL137" s="253" t="n"/>
      <c r="AM137" s="252" t="n"/>
      <c r="AN137" s="253" t="n"/>
      <c r="AO137" s="55" t="n"/>
      <c r="AP137" s="253" t="n"/>
      <c r="AQ137" s="252" t="n"/>
      <c r="AR137" s="257" t="n"/>
      <c r="AS137" s="55" t="n"/>
      <c r="AT137" s="253" t="n"/>
      <c r="AU137" s="252" t="n"/>
      <c r="AV137" s="253" t="n"/>
      <c r="AW137" s="55" t="n"/>
      <c r="AX137" s="253" t="n"/>
      <c r="AY137" s="252" t="n"/>
      <c r="AZ137" s="253" t="n"/>
      <c r="BA137" s="254" t="n"/>
      <c r="BB137" s="255" t="n"/>
      <c r="BC137" s="252" t="n"/>
      <c r="BD137" s="258" t="n"/>
      <c r="BE137" s="259" t="n"/>
      <c r="BF137" s="255" t="n"/>
      <c r="BG137" s="260" t="n"/>
      <c r="BH137" s="261" t="n"/>
      <c r="BI137" s="392" t="n"/>
      <c r="BJ137" s="255" t="n"/>
      <c r="BK137" s="393" t="n"/>
      <c r="BL137" s="393" t="n"/>
      <c r="BM137" s="252" t="n"/>
      <c r="BN137" s="253" t="n"/>
      <c r="BO137" s="254" t="n"/>
      <c r="BP137" s="253" t="n"/>
      <c r="BQ137" s="252" t="n"/>
      <c r="BR137" s="253" t="n"/>
      <c r="BS137" s="254" t="n"/>
      <c r="BT137" s="253" t="n"/>
      <c r="BU137" s="264" t="n"/>
      <c r="BV137" s="253" t="n"/>
      <c r="BW137" s="254" t="n"/>
      <c r="BX137" s="253" t="n"/>
      <c r="BY137" s="264" t="n"/>
      <c r="BZ137" s="253" t="n"/>
      <c r="CA137" s="55" t="n"/>
      <c r="CB137" s="255" t="n"/>
      <c r="CC137" s="252" t="n"/>
      <c r="CD137" s="256" t="n"/>
      <c r="CE137" s="55" t="n"/>
      <c r="CF137" s="253" t="n"/>
      <c r="CG137" s="252" t="n"/>
      <c r="CH137" s="257" t="n"/>
      <c r="CI137" s="55" t="n"/>
      <c r="CJ137" s="253" t="n"/>
      <c r="CK137" s="252" t="n"/>
      <c r="CL137" s="253" t="n"/>
      <c r="CM137" s="55" t="n"/>
      <c r="CN137" s="253" t="n"/>
      <c r="CO137" s="252" t="n"/>
      <c r="CP137" s="257" t="n"/>
      <c r="CQ137" s="55" t="n"/>
      <c r="CR137" s="253" t="n"/>
      <c r="CS137" s="252" t="n"/>
      <c r="CT137" s="253" t="n"/>
      <c r="CU137" s="55" t="n"/>
      <c r="CV137" s="253" t="n"/>
      <c r="CW137" s="252" t="n"/>
      <c r="CX137" s="253" t="n"/>
      <c r="CY137" s="254" t="n"/>
      <c r="CZ137" s="253" t="n"/>
      <c r="DA137" s="252" t="n"/>
      <c r="DB137" s="258" t="n"/>
      <c r="DC137" s="259" t="n"/>
      <c r="DD137" s="253" t="n"/>
      <c r="DE137" s="252" t="n"/>
      <c r="DF137" s="261" t="n"/>
      <c r="DG137" s="392" t="n"/>
      <c r="DH137" s="253" t="n"/>
      <c r="DI137" s="393" t="n"/>
      <c r="DJ137" s="393" t="n"/>
      <c r="DK137" s="252" t="n"/>
      <c r="DL137" s="253" t="n"/>
      <c r="DM137" s="254" t="n"/>
      <c r="DN137" s="253" t="n"/>
      <c r="DO137" s="252" t="n"/>
      <c r="DP137" s="253" t="n"/>
      <c r="DQ137" s="254" t="n"/>
      <c r="DR137" s="253" t="n"/>
      <c r="DS137" s="264" t="n"/>
      <c r="DT137" s="253" t="n"/>
      <c r="DU137" s="254" t="n"/>
      <c r="DV137" s="253" t="n"/>
      <c r="DW137" s="264" t="n"/>
      <c r="DX137" s="253" t="n"/>
      <c r="DY137" s="55" t="n"/>
      <c r="DZ137" s="255" t="n"/>
      <c r="EA137" s="252" t="n"/>
      <c r="EB137" s="256" t="n"/>
      <c r="EC137" s="254" t="n"/>
      <c r="ED137" s="253" t="n"/>
      <c r="EE137" s="252" t="n"/>
      <c r="EF137" s="257" t="n"/>
      <c r="EG137" s="55" t="n"/>
      <c r="EH137" s="253" t="n"/>
      <c r="EI137" s="252" t="n"/>
      <c r="EJ137" s="253" t="n"/>
      <c r="EK137" s="55" t="n"/>
      <c r="EL137" s="253" t="n"/>
      <c r="EM137" s="252" t="n"/>
      <c r="EN137" s="257" t="n"/>
      <c r="EO137" s="55" t="n"/>
      <c r="EP137" s="253" t="n"/>
      <c r="EQ137" s="252" t="n"/>
      <c r="ER137" s="253" t="n"/>
      <c r="ES137" s="55" t="n"/>
      <c r="ET137" s="253" t="n"/>
      <c r="EU137" s="252" t="n"/>
      <c r="EV137" s="253" t="n"/>
      <c r="EW137" s="254" t="n"/>
      <c r="EX137" s="253" t="n"/>
      <c r="EY137" s="252" t="n"/>
      <c r="EZ137" s="258" t="n"/>
      <c r="FA137" s="259" t="n"/>
      <c r="FB137" s="253" t="n"/>
      <c r="FC137" s="252" t="n"/>
      <c r="FD137" s="261" t="n"/>
      <c r="FE137" s="392" t="n"/>
      <c r="FF137" s="253" t="n"/>
      <c r="FG137" s="393" t="n"/>
      <c r="FH137" s="393" t="n"/>
      <c r="FI137" s="252" t="n"/>
      <c r="FJ137" s="253" t="n"/>
      <c r="FK137" s="254" t="n"/>
      <c r="FL137" s="253" t="n"/>
      <c r="FM137" s="252" t="n"/>
      <c r="FN137" s="253" t="n"/>
      <c r="FO137" s="254" t="n"/>
      <c r="FP137" s="253" t="n"/>
      <c r="FQ137" s="264" t="n"/>
      <c r="FR137" s="253" t="n"/>
      <c r="FS137" s="254" t="n"/>
      <c r="FT137" s="253" t="n"/>
      <c r="FU137" s="264" t="n"/>
      <c r="FV137" s="253" t="n"/>
      <c r="FW137" s="55" t="n"/>
      <c r="FX137" s="255" t="n"/>
      <c r="FY137" s="252" t="n"/>
      <c r="FZ137" s="256" t="n"/>
      <c r="GA137" s="254" t="n"/>
      <c r="GB137" s="253" t="n"/>
      <c r="GC137" s="252" t="n"/>
      <c r="GD137" s="257" t="n"/>
      <c r="GE137" s="55" t="n"/>
      <c r="GF137" s="253" t="n"/>
      <c r="GG137" s="252" t="n"/>
      <c r="GH137" s="253" t="n"/>
      <c r="GI137" s="55" t="n"/>
      <c r="GJ137" s="253" t="n"/>
      <c r="GK137" s="252" t="n"/>
      <c r="GL137" s="257" t="n"/>
      <c r="GM137" s="55" t="n"/>
      <c r="GN137" s="253" t="n"/>
      <c r="GO137" s="252" t="n"/>
      <c r="GP137" s="253" t="n"/>
      <c r="GQ137" s="55" t="n"/>
      <c r="GR137" s="253" t="n"/>
      <c r="GS137" s="252" t="n"/>
      <c r="GT137" s="253" t="n"/>
      <c r="GU137" s="254" t="n"/>
      <c r="GV137" s="253" t="n"/>
      <c r="GW137" s="252" t="n"/>
      <c r="GX137" s="258" t="n"/>
      <c r="GY137" s="259" t="n"/>
      <c r="GZ137" s="253" t="n"/>
      <c r="HA137" s="252" t="n"/>
      <c r="HB137" s="261" t="n"/>
      <c r="HC137" s="392" t="n"/>
      <c r="HD137" s="253" t="n"/>
      <c r="HE137" s="393" t="n"/>
      <c r="HF137" s="393" t="n"/>
      <c r="HG137" s="252" t="n"/>
      <c r="HH137" s="253" t="n"/>
      <c r="HI137" s="254" t="n"/>
      <c r="HJ137" s="253" t="n"/>
      <c r="HK137" s="252" t="n"/>
      <c r="HL137" s="253" t="n"/>
      <c r="HM137" s="254" t="n"/>
      <c r="HN137" s="253" t="n"/>
      <c r="HO137" s="264" t="n"/>
      <c r="HP137" s="253" t="n"/>
      <c r="HQ137" s="254" t="n"/>
      <c r="HR137" s="253" t="n"/>
      <c r="HS137" s="264" t="n"/>
      <c r="HT137" s="253" t="n"/>
      <c r="HU137" s="55" t="n"/>
      <c r="HV137" s="255" t="n"/>
      <c r="HW137" s="252" t="n"/>
      <c r="HX137" s="256" t="n"/>
      <c r="HY137" s="254" t="n"/>
      <c r="HZ137" s="253" t="n"/>
      <c r="IA137" s="252" t="n"/>
      <c r="IB137" s="257" t="n"/>
      <c r="IC137" s="55" t="n"/>
      <c r="ID137" s="253" t="n"/>
      <c r="IE137" s="252" t="n"/>
      <c r="IF137" s="253" t="n"/>
      <c r="IG137" s="55" t="n"/>
      <c r="IH137" s="253" t="n"/>
      <c r="II137" s="252" t="n"/>
      <c r="IJ137" s="257" t="n"/>
      <c r="IK137" s="55" t="n"/>
      <c r="IL137" s="253" t="n"/>
      <c r="IM137" s="252" t="n"/>
      <c r="IN137" s="253" t="n"/>
      <c r="IO137" s="55" t="n"/>
      <c r="IP137" s="253" t="n"/>
      <c r="IQ137" s="252" t="n"/>
      <c r="IR137" s="253" t="n"/>
      <c r="IS137" s="254" t="n"/>
      <c r="IT137" s="253" t="n"/>
      <c r="IU137" s="252" t="n"/>
      <c r="IV137" s="258" t="n"/>
      <c r="IW137" s="259" t="n"/>
      <c r="IX137" s="253" t="n"/>
      <c r="IY137" s="252" t="n"/>
      <c r="IZ137" s="261" t="n"/>
      <c r="JA137" s="392" t="n"/>
      <c r="JB137" s="253" t="n"/>
      <c r="JC137" s="393" t="n"/>
      <c r="JD137" s="393" t="n"/>
    </row>
    <row r="138">
      <c r="E138" s="248" t="n"/>
      <c r="F138" s="248" t="n"/>
      <c r="G138" s="249" t="n"/>
      <c r="H138" s="250" t="n"/>
      <c r="I138" s="251" t="n"/>
      <c r="J138" s="251" t="n"/>
      <c r="K138" s="251" t="n"/>
      <c r="L138" s="251" t="n"/>
      <c r="M138" s="251" t="n"/>
      <c r="N138" s="251" t="n"/>
      <c r="O138" s="252" t="n"/>
      <c r="P138" s="253" t="n"/>
      <c r="Q138" s="254" t="n"/>
      <c r="R138" s="253" t="n"/>
      <c r="S138" s="252" t="n"/>
      <c r="T138" s="253" t="n"/>
      <c r="U138" s="254" t="n"/>
      <c r="V138" s="253" t="n"/>
      <c r="W138" s="252" t="n"/>
      <c r="X138" s="253" t="n"/>
      <c r="Y138" s="254" t="n"/>
      <c r="Z138" s="253" t="n"/>
      <c r="AA138" s="252" t="n"/>
      <c r="AB138" s="253" t="n"/>
      <c r="AC138" s="55" t="n"/>
      <c r="AD138" s="255" t="n"/>
      <c r="AE138" s="252" t="n"/>
      <c r="AF138" s="256" t="n"/>
      <c r="AG138" s="254" t="n"/>
      <c r="AH138" s="253" t="n"/>
      <c r="AI138" s="252" t="n"/>
      <c r="AJ138" s="257" t="n"/>
      <c r="AK138" s="55" t="n"/>
      <c r="AL138" s="253" t="n"/>
      <c r="AM138" s="252" t="n"/>
      <c r="AN138" s="253" t="n"/>
      <c r="AO138" s="55" t="n"/>
      <c r="AP138" s="253" t="n"/>
      <c r="AQ138" s="252" t="n"/>
      <c r="AR138" s="257" t="n"/>
      <c r="AS138" s="55" t="n"/>
      <c r="AT138" s="253" t="n"/>
      <c r="AU138" s="252" t="n"/>
      <c r="AV138" s="253" t="n"/>
      <c r="AW138" s="55" t="n"/>
      <c r="AX138" s="253" t="n"/>
      <c r="AY138" s="252" t="n"/>
      <c r="AZ138" s="253" t="n"/>
      <c r="BA138" s="254" t="n"/>
      <c r="BB138" s="255" t="n"/>
      <c r="BC138" s="252" t="n"/>
      <c r="BD138" s="258" t="n"/>
      <c r="BE138" s="259" t="n"/>
      <c r="BF138" s="255" t="n"/>
      <c r="BG138" s="260" t="n"/>
      <c r="BH138" s="261" t="n"/>
      <c r="BI138" s="392" t="n"/>
      <c r="BJ138" s="255" t="n"/>
      <c r="BK138" s="393" t="n"/>
      <c r="BL138" s="393" t="n"/>
      <c r="BM138" s="252" t="n"/>
      <c r="BN138" s="253" t="n"/>
      <c r="BO138" s="254" t="n"/>
      <c r="BP138" s="253" t="n"/>
      <c r="BQ138" s="252" t="n"/>
      <c r="BR138" s="253" t="n"/>
      <c r="BS138" s="254" t="n"/>
      <c r="BT138" s="253" t="n"/>
      <c r="BU138" s="264" t="n"/>
      <c r="BV138" s="253" t="n"/>
      <c r="BW138" s="254" t="n"/>
      <c r="BX138" s="253" t="n"/>
      <c r="BY138" s="264" t="n"/>
      <c r="BZ138" s="253" t="n"/>
      <c r="CA138" s="55" t="n"/>
      <c r="CB138" s="255" t="n"/>
      <c r="CC138" s="252" t="n"/>
      <c r="CD138" s="256" t="n"/>
      <c r="CE138" s="55" t="n"/>
      <c r="CF138" s="253" t="n"/>
      <c r="CG138" s="252" t="n"/>
      <c r="CH138" s="257" t="n"/>
      <c r="CI138" s="55" t="n"/>
      <c r="CJ138" s="253" t="n"/>
      <c r="CK138" s="252" t="n"/>
      <c r="CL138" s="253" t="n"/>
      <c r="CM138" s="55" t="n"/>
      <c r="CN138" s="253" t="n"/>
      <c r="CO138" s="252" t="n"/>
      <c r="CP138" s="257" t="n"/>
      <c r="CQ138" s="55" t="n"/>
      <c r="CR138" s="253" t="n"/>
      <c r="CS138" s="252" t="n"/>
      <c r="CT138" s="253" t="n"/>
      <c r="CU138" s="55" t="n"/>
      <c r="CV138" s="253" t="n"/>
      <c r="CW138" s="252" t="n"/>
      <c r="CX138" s="253" t="n"/>
      <c r="CY138" s="254" t="n"/>
      <c r="CZ138" s="253" t="n"/>
      <c r="DA138" s="252" t="n"/>
      <c r="DB138" s="258" t="n"/>
      <c r="DC138" s="259" t="n"/>
      <c r="DD138" s="253" t="n"/>
      <c r="DE138" s="252" t="n"/>
      <c r="DF138" s="261" t="n"/>
      <c r="DG138" s="392" t="n"/>
      <c r="DH138" s="253" t="n"/>
      <c r="DI138" s="393" t="n"/>
      <c r="DJ138" s="393" t="n"/>
      <c r="DK138" s="252" t="n"/>
      <c r="DL138" s="253" t="n"/>
      <c r="DM138" s="254" t="n"/>
      <c r="DN138" s="253" t="n"/>
      <c r="DO138" s="252" t="n"/>
      <c r="DP138" s="253" t="n"/>
      <c r="DQ138" s="254" t="n"/>
      <c r="DR138" s="253" t="n"/>
      <c r="DS138" s="264" t="n"/>
      <c r="DT138" s="253" t="n"/>
      <c r="DU138" s="254" t="n"/>
      <c r="DV138" s="253" t="n"/>
      <c r="DW138" s="264" t="n"/>
      <c r="DX138" s="253" t="n"/>
      <c r="DY138" s="55" t="n"/>
      <c r="DZ138" s="255" t="n"/>
      <c r="EA138" s="252" t="n"/>
      <c r="EB138" s="256" t="n"/>
      <c r="EC138" s="254" t="n"/>
      <c r="ED138" s="253" t="n"/>
      <c r="EE138" s="252" t="n"/>
      <c r="EF138" s="257" t="n"/>
      <c r="EG138" s="55" t="n"/>
      <c r="EH138" s="253" t="n"/>
      <c r="EI138" s="252" t="n"/>
      <c r="EJ138" s="253" t="n"/>
      <c r="EK138" s="55" t="n"/>
      <c r="EL138" s="253" t="n"/>
      <c r="EM138" s="252" t="n"/>
      <c r="EN138" s="257" t="n"/>
      <c r="EO138" s="55" t="n"/>
      <c r="EP138" s="253" t="n"/>
      <c r="EQ138" s="252" t="n"/>
      <c r="ER138" s="253" t="n"/>
      <c r="ES138" s="55" t="n"/>
      <c r="ET138" s="253" t="n"/>
      <c r="EU138" s="252" t="n"/>
      <c r="EV138" s="253" t="n"/>
      <c r="EW138" s="254" t="n"/>
      <c r="EX138" s="253" t="n"/>
      <c r="EY138" s="252" t="n"/>
      <c r="EZ138" s="258" t="n"/>
      <c r="FA138" s="259" t="n"/>
      <c r="FB138" s="253" t="n"/>
      <c r="FC138" s="252" t="n"/>
      <c r="FD138" s="261" t="n"/>
      <c r="FE138" s="392" t="n"/>
      <c r="FF138" s="253" t="n"/>
      <c r="FG138" s="393" t="n"/>
      <c r="FH138" s="393" t="n"/>
      <c r="FI138" s="252" t="n"/>
      <c r="FJ138" s="253" t="n"/>
      <c r="FK138" s="254" t="n"/>
      <c r="FL138" s="253" t="n"/>
      <c r="FM138" s="252" t="n"/>
      <c r="FN138" s="253" t="n"/>
      <c r="FO138" s="254" t="n"/>
      <c r="FP138" s="253" t="n"/>
      <c r="FQ138" s="264" t="n"/>
      <c r="FR138" s="253" t="n"/>
      <c r="FS138" s="254" t="n"/>
      <c r="FT138" s="253" t="n"/>
      <c r="FU138" s="264" t="n"/>
      <c r="FV138" s="253" t="n"/>
      <c r="FW138" s="55" t="n"/>
      <c r="FX138" s="255" t="n"/>
      <c r="FY138" s="252" t="n"/>
      <c r="FZ138" s="256" t="n"/>
      <c r="GA138" s="254" t="n"/>
      <c r="GB138" s="253" t="n"/>
      <c r="GC138" s="252" t="n"/>
      <c r="GD138" s="257" t="n"/>
      <c r="GE138" s="55" t="n"/>
      <c r="GF138" s="253" t="n"/>
      <c r="GG138" s="252" t="n"/>
      <c r="GH138" s="253" t="n"/>
      <c r="GI138" s="55" t="n"/>
      <c r="GJ138" s="253" t="n"/>
      <c r="GK138" s="252" t="n"/>
      <c r="GL138" s="257" t="n"/>
      <c r="GM138" s="55" t="n"/>
      <c r="GN138" s="253" t="n"/>
      <c r="GO138" s="252" t="n"/>
      <c r="GP138" s="253" t="n"/>
      <c r="GQ138" s="55" t="n"/>
      <c r="GR138" s="253" t="n"/>
      <c r="GS138" s="252" t="n"/>
      <c r="GT138" s="253" t="n"/>
      <c r="GU138" s="254" t="n"/>
      <c r="GV138" s="253" t="n"/>
      <c r="GW138" s="252" t="n"/>
      <c r="GX138" s="258" t="n"/>
      <c r="GY138" s="259" t="n"/>
      <c r="GZ138" s="253" t="n"/>
      <c r="HA138" s="252" t="n"/>
      <c r="HB138" s="261" t="n"/>
      <c r="HC138" s="392" t="n"/>
      <c r="HD138" s="253" t="n"/>
      <c r="HE138" s="393" t="n"/>
      <c r="HF138" s="393" t="n"/>
      <c r="HG138" s="252" t="n"/>
      <c r="HH138" s="253" t="n"/>
      <c r="HI138" s="254" t="n"/>
      <c r="HJ138" s="253" t="n"/>
      <c r="HK138" s="252" t="n"/>
      <c r="HL138" s="253" t="n"/>
      <c r="HM138" s="254" t="n"/>
      <c r="HN138" s="253" t="n"/>
      <c r="HO138" s="264" t="n"/>
      <c r="HP138" s="253" t="n"/>
      <c r="HQ138" s="254" t="n"/>
      <c r="HR138" s="253" t="n"/>
      <c r="HS138" s="264" t="n"/>
      <c r="HT138" s="253" t="n"/>
      <c r="HU138" s="55" t="n"/>
      <c r="HV138" s="255" t="n"/>
      <c r="HW138" s="252" t="n"/>
      <c r="HX138" s="256" t="n"/>
      <c r="HY138" s="254" t="n"/>
      <c r="HZ138" s="253" t="n"/>
      <c r="IA138" s="252" t="n"/>
      <c r="IB138" s="257" t="n"/>
      <c r="IC138" s="55" t="n"/>
      <c r="ID138" s="253" t="n"/>
      <c r="IE138" s="252" t="n"/>
      <c r="IF138" s="253" t="n"/>
      <c r="IG138" s="55" t="n"/>
      <c r="IH138" s="253" t="n"/>
      <c r="II138" s="252" t="n"/>
      <c r="IJ138" s="257" t="n"/>
      <c r="IK138" s="55" t="n"/>
      <c r="IL138" s="253" t="n"/>
      <c r="IM138" s="252" t="n"/>
      <c r="IN138" s="253" t="n"/>
      <c r="IO138" s="55" t="n"/>
      <c r="IP138" s="253" t="n"/>
      <c r="IQ138" s="252" t="n"/>
      <c r="IR138" s="253" t="n"/>
      <c r="IS138" s="254" t="n"/>
      <c r="IT138" s="253" t="n"/>
      <c r="IU138" s="252" t="n"/>
      <c r="IV138" s="258" t="n"/>
      <c r="IW138" s="259" t="n"/>
      <c r="IX138" s="253" t="n"/>
      <c r="IY138" s="252" t="n"/>
      <c r="IZ138" s="261" t="n"/>
      <c r="JA138" s="392" t="n"/>
      <c r="JB138" s="253" t="n"/>
      <c r="JC138" s="393" t="n"/>
      <c r="JD138" s="393" t="n"/>
    </row>
    <row r="139">
      <c r="E139" s="248" t="n"/>
      <c r="F139" s="248" t="n"/>
      <c r="G139" s="249" t="n"/>
      <c r="H139" s="250" t="n"/>
      <c r="I139" s="251" t="n"/>
      <c r="J139" s="251" t="n"/>
      <c r="K139" s="251" t="n"/>
      <c r="L139" s="251" t="n"/>
      <c r="M139" s="251" t="n"/>
      <c r="N139" s="251" t="n"/>
      <c r="O139" s="252" t="n"/>
      <c r="P139" s="253" t="n"/>
      <c r="Q139" s="254" t="n"/>
      <c r="R139" s="253" t="n"/>
      <c r="S139" s="252" t="n"/>
      <c r="T139" s="253" t="n"/>
      <c r="U139" s="254" t="n"/>
      <c r="V139" s="253" t="n"/>
      <c r="W139" s="252" t="n"/>
      <c r="X139" s="253" t="n"/>
      <c r="Y139" s="254" t="n"/>
      <c r="Z139" s="253" t="n"/>
      <c r="AA139" s="252" t="n"/>
      <c r="AB139" s="253" t="n"/>
      <c r="AC139" s="55" t="n"/>
      <c r="AD139" s="255" t="n"/>
      <c r="AE139" s="252" t="n"/>
      <c r="AF139" s="256" t="n"/>
      <c r="AG139" s="254" t="n"/>
      <c r="AH139" s="253" t="n"/>
      <c r="AI139" s="252" t="n"/>
      <c r="AJ139" s="257" t="n"/>
      <c r="AK139" s="55" t="n"/>
      <c r="AL139" s="253" t="n"/>
      <c r="AM139" s="252" t="n"/>
      <c r="AN139" s="253" t="n"/>
      <c r="AO139" s="55" t="n"/>
      <c r="AP139" s="253" t="n"/>
      <c r="AQ139" s="252" t="n"/>
      <c r="AR139" s="257" t="n"/>
      <c r="AS139" s="55" t="n"/>
      <c r="AT139" s="253" t="n"/>
      <c r="AU139" s="252" t="n"/>
      <c r="AV139" s="253" t="n"/>
      <c r="AW139" s="55" t="n"/>
      <c r="AX139" s="253" t="n"/>
      <c r="AY139" s="252" t="n"/>
      <c r="AZ139" s="253" t="n"/>
      <c r="BA139" s="254" t="n"/>
      <c r="BB139" s="255" t="n"/>
      <c r="BC139" s="252" t="n"/>
      <c r="BD139" s="258" t="n"/>
      <c r="BE139" s="259" t="n"/>
      <c r="BF139" s="255" t="n"/>
      <c r="BG139" s="260" t="n"/>
      <c r="BH139" s="261" t="n"/>
      <c r="BI139" s="392" t="n"/>
      <c r="BJ139" s="255" t="n"/>
      <c r="BK139" s="393" t="n"/>
      <c r="BL139" s="393" t="n"/>
      <c r="BM139" s="252" t="n"/>
      <c r="BN139" s="253" t="n"/>
      <c r="BO139" s="254" t="n"/>
      <c r="BP139" s="253" t="n"/>
      <c r="BQ139" s="252" t="n"/>
      <c r="BR139" s="253" t="n"/>
      <c r="BS139" s="254" t="n"/>
      <c r="BT139" s="253" t="n"/>
      <c r="BU139" s="264" t="n"/>
      <c r="BV139" s="253" t="n"/>
      <c r="BW139" s="254" t="n"/>
      <c r="BX139" s="253" t="n"/>
      <c r="BY139" s="264" t="n"/>
      <c r="BZ139" s="253" t="n"/>
      <c r="CA139" s="55" t="n"/>
      <c r="CB139" s="255" t="n"/>
      <c r="CC139" s="252" t="n"/>
      <c r="CD139" s="256" t="n"/>
      <c r="CE139" s="55" t="n"/>
      <c r="CF139" s="253" t="n"/>
      <c r="CG139" s="252" t="n"/>
      <c r="CH139" s="257" t="n"/>
      <c r="CI139" s="55" t="n"/>
      <c r="CJ139" s="253" t="n"/>
      <c r="CK139" s="252" t="n"/>
      <c r="CL139" s="253" t="n"/>
      <c r="CM139" s="55" t="n"/>
      <c r="CN139" s="253" t="n"/>
      <c r="CO139" s="252" t="n"/>
      <c r="CP139" s="257" t="n"/>
      <c r="CQ139" s="55" t="n"/>
      <c r="CR139" s="253" t="n"/>
      <c r="CS139" s="252" t="n"/>
      <c r="CT139" s="253" t="n"/>
      <c r="CU139" s="55" t="n"/>
      <c r="CV139" s="253" t="n"/>
      <c r="CW139" s="252" t="n"/>
      <c r="CX139" s="253" t="n"/>
      <c r="CY139" s="254" t="n"/>
      <c r="CZ139" s="253" t="n"/>
      <c r="DA139" s="252" t="n"/>
      <c r="DB139" s="258" t="n"/>
      <c r="DC139" s="259" t="n"/>
      <c r="DD139" s="253" t="n"/>
      <c r="DE139" s="252" t="n"/>
      <c r="DF139" s="261" t="n"/>
      <c r="DG139" s="392" t="n"/>
      <c r="DH139" s="253" t="n"/>
      <c r="DI139" s="393" t="n"/>
      <c r="DJ139" s="393" t="n"/>
      <c r="DK139" s="252" t="n"/>
      <c r="DL139" s="253" t="n"/>
      <c r="DM139" s="254" t="n"/>
      <c r="DN139" s="253" t="n"/>
      <c r="DO139" s="252" t="n"/>
      <c r="DP139" s="253" t="n"/>
      <c r="DQ139" s="254" t="n"/>
      <c r="DR139" s="253" t="n"/>
      <c r="DS139" s="264" t="n"/>
      <c r="DT139" s="253" t="n"/>
      <c r="DU139" s="254" t="n"/>
      <c r="DV139" s="253" t="n"/>
      <c r="DW139" s="264" t="n"/>
      <c r="DX139" s="253" t="n"/>
      <c r="DY139" s="55" t="n"/>
      <c r="DZ139" s="255" t="n"/>
      <c r="EA139" s="252" t="n"/>
      <c r="EB139" s="256" t="n"/>
      <c r="EC139" s="254" t="n"/>
      <c r="ED139" s="253" t="n"/>
      <c r="EE139" s="252" t="n"/>
      <c r="EF139" s="257" t="n"/>
      <c r="EG139" s="55" t="n"/>
      <c r="EH139" s="253" t="n"/>
      <c r="EI139" s="252" t="n"/>
      <c r="EJ139" s="253" t="n"/>
      <c r="EK139" s="55" t="n"/>
      <c r="EL139" s="253" t="n"/>
      <c r="EM139" s="252" t="n"/>
      <c r="EN139" s="257" t="n"/>
      <c r="EO139" s="55" t="n"/>
      <c r="EP139" s="253" t="n"/>
      <c r="EQ139" s="252" t="n"/>
      <c r="ER139" s="253" t="n"/>
      <c r="ES139" s="55" t="n"/>
      <c r="ET139" s="253" t="n"/>
      <c r="EU139" s="252" t="n"/>
      <c r="EV139" s="253" t="n"/>
      <c r="EW139" s="254" t="n"/>
      <c r="EX139" s="253" t="n"/>
      <c r="EY139" s="252" t="n"/>
      <c r="EZ139" s="258" t="n"/>
      <c r="FA139" s="259" t="n"/>
      <c r="FB139" s="253" t="n"/>
      <c r="FC139" s="252" t="n"/>
      <c r="FD139" s="261" t="n"/>
      <c r="FE139" s="392" t="n"/>
      <c r="FF139" s="253" t="n"/>
      <c r="FG139" s="393" t="n"/>
      <c r="FH139" s="393" t="n"/>
      <c r="FI139" s="252" t="n"/>
      <c r="FJ139" s="253" t="n"/>
      <c r="FK139" s="254" t="n"/>
      <c r="FL139" s="253" t="n"/>
      <c r="FM139" s="252" t="n"/>
      <c r="FN139" s="253" t="n"/>
      <c r="FO139" s="254" t="n"/>
      <c r="FP139" s="253" t="n"/>
      <c r="FQ139" s="264" t="n"/>
      <c r="FR139" s="253" t="n"/>
      <c r="FS139" s="254" t="n"/>
      <c r="FT139" s="253" t="n"/>
      <c r="FU139" s="264" t="n"/>
      <c r="FV139" s="253" t="n"/>
      <c r="FW139" s="55" t="n"/>
      <c r="FX139" s="255" t="n"/>
      <c r="FY139" s="252" t="n"/>
      <c r="FZ139" s="256" t="n"/>
      <c r="GA139" s="254" t="n"/>
      <c r="GB139" s="253" t="n"/>
      <c r="GC139" s="252" t="n"/>
      <c r="GD139" s="257" t="n"/>
      <c r="GE139" s="55" t="n"/>
      <c r="GF139" s="253" t="n"/>
      <c r="GG139" s="252" t="n"/>
      <c r="GH139" s="253" t="n"/>
      <c r="GI139" s="55" t="n"/>
      <c r="GJ139" s="253" t="n"/>
      <c r="GK139" s="252" t="n"/>
      <c r="GL139" s="257" t="n"/>
      <c r="GM139" s="55" t="n"/>
      <c r="GN139" s="253" t="n"/>
      <c r="GO139" s="252" t="n"/>
      <c r="GP139" s="253" t="n"/>
      <c r="GQ139" s="55" t="n"/>
      <c r="GR139" s="253" t="n"/>
      <c r="GS139" s="252" t="n"/>
      <c r="GT139" s="253" t="n"/>
      <c r="GU139" s="254" t="n"/>
      <c r="GV139" s="253" t="n"/>
      <c r="GW139" s="252" t="n"/>
      <c r="GX139" s="258" t="n"/>
      <c r="GY139" s="259" t="n"/>
      <c r="GZ139" s="253" t="n"/>
      <c r="HA139" s="252" t="n"/>
      <c r="HB139" s="261" t="n"/>
      <c r="HC139" s="392" t="n"/>
      <c r="HD139" s="253" t="n"/>
      <c r="HE139" s="393" t="n"/>
      <c r="HF139" s="393" t="n"/>
      <c r="HG139" s="252" t="n"/>
      <c r="HH139" s="253" t="n"/>
      <c r="HI139" s="254" t="n"/>
      <c r="HJ139" s="253" t="n"/>
      <c r="HK139" s="252" t="n"/>
      <c r="HL139" s="253" t="n"/>
      <c r="HM139" s="254" t="n"/>
      <c r="HN139" s="253" t="n"/>
      <c r="HO139" s="264" t="n"/>
      <c r="HP139" s="253" t="n"/>
      <c r="HQ139" s="254" t="n"/>
      <c r="HR139" s="253" t="n"/>
      <c r="HS139" s="264" t="n"/>
      <c r="HT139" s="253" t="n"/>
      <c r="HU139" s="55" t="n"/>
      <c r="HV139" s="255" t="n"/>
      <c r="HW139" s="252" t="n"/>
      <c r="HX139" s="256" t="n"/>
      <c r="HY139" s="254" t="n"/>
      <c r="HZ139" s="253" t="n"/>
      <c r="IA139" s="252" t="n"/>
      <c r="IB139" s="257" t="n"/>
      <c r="IC139" s="55" t="n"/>
      <c r="ID139" s="253" t="n"/>
      <c r="IE139" s="252" t="n"/>
      <c r="IF139" s="253" t="n"/>
      <c r="IG139" s="55" t="n"/>
      <c r="IH139" s="253" t="n"/>
      <c r="II139" s="252" t="n"/>
      <c r="IJ139" s="257" t="n"/>
      <c r="IK139" s="55" t="n"/>
      <c r="IL139" s="253" t="n"/>
      <c r="IM139" s="252" t="n"/>
      <c r="IN139" s="253" t="n"/>
      <c r="IO139" s="55" t="n"/>
      <c r="IP139" s="253" t="n"/>
      <c r="IQ139" s="252" t="n"/>
      <c r="IR139" s="253" t="n"/>
      <c r="IS139" s="254" t="n"/>
      <c r="IT139" s="253" t="n"/>
      <c r="IU139" s="252" t="n"/>
      <c r="IV139" s="258" t="n"/>
      <c r="IW139" s="259" t="n"/>
      <c r="IX139" s="253" t="n"/>
      <c r="IY139" s="252" t="n"/>
      <c r="IZ139" s="261" t="n"/>
      <c r="JA139" s="392" t="n"/>
      <c r="JB139" s="253" t="n"/>
      <c r="JC139" s="393" t="n"/>
      <c r="JD139" s="393" t="n"/>
    </row>
    <row r="140">
      <c r="E140" s="248" t="n"/>
      <c r="F140" s="248" t="n"/>
      <c r="G140" s="249" t="n"/>
      <c r="H140" s="250" t="n"/>
      <c r="I140" s="251" t="n"/>
      <c r="J140" s="251" t="n"/>
      <c r="K140" s="251" t="n"/>
      <c r="L140" s="251" t="n"/>
      <c r="M140" s="251" t="n"/>
      <c r="N140" s="251" t="n"/>
      <c r="O140" s="252" t="n"/>
      <c r="P140" s="253" t="n"/>
      <c r="Q140" s="254" t="n"/>
      <c r="R140" s="253" t="n"/>
      <c r="S140" s="252" t="n"/>
      <c r="T140" s="253" t="n"/>
      <c r="U140" s="254" t="n"/>
      <c r="V140" s="253" t="n"/>
      <c r="W140" s="252" t="n"/>
      <c r="X140" s="253" t="n"/>
      <c r="Y140" s="254" t="n"/>
      <c r="Z140" s="253" t="n"/>
      <c r="AA140" s="252" t="n"/>
      <c r="AB140" s="253" t="n"/>
      <c r="AC140" s="55" t="n"/>
      <c r="AD140" s="255" t="n"/>
      <c r="AE140" s="252" t="n"/>
      <c r="AF140" s="256" t="n"/>
      <c r="AG140" s="254" t="n"/>
      <c r="AH140" s="253" t="n"/>
      <c r="AI140" s="252" t="n"/>
      <c r="AJ140" s="257" t="n"/>
      <c r="AK140" s="55" t="n"/>
      <c r="AL140" s="253" t="n"/>
      <c r="AM140" s="252" t="n"/>
      <c r="AN140" s="253" t="n"/>
      <c r="AO140" s="55" t="n"/>
      <c r="AP140" s="253" t="n"/>
      <c r="AQ140" s="252" t="n"/>
      <c r="AR140" s="257" t="n"/>
      <c r="AS140" s="55" t="n"/>
      <c r="AT140" s="253" t="n"/>
      <c r="AU140" s="252" t="n"/>
      <c r="AV140" s="253" t="n"/>
      <c r="AW140" s="55" t="n"/>
      <c r="AX140" s="253" t="n"/>
      <c r="AY140" s="252" t="n"/>
      <c r="AZ140" s="253" t="n"/>
      <c r="BA140" s="254" t="n"/>
      <c r="BB140" s="255" t="n"/>
      <c r="BC140" s="252" t="n"/>
      <c r="BD140" s="258" t="n"/>
      <c r="BE140" s="259" t="n"/>
      <c r="BF140" s="255" t="n"/>
      <c r="BG140" s="260" t="n"/>
      <c r="BH140" s="261" t="n"/>
      <c r="BI140" s="392" t="n"/>
      <c r="BJ140" s="255" t="n"/>
      <c r="BK140" s="393" t="n"/>
      <c r="BL140" s="393" t="n"/>
      <c r="BM140" s="252" t="n"/>
      <c r="BN140" s="253" t="n"/>
      <c r="BO140" s="254" t="n"/>
      <c r="BP140" s="253" t="n"/>
      <c r="BQ140" s="252" t="n"/>
      <c r="BR140" s="253" t="n"/>
      <c r="BS140" s="254" t="n"/>
      <c r="BT140" s="253" t="n"/>
      <c r="BU140" s="264" t="n"/>
      <c r="BV140" s="253" t="n"/>
      <c r="BW140" s="254" t="n"/>
      <c r="BX140" s="253" t="n"/>
      <c r="BY140" s="264" t="n"/>
      <c r="BZ140" s="253" t="n"/>
      <c r="CA140" s="55" t="n"/>
      <c r="CB140" s="255" t="n"/>
      <c r="CC140" s="252" t="n"/>
      <c r="CD140" s="256" t="n"/>
      <c r="CE140" s="55" t="n"/>
      <c r="CF140" s="253" t="n"/>
      <c r="CG140" s="252" t="n"/>
      <c r="CH140" s="257" t="n"/>
      <c r="CI140" s="55" t="n"/>
      <c r="CJ140" s="253" t="n"/>
      <c r="CK140" s="252" t="n"/>
      <c r="CL140" s="253" t="n"/>
      <c r="CM140" s="55" t="n"/>
      <c r="CN140" s="253" t="n"/>
      <c r="CO140" s="252" t="n"/>
      <c r="CP140" s="257" t="n"/>
      <c r="CQ140" s="55" t="n"/>
      <c r="CR140" s="253" t="n"/>
      <c r="CS140" s="252" t="n"/>
      <c r="CT140" s="253" t="n"/>
      <c r="CU140" s="55" t="n"/>
      <c r="CV140" s="253" t="n"/>
      <c r="CW140" s="252" t="n"/>
      <c r="CX140" s="253" t="n"/>
      <c r="CY140" s="254" t="n"/>
      <c r="CZ140" s="253" t="n"/>
      <c r="DA140" s="252" t="n"/>
      <c r="DB140" s="258" t="n"/>
      <c r="DC140" s="259" t="n"/>
      <c r="DD140" s="253" t="n"/>
      <c r="DE140" s="252" t="n"/>
      <c r="DF140" s="261" t="n"/>
      <c r="DG140" s="392" t="n"/>
      <c r="DH140" s="253" t="n"/>
      <c r="DI140" s="393" t="n"/>
      <c r="DJ140" s="393" t="n"/>
      <c r="DK140" s="252" t="n"/>
      <c r="DL140" s="253" t="n"/>
      <c r="DM140" s="254" t="n"/>
      <c r="DN140" s="253" t="n"/>
      <c r="DO140" s="252" t="n"/>
      <c r="DP140" s="253" t="n"/>
      <c r="DQ140" s="254" t="n"/>
      <c r="DR140" s="253" t="n"/>
      <c r="DS140" s="264" t="n"/>
      <c r="DT140" s="253" t="n"/>
      <c r="DU140" s="254" t="n"/>
      <c r="DV140" s="253" t="n"/>
      <c r="DW140" s="264" t="n"/>
      <c r="DX140" s="253" t="n"/>
      <c r="DY140" s="55" t="n"/>
      <c r="DZ140" s="255" t="n"/>
      <c r="EA140" s="252" t="n"/>
      <c r="EB140" s="256" t="n"/>
      <c r="EC140" s="254" t="n"/>
      <c r="ED140" s="253" t="n"/>
      <c r="EE140" s="252" t="n"/>
      <c r="EF140" s="257" t="n"/>
      <c r="EG140" s="55" t="n"/>
      <c r="EH140" s="253" t="n"/>
      <c r="EI140" s="252" t="n"/>
      <c r="EJ140" s="253" t="n"/>
      <c r="EK140" s="55" t="n"/>
      <c r="EL140" s="253" t="n"/>
      <c r="EM140" s="252" t="n"/>
      <c r="EN140" s="257" t="n"/>
      <c r="EO140" s="55" t="n"/>
      <c r="EP140" s="253" t="n"/>
      <c r="EQ140" s="252" t="n"/>
      <c r="ER140" s="253" t="n"/>
      <c r="ES140" s="55" t="n"/>
      <c r="ET140" s="253" t="n"/>
      <c r="EU140" s="252" t="n"/>
      <c r="EV140" s="253" t="n"/>
      <c r="EW140" s="254" t="n"/>
      <c r="EX140" s="253" t="n"/>
      <c r="EY140" s="252" t="n"/>
      <c r="EZ140" s="258" t="n"/>
      <c r="FA140" s="259" t="n"/>
      <c r="FB140" s="253" t="n"/>
      <c r="FC140" s="252" t="n"/>
      <c r="FD140" s="261" t="n"/>
      <c r="FE140" s="392" t="n"/>
      <c r="FF140" s="253" t="n"/>
      <c r="FG140" s="393" t="n"/>
      <c r="FH140" s="393" t="n"/>
      <c r="FI140" s="252" t="n"/>
      <c r="FJ140" s="253" t="n"/>
      <c r="FK140" s="254" t="n"/>
      <c r="FL140" s="253" t="n"/>
      <c r="FM140" s="252" t="n"/>
      <c r="FN140" s="253" t="n"/>
      <c r="FO140" s="254" t="n"/>
      <c r="FP140" s="253" t="n"/>
      <c r="FQ140" s="264" t="n"/>
      <c r="FR140" s="253" t="n"/>
      <c r="FS140" s="254" t="n"/>
      <c r="FT140" s="253" t="n"/>
      <c r="FU140" s="264" t="n"/>
      <c r="FV140" s="253" t="n"/>
      <c r="FW140" s="55" t="n"/>
      <c r="FX140" s="255" t="n"/>
      <c r="FY140" s="252" t="n"/>
      <c r="FZ140" s="256" t="n"/>
      <c r="GA140" s="254" t="n"/>
      <c r="GB140" s="253" t="n"/>
      <c r="GC140" s="252" t="n"/>
      <c r="GD140" s="257" t="n"/>
      <c r="GE140" s="55" t="n"/>
      <c r="GF140" s="253" t="n"/>
      <c r="GG140" s="252" t="n"/>
      <c r="GH140" s="253" t="n"/>
      <c r="GI140" s="55" t="n"/>
      <c r="GJ140" s="253" t="n"/>
      <c r="GK140" s="252" t="n"/>
      <c r="GL140" s="257" t="n"/>
      <c r="GM140" s="55" t="n"/>
      <c r="GN140" s="253" t="n"/>
      <c r="GO140" s="252" t="n"/>
      <c r="GP140" s="253" t="n"/>
      <c r="GQ140" s="55" t="n"/>
      <c r="GR140" s="253" t="n"/>
      <c r="GS140" s="252" t="n"/>
      <c r="GT140" s="253" t="n"/>
      <c r="GU140" s="254" t="n"/>
      <c r="GV140" s="253" t="n"/>
      <c r="GW140" s="252" t="n"/>
      <c r="GX140" s="258" t="n"/>
      <c r="GY140" s="259" t="n"/>
      <c r="GZ140" s="253" t="n"/>
      <c r="HA140" s="252" t="n"/>
      <c r="HB140" s="261" t="n"/>
      <c r="HC140" s="392" t="n"/>
      <c r="HD140" s="253" t="n"/>
      <c r="HE140" s="393" t="n"/>
      <c r="HF140" s="393" t="n"/>
      <c r="HG140" s="252" t="n"/>
      <c r="HH140" s="253" t="n"/>
      <c r="HI140" s="254" t="n"/>
      <c r="HJ140" s="253" t="n"/>
      <c r="HK140" s="252" t="n"/>
      <c r="HL140" s="253" t="n"/>
      <c r="HM140" s="254" t="n"/>
      <c r="HN140" s="253" t="n"/>
      <c r="HO140" s="264" t="n"/>
      <c r="HP140" s="253" t="n"/>
      <c r="HQ140" s="254" t="n"/>
      <c r="HR140" s="253" t="n"/>
      <c r="HS140" s="264" t="n"/>
      <c r="HT140" s="253" t="n"/>
      <c r="HU140" s="55" t="n"/>
      <c r="HV140" s="255" t="n"/>
      <c r="HW140" s="252" t="n"/>
      <c r="HX140" s="256" t="n"/>
      <c r="HY140" s="254" t="n"/>
      <c r="HZ140" s="253" t="n"/>
      <c r="IA140" s="252" t="n"/>
      <c r="IB140" s="257" t="n"/>
      <c r="IC140" s="55" t="n"/>
      <c r="ID140" s="253" t="n"/>
      <c r="IE140" s="252" t="n"/>
      <c r="IF140" s="253" t="n"/>
      <c r="IG140" s="55" t="n"/>
      <c r="IH140" s="253" t="n"/>
      <c r="II140" s="252" t="n"/>
      <c r="IJ140" s="257" t="n"/>
      <c r="IK140" s="55" t="n"/>
      <c r="IL140" s="253" t="n"/>
      <c r="IM140" s="252" t="n"/>
      <c r="IN140" s="253" t="n"/>
      <c r="IO140" s="55" t="n"/>
      <c r="IP140" s="253" t="n"/>
      <c r="IQ140" s="252" t="n"/>
      <c r="IR140" s="253" t="n"/>
      <c r="IS140" s="254" t="n"/>
      <c r="IT140" s="253" t="n"/>
      <c r="IU140" s="252" t="n"/>
      <c r="IV140" s="258" t="n"/>
      <c r="IW140" s="259" t="n"/>
      <c r="IX140" s="253" t="n"/>
      <c r="IY140" s="252" t="n"/>
      <c r="IZ140" s="261" t="n"/>
      <c r="JA140" s="392" t="n"/>
      <c r="JB140" s="253" t="n"/>
      <c r="JC140" s="393" t="n"/>
      <c r="JD140" s="393" t="n"/>
    </row>
    <row r="141">
      <c r="E141" s="248" t="n"/>
      <c r="F141" s="248" t="n"/>
      <c r="G141" s="249" t="n"/>
      <c r="H141" s="250" t="n"/>
      <c r="I141" s="251" t="n"/>
      <c r="J141" s="251" t="n"/>
      <c r="K141" s="251" t="n"/>
      <c r="L141" s="251" t="n"/>
      <c r="M141" s="251" t="n"/>
      <c r="N141" s="251" t="n"/>
      <c r="O141" s="252" t="n"/>
      <c r="P141" s="253" t="n"/>
      <c r="Q141" s="254" t="n"/>
      <c r="R141" s="253" t="n"/>
      <c r="S141" s="252" t="n"/>
      <c r="T141" s="253" t="n"/>
      <c r="U141" s="254" t="n"/>
      <c r="V141" s="253" t="n"/>
      <c r="W141" s="252" t="n"/>
      <c r="X141" s="253" t="n"/>
      <c r="Y141" s="254" t="n"/>
      <c r="Z141" s="253" t="n"/>
      <c r="AA141" s="252" t="n"/>
      <c r="AB141" s="253" t="n"/>
      <c r="AC141" s="55" t="n"/>
      <c r="AD141" s="255" t="n"/>
      <c r="AE141" s="252" t="n"/>
      <c r="AF141" s="256" t="n"/>
      <c r="AG141" s="254" t="n"/>
      <c r="AH141" s="253" t="n"/>
      <c r="AI141" s="252" t="n"/>
      <c r="AJ141" s="257" t="n"/>
      <c r="AK141" s="55" t="n"/>
      <c r="AL141" s="253" t="n"/>
      <c r="AM141" s="252" t="n"/>
      <c r="AN141" s="253" t="n"/>
      <c r="AO141" s="55" t="n"/>
      <c r="AP141" s="253" t="n"/>
      <c r="AQ141" s="252" t="n"/>
      <c r="AR141" s="257" t="n"/>
      <c r="AS141" s="55" t="n"/>
      <c r="AT141" s="253" t="n"/>
      <c r="AU141" s="252" t="n"/>
      <c r="AV141" s="253" t="n"/>
      <c r="AW141" s="55" t="n"/>
      <c r="AX141" s="253" t="n"/>
      <c r="AY141" s="252" t="n"/>
      <c r="AZ141" s="253" t="n"/>
      <c r="BA141" s="254" t="n"/>
      <c r="BB141" s="255" t="n"/>
      <c r="BC141" s="252" t="n"/>
      <c r="BD141" s="258" t="n"/>
      <c r="BE141" s="259" t="n"/>
      <c r="BF141" s="255" t="n"/>
      <c r="BG141" s="260" t="n"/>
      <c r="BH141" s="261" t="n"/>
      <c r="BI141" s="392" t="n"/>
      <c r="BJ141" s="255" t="n"/>
      <c r="BK141" s="393" t="n"/>
      <c r="BL141" s="393" t="n"/>
      <c r="BM141" s="252" t="n"/>
      <c r="BN141" s="253" t="n"/>
      <c r="BO141" s="254" t="n"/>
      <c r="BP141" s="253" t="n"/>
      <c r="BQ141" s="252" t="n"/>
      <c r="BR141" s="253" t="n"/>
      <c r="BS141" s="254" t="n"/>
      <c r="BT141" s="253" t="n"/>
      <c r="BU141" s="264" t="n"/>
      <c r="BV141" s="253" t="n"/>
      <c r="BW141" s="254" t="n"/>
      <c r="BX141" s="253" t="n"/>
      <c r="BY141" s="264" t="n"/>
      <c r="BZ141" s="253" t="n"/>
      <c r="CA141" s="55" t="n"/>
      <c r="CB141" s="255" t="n"/>
      <c r="CC141" s="252" t="n"/>
      <c r="CD141" s="256" t="n"/>
      <c r="CE141" s="55" t="n"/>
      <c r="CF141" s="253" t="n"/>
      <c r="CG141" s="252" t="n"/>
      <c r="CH141" s="257" t="n"/>
      <c r="CI141" s="55" t="n"/>
      <c r="CJ141" s="253" t="n"/>
      <c r="CK141" s="252" t="n"/>
      <c r="CL141" s="253" t="n"/>
      <c r="CM141" s="55" t="n"/>
      <c r="CN141" s="253" t="n"/>
      <c r="CO141" s="252" t="n"/>
      <c r="CP141" s="257" t="n"/>
      <c r="CQ141" s="55" t="n"/>
      <c r="CR141" s="253" t="n"/>
      <c r="CS141" s="252" t="n"/>
      <c r="CT141" s="253" t="n"/>
      <c r="CU141" s="55" t="n"/>
      <c r="CV141" s="253" t="n"/>
      <c r="CW141" s="252" t="n"/>
      <c r="CX141" s="253" t="n"/>
      <c r="CY141" s="254" t="n"/>
      <c r="CZ141" s="253" t="n"/>
      <c r="DA141" s="252" t="n"/>
      <c r="DB141" s="258" t="n"/>
      <c r="DC141" s="259" t="n"/>
      <c r="DD141" s="253" t="n"/>
      <c r="DE141" s="252" t="n"/>
      <c r="DF141" s="261" t="n"/>
      <c r="DG141" s="392" t="n"/>
      <c r="DH141" s="253" t="n"/>
      <c r="DI141" s="393" t="n"/>
      <c r="DJ141" s="393" t="n"/>
      <c r="DK141" s="252" t="n"/>
      <c r="DL141" s="253" t="n"/>
      <c r="DM141" s="254" t="n"/>
      <c r="DN141" s="253" t="n"/>
      <c r="DO141" s="252" t="n"/>
      <c r="DP141" s="253" t="n"/>
      <c r="DQ141" s="254" t="n"/>
      <c r="DR141" s="253" t="n"/>
      <c r="DS141" s="264" t="n"/>
      <c r="DT141" s="253" t="n"/>
      <c r="DU141" s="254" t="n"/>
      <c r="DV141" s="253" t="n"/>
      <c r="DW141" s="264" t="n"/>
      <c r="DX141" s="253" t="n"/>
      <c r="DY141" s="55" t="n"/>
      <c r="DZ141" s="255" t="n"/>
      <c r="EA141" s="252" t="n"/>
      <c r="EB141" s="256" t="n"/>
      <c r="EC141" s="254" t="n"/>
      <c r="ED141" s="253" t="n"/>
      <c r="EE141" s="252" t="n"/>
      <c r="EF141" s="257" t="n"/>
      <c r="EG141" s="55" t="n"/>
      <c r="EH141" s="253" t="n"/>
      <c r="EI141" s="252" t="n"/>
      <c r="EJ141" s="253" t="n"/>
      <c r="EK141" s="55" t="n"/>
      <c r="EL141" s="253" t="n"/>
      <c r="EM141" s="252" t="n"/>
      <c r="EN141" s="257" t="n"/>
      <c r="EO141" s="55" t="n"/>
      <c r="EP141" s="253" t="n"/>
      <c r="EQ141" s="252" t="n"/>
      <c r="ER141" s="253" t="n"/>
      <c r="ES141" s="55" t="n"/>
      <c r="ET141" s="253" t="n"/>
      <c r="EU141" s="252" t="n"/>
      <c r="EV141" s="253" t="n"/>
      <c r="EW141" s="254" t="n"/>
      <c r="EX141" s="253" t="n"/>
      <c r="EY141" s="252" t="n"/>
      <c r="EZ141" s="258" t="n"/>
      <c r="FA141" s="259" t="n"/>
      <c r="FB141" s="253" t="n"/>
      <c r="FC141" s="252" t="n"/>
      <c r="FD141" s="261" t="n"/>
      <c r="FE141" s="392" t="n"/>
      <c r="FF141" s="253" t="n"/>
      <c r="FG141" s="393" t="n"/>
      <c r="FH141" s="393" t="n"/>
      <c r="FI141" s="252" t="n"/>
      <c r="FJ141" s="253" t="n"/>
      <c r="FK141" s="254" t="n"/>
      <c r="FL141" s="253" t="n"/>
      <c r="FM141" s="252" t="n"/>
      <c r="FN141" s="253" t="n"/>
      <c r="FO141" s="254" t="n"/>
      <c r="FP141" s="253" t="n"/>
      <c r="FQ141" s="264" t="n"/>
      <c r="FR141" s="253" t="n"/>
      <c r="FS141" s="254" t="n"/>
      <c r="FT141" s="253" t="n"/>
      <c r="FU141" s="264" t="n"/>
      <c r="FV141" s="253" t="n"/>
      <c r="FW141" s="55" t="n"/>
      <c r="FX141" s="255" t="n"/>
      <c r="FY141" s="252" t="n"/>
      <c r="FZ141" s="256" t="n"/>
      <c r="GA141" s="254" t="n"/>
      <c r="GB141" s="253" t="n"/>
      <c r="GC141" s="252" t="n"/>
      <c r="GD141" s="257" t="n"/>
      <c r="GE141" s="55" t="n"/>
      <c r="GF141" s="253" t="n"/>
      <c r="GG141" s="252" t="n"/>
      <c r="GH141" s="253" t="n"/>
      <c r="GI141" s="55" t="n"/>
      <c r="GJ141" s="253" t="n"/>
      <c r="GK141" s="252" t="n"/>
      <c r="GL141" s="257" t="n"/>
      <c r="GM141" s="55" t="n"/>
      <c r="GN141" s="253" t="n"/>
      <c r="GO141" s="252" t="n"/>
      <c r="GP141" s="253" t="n"/>
      <c r="GQ141" s="55" t="n"/>
      <c r="GR141" s="253" t="n"/>
      <c r="GS141" s="252" t="n"/>
      <c r="GT141" s="253" t="n"/>
      <c r="GU141" s="254" t="n"/>
      <c r="GV141" s="253" t="n"/>
      <c r="GW141" s="252" t="n"/>
      <c r="GX141" s="258" t="n"/>
      <c r="GY141" s="259" t="n"/>
      <c r="GZ141" s="253" t="n"/>
      <c r="HA141" s="252" t="n"/>
      <c r="HB141" s="261" t="n"/>
      <c r="HC141" s="392" t="n"/>
      <c r="HD141" s="253" t="n"/>
      <c r="HE141" s="393" t="n"/>
      <c r="HF141" s="393" t="n"/>
      <c r="HG141" s="252" t="n"/>
      <c r="HH141" s="253" t="n"/>
      <c r="HI141" s="254" t="n"/>
      <c r="HJ141" s="253" t="n"/>
      <c r="HK141" s="252" t="n"/>
      <c r="HL141" s="253" t="n"/>
      <c r="HM141" s="254" t="n"/>
      <c r="HN141" s="253" t="n"/>
      <c r="HO141" s="264" t="n"/>
      <c r="HP141" s="253" t="n"/>
      <c r="HQ141" s="254" t="n"/>
      <c r="HR141" s="253" t="n"/>
      <c r="HS141" s="264" t="n"/>
      <c r="HT141" s="253" t="n"/>
      <c r="HU141" s="55" t="n"/>
      <c r="HV141" s="255" t="n"/>
      <c r="HW141" s="252" t="n"/>
      <c r="HX141" s="256" t="n"/>
      <c r="HY141" s="254" t="n"/>
      <c r="HZ141" s="253" t="n"/>
      <c r="IA141" s="252" t="n"/>
      <c r="IB141" s="257" t="n"/>
      <c r="IC141" s="55" t="n"/>
      <c r="ID141" s="253" t="n"/>
      <c r="IE141" s="252" t="n"/>
      <c r="IF141" s="253" t="n"/>
      <c r="IG141" s="55" t="n"/>
      <c r="IH141" s="253" t="n"/>
      <c r="II141" s="252" t="n"/>
      <c r="IJ141" s="257" t="n"/>
      <c r="IK141" s="55" t="n"/>
      <c r="IL141" s="253" t="n"/>
      <c r="IM141" s="252" t="n"/>
      <c r="IN141" s="253" t="n"/>
      <c r="IO141" s="55" t="n"/>
      <c r="IP141" s="253" t="n"/>
      <c r="IQ141" s="252" t="n"/>
      <c r="IR141" s="253" t="n"/>
      <c r="IS141" s="254" t="n"/>
      <c r="IT141" s="253" t="n"/>
      <c r="IU141" s="252" t="n"/>
      <c r="IV141" s="258" t="n"/>
      <c r="IW141" s="259" t="n"/>
      <c r="IX141" s="253" t="n"/>
      <c r="IY141" s="252" t="n"/>
      <c r="IZ141" s="261" t="n"/>
      <c r="JA141" s="392" t="n"/>
      <c r="JB141" s="253" t="n"/>
      <c r="JC141" s="393" t="n"/>
      <c r="JD141" s="393" t="n"/>
    </row>
    <row r="142">
      <c r="E142" s="248" t="n"/>
      <c r="F142" s="248" t="n"/>
      <c r="G142" s="249" t="n"/>
      <c r="H142" s="250" t="n"/>
      <c r="I142" s="251" t="n"/>
      <c r="J142" s="251" t="n"/>
      <c r="K142" s="251" t="n"/>
      <c r="L142" s="251" t="n"/>
      <c r="M142" s="251" t="n"/>
      <c r="N142" s="251" t="n"/>
      <c r="O142" s="252" t="n"/>
      <c r="P142" s="253" t="n"/>
      <c r="Q142" s="254" t="n"/>
      <c r="R142" s="253" t="n"/>
      <c r="S142" s="252" t="n"/>
      <c r="T142" s="253" t="n"/>
      <c r="U142" s="254" t="n"/>
      <c r="V142" s="253" t="n"/>
      <c r="W142" s="252" t="n"/>
      <c r="X142" s="253" t="n"/>
      <c r="Y142" s="254" t="n"/>
      <c r="Z142" s="253" t="n"/>
      <c r="AA142" s="252" t="n"/>
      <c r="AB142" s="253" t="n"/>
      <c r="AC142" s="55" t="n"/>
      <c r="AD142" s="255" t="n"/>
      <c r="AE142" s="252" t="n"/>
      <c r="AF142" s="256" t="n"/>
      <c r="AG142" s="254" t="n"/>
      <c r="AH142" s="253" t="n"/>
      <c r="AI142" s="252" t="n"/>
      <c r="AJ142" s="257" t="n"/>
      <c r="AK142" s="55" t="n"/>
      <c r="AL142" s="253" t="n"/>
      <c r="AM142" s="252" t="n"/>
      <c r="AN142" s="253" t="n"/>
      <c r="AO142" s="55" t="n"/>
      <c r="AP142" s="253" t="n"/>
      <c r="AQ142" s="252" t="n"/>
      <c r="AR142" s="257" t="n"/>
      <c r="AS142" s="55" t="n"/>
      <c r="AT142" s="253" t="n"/>
      <c r="AU142" s="252" t="n"/>
      <c r="AV142" s="253" t="n"/>
      <c r="AW142" s="55" t="n"/>
      <c r="AX142" s="253" t="n"/>
      <c r="AY142" s="252" t="n"/>
      <c r="AZ142" s="253" t="n"/>
      <c r="BA142" s="254" t="n"/>
      <c r="BB142" s="255" t="n"/>
      <c r="BC142" s="252" t="n"/>
      <c r="BD142" s="258" t="n"/>
      <c r="BE142" s="259" t="n"/>
      <c r="BF142" s="255" t="n"/>
      <c r="BG142" s="260" t="n"/>
      <c r="BH142" s="261" t="n"/>
      <c r="BI142" s="392" t="n"/>
      <c r="BJ142" s="255" t="n"/>
      <c r="BK142" s="393" t="n"/>
      <c r="BL142" s="393" t="n"/>
      <c r="BM142" s="252" t="n"/>
      <c r="BN142" s="253" t="n"/>
      <c r="BO142" s="254" t="n"/>
      <c r="BP142" s="253" t="n"/>
      <c r="BQ142" s="252" t="n"/>
      <c r="BR142" s="253" t="n"/>
      <c r="BS142" s="254" t="n"/>
      <c r="BT142" s="253" t="n"/>
      <c r="BU142" s="264" t="n"/>
      <c r="BV142" s="253" t="n"/>
      <c r="BW142" s="254" t="n"/>
      <c r="BX142" s="253" t="n"/>
      <c r="BY142" s="264" t="n"/>
      <c r="BZ142" s="253" t="n"/>
      <c r="CA142" s="55" t="n"/>
      <c r="CB142" s="255" t="n"/>
      <c r="CC142" s="252" t="n"/>
      <c r="CD142" s="256" t="n"/>
      <c r="CE142" s="55" t="n"/>
      <c r="CF142" s="253" t="n"/>
      <c r="CG142" s="252" t="n"/>
      <c r="CH142" s="257" t="n"/>
      <c r="CI142" s="55" t="n"/>
      <c r="CJ142" s="253" t="n"/>
      <c r="CK142" s="252" t="n"/>
      <c r="CL142" s="253" t="n"/>
      <c r="CM142" s="55" t="n"/>
      <c r="CN142" s="253" t="n"/>
      <c r="CO142" s="252" t="n"/>
      <c r="CP142" s="257" t="n"/>
      <c r="CQ142" s="55" t="n"/>
      <c r="CR142" s="253" t="n"/>
      <c r="CS142" s="252" t="n"/>
      <c r="CT142" s="253" t="n"/>
      <c r="CU142" s="55" t="n"/>
      <c r="CV142" s="253" t="n"/>
      <c r="CW142" s="252" t="n"/>
      <c r="CX142" s="253" t="n"/>
      <c r="CY142" s="254" t="n"/>
      <c r="CZ142" s="253" t="n"/>
      <c r="DA142" s="252" t="n"/>
      <c r="DB142" s="258" t="n"/>
      <c r="DC142" s="259" t="n"/>
      <c r="DD142" s="253" t="n"/>
      <c r="DE142" s="252" t="n"/>
      <c r="DF142" s="261" t="n"/>
      <c r="DG142" s="392" t="n"/>
      <c r="DH142" s="253" t="n"/>
      <c r="DI142" s="393" t="n"/>
      <c r="DJ142" s="393" t="n"/>
      <c r="DK142" s="252" t="n"/>
      <c r="DL142" s="253" t="n"/>
      <c r="DM142" s="254" t="n"/>
      <c r="DN142" s="253" t="n"/>
      <c r="DO142" s="252" t="n"/>
      <c r="DP142" s="253" t="n"/>
      <c r="DQ142" s="254" t="n"/>
      <c r="DR142" s="253" t="n"/>
      <c r="DS142" s="264" t="n"/>
      <c r="DT142" s="253" t="n"/>
      <c r="DU142" s="254" t="n"/>
      <c r="DV142" s="253" t="n"/>
      <c r="DW142" s="264" t="n"/>
      <c r="DX142" s="253" t="n"/>
      <c r="DY142" s="55" t="n"/>
      <c r="DZ142" s="255" t="n"/>
      <c r="EA142" s="252" t="n"/>
      <c r="EB142" s="256" t="n"/>
      <c r="EC142" s="254" t="n"/>
      <c r="ED142" s="253" t="n"/>
      <c r="EE142" s="252" t="n"/>
      <c r="EF142" s="257" t="n"/>
      <c r="EG142" s="55" t="n"/>
      <c r="EH142" s="253" t="n"/>
      <c r="EI142" s="252" t="n"/>
      <c r="EJ142" s="253" t="n"/>
      <c r="EK142" s="55" t="n"/>
      <c r="EL142" s="253" t="n"/>
      <c r="EM142" s="252" t="n"/>
      <c r="EN142" s="257" t="n"/>
      <c r="EO142" s="55" t="n"/>
      <c r="EP142" s="253" t="n"/>
      <c r="EQ142" s="252" t="n"/>
      <c r="ER142" s="253" t="n"/>
      <c r="ES142" s="55" t="n"/>
      <c r="ET142" s="253" t="n"/>
      <c r="EU142" s="252" t="n"/>
      <c r="EV142" s="253" t="n"/>
      <c r="EW142" s="254" t="n"/>
      <c r="EX142" s="253" t="n"/>
      <c r="EY142" s="252" t="n"/>
      <c r="EZ142" s="258" t="n"/>
      <c r="FA142" s="259" t="n"/>
      <c r="FB142" s="253" t="n"/>
      <c r="FC142" s="252" t="n"/>
      <c r="FD142" s="261" t="n"/>
      <c r="FE142" s="392" t="n"/>
      <c r="FF142" s="253" t="n"/>
      <c r="FG142" s="393" t="n"/>
      <c r="FH142" s="393" t="n"/>
      <c r="FI142" s="252" t="n"/>
      <c r="FJ142" s="253" t="n"/>
      <c r="FK142" s="254" t="n"/>
      <c r="FL142" s="253" t="n"/>
      <c r="FM142" s="252" t="n"/>
      <c r="FN142" s="253" t="n"/>
      <c r="FO142" s="254" t="n"/>
      <c r="FP142" s="253" t="n"/>
      <c r="FQ142" s="264" t="n"/>
      <c r="FR142" s="253" t="n"/>
      <c r="FS142" s="254" t="n"/>
      <c r="FT142" s="253" t="n"/>
      <c r="FU142" s="264" t="n"/>
      <c r="FV142" s="253" t="n"/>
      <c r="FW142" s="55" t="n"/>
      <c r="FX142" s="255" t="n"/>
      <c r="FY142" s="252" t="n"/>
      <c r="FZ142" s="256" t="n"/>
      <c r="GA142" s="254" t="n"/>
      <c r="GB142" s="253" t="n"/>
      <c r="GC142" s="252" t="n"/>
      <c r="GD142" s="257" t="n"/>
      <c r="GE142" s="55" t="n"/>
      <c r="GF142" s="253" t="n"/>
      <c r="GG142" s="252" t="n"/>
      <c r="GH142" s="253" t="n"/>
      <c r="GI142" s="55" t="n"/>
      <c r="GJ142" s="253" t="n"/>
      <c r="GK142" s="252" t="n"/>
      <c r="GL142" s="257" t="n"/>
      <c r="GM142" s="55" t="n"/>
      <c r="GN142" s="253" t="n"/>
      <c r="GO142" s="252" t="n"/>
      <c r="GP142" s="253" t="n"/>
      <c r="GQ142" s="55" t="n"/>
      <c r="GR142" s="253" t="n"/>
      <c r="GS142" s="252" t="n"/>
      <c r="GT142" s="253" t="n"/>
      <c r="GU142" s="254" t="n"/>
      <c r="GV142" s="253" t="n"/>
      <c r="GW142" s="252" t="n"/>
      <c r="GX142" s="258" t="n"/>
      <c r="GY142" s="259" t="n"/>
      <c r="GZ142" s="253" t="n"/>
      <c r="HA142" s="252" t="n"/>
      <c r="HB142" s="261" t="n"/>
      <c r="HC142" s="392" t="n"/>
      <c r="HD142" s="253" t="n"/>
      <c r="HE142" s="393" t="n"/>
      <c r="HF142" s="393" t="n"/>
      <c r="HG142" s="252" t="n"/>
      <c r="HH142" s="253" t="n"/>
      <c r="HI142" s="254" t="n"/>
      <c r="HJ142" s="253" t="n"/>
      <c r="HK142" s="252" t="n"/>
      <c r="HL142" s="253" t="n"/>
      <c r="HM142" s="254" t="n"/>
      <c r="HN142" s="253" t="n"/>
      <c r="HO142" s="264" t="n"/>
      <c r="HP142" s="253" t="n"/>
      <c r="HQ142" s="254" t="n"/>
      <c r="HR142" s="253" t="n"/>
      <c r="HS142" s="264" t="n"/>
      <c r="HT142" s="253" t="n"/>
      <c r="HU142" s="55" t="n"/>
      <c r="HV142" s="255" t="n"/>
      <c r="HW142" s="252" t="n"/>
      <c r="HX142" s="256" t="n"/>
      <c r="HY142" s="254" t="n"/>
      <c r="HZ142" s="253" t="n"/>
      <c r="IA142" s="252" t="n"/>
      <c r="IB142" s="257" t="n"/>
      <c r="IC142" s="55" t="n"/>
      <c r="ID142" s="253" t="n"/>
      <c r="IE142" s="252" t="n"/>
      <c r="IF142" s="253" t="n"/>
      <c r="IG142" s="55" t="n"/>
      <c r="IH142" s="253" t="n"/>
      <c r="II142" s="252" t="n"/>
      <c r="IJ142" s="257" t="n"/>
      <c r="IK142" s="55" t="n"/>
      <c r="IL142" s="253" t="n"/>
      <c r="IM142" s="252" t="n"/>
      <c r="IN142" s="253" t="n"/>
      <c r="IO142" s="55" t="n"/>
      <c r="IP142" s="253" t="n"/>
      <c r="IQ142" s="252" t="n"/>
      <c r="IR142" s="253" t="n"/>
      <c r="IS142" s="254" t="n"/>
      <c r="IT142" s="253" t="n"/>
      <c r="IU142" s="252" t="n"/>
      <c r="IV142" s="258" t="n"/>
      <c r="IW142" s="259" t="n"/>
      <c r="IX142" s="253" t="n"/>
      <c r="IY142" s="252" t="n"/>
      <c r="IZ142" s="261" t="n"/>
      <c r="JA142" s="392" t="n"/>
      <c r="JB142" s="253" t="n"/>
      <c r="JC142" s="393" t="n"/>
      <c r="JD142" s="393" t="n"/>
    </row>
    <row r="143">
      <c r="E143" s="248" t="n"/>
      <c r="F143" s="248" t="n"/>
      <c r="G143" s="249" t="n"/>
      <c r="H143" s="250" t="n"/>
      <c r="I143" s="251" t="n"/>
      <c r="J143" s="251" t="n"/>
      <c r="K143" s="251" t="n"/>
      <c r="L143" s="251" t="n"/>
      <c r="M143" s="251" t="n"/>
      <c r="N143" s="251" t="n"/>
      <c r="O143" s="252" t="n"/>
      <c r="P143" s="253" t="n"/>
      <c r="Q143" s="254" t="n"/>
      <c r="R143" s="253" t="n"/>
      <c r="S143" s="252" t="n"/>
      <c r="T143" s="253" t="n"/>
      <c r="U143" s="254" t="n"/>
      <c r="V143" s="253" t="n"/>
      <c r="W143" s="252" t="n"/>
      <c r="X143" s="253" t="n"/>
      <c r="Y143" s="254" t="n"/>
      <c r="Z143" s="253" t="n"/>
      <c r="AA143" s="252" t="n"/>
      <c r="AB143" s="253" t="n"/>
      <c r="AC143" s="55" t="n"/>
      <c r="AD143" s="255" t="n"/>
      <c r="AE143" s="252" t="n"/>
      <c r="AF143" s="256" t="n"/>
      <c r="AG143" s="254" t="n"/>
      <c r="AH143" s="253" t="n"/>
      <c r="AI143" s="252" t="n"/>
      <c r="AJ143" s="257" t="n"/>
      <c r="AK143" s="55" t="n"/>
      <c r="AL143" s="253" t="n"/>
      <c r="AM143" s="252" t="n"/>
      <c r="AN143" s="253" t="n"/>
      <c r="AO143" s="55" t="n"/>
      <c r="AP143" s="253" t="n"/>
      <c r="AQ143" s="252" t="n"/>
      <c r="AR143" s="257" t="n"/>
      <c r="AS143" s="55" t="n"/>
      <c r="AT143" s="253" t="n"/>
      <c r="AU143" s="252" t="n"/>
      <c r="AV143" s="253" t="n"/>
      <c r="AW143" s="55" t="n"/>
      <c r="AX143" s="253" t="n"/>
      <c r="AY143" s="252" t="n"/>
      <c r="AZ143" s="253" t="n"/>
      <c r="BA143" s="254" t="n"/>
      <c r="BB143" s="255" t="n"/>
      <c r="BC143" s="252" t="n"/>
      <c r="BD143" s="258" t="n"/>
      <c r="BE143" s="259" t="n"/>
      <c r="BF143" s="255" t="n"/>
      <c r="BG143" s="260" t="n"/>
      <c r="BH143" s="261" t="n"/>
      <c r="BI143" s="392" t="n"/>
      <c r="BJ143" s="255" t="n"/>
      <c r="BK143" s="393" t="n"/>
      <c r="BL143" s="393" t="n"/>
      <c r="BM143" s="252" t="n"/>
      <c r="BN143" s="253" t="n"/>
      <c r="BO143" s="254" t="n"/>
      <c r="BP143" s="253" t="n"/>
      <c r="BQ143" s="252" t="n"/>
      <c r="BR143" s="253" t="n"/>
      <c r="BS143" s="254" t="n"/>
      <c r="BT143" s="253" t="n"/>
      <c r="BU143" s="264" t="n"/>
      <c r="BV143" s="253" t="n"/>
      <c r="BW143" s="254" t="n"/>
      <c r="BX143" s="253" t="n"/>
      <c r="BY143" s="264" t="n"/>
      <c r="BZ143" s="253" t="n"/>
      <c r="CA143" s="55" t="n"/>
      <c r="CB143" s="255" t="n"/>
      <c r="CC143" s="252" t="n"/>
      <c r="CD143" s="256" t="n"/>
      <c r="CE143" s="55" t="n"/>
      <c r="CF143" s="253" t="n"/>
      <c r="CG143" s="252" t="n"/>
      <c r="CH143" s="257" t="n"/>
      <c r="CI143" s="55" t="n"/>
      <c r="CJ143" s="253" t="n"/>
      <c r="CK143" s="252" t="n"/>
      <c r="CL143" s="253" t="n"/>
      <c r="CM143" s="55" t="n"/>
      <c r="CN143" s="253" t="n"/>
      <c r="CO143" s="252" t="n"/>
      <c r="CP143" s="257" t="n"/>
      <c r="CQ143" s="55" t="n"/>
      <c r="CR143" s="253" t="n"/>
      <c r="CS143" s="252" t="n"/>
      <c r="CT143" s="253" t="n"/>
      <c r="CU143" s="55" t="n"/>
      <c r="CV143" s="253" t="n"/>
      <c r="CW143" s="252" t="n"/>
      <c r="CX143" s="253" t="n"/>
      <c r="CY143" s="254" t="n"/>
      <c r="CZ143" s="253" t="n"/>
      <c r="DA143" s="252" t="n"/>
      <c r="DB143" s="258" t="n"/>
      <c r="DC143" s="259" t="n"/>
      <c r="DD143" s="253" t="n"/>
      <c r="DE143" s="252" t="n"/>
      <c r="DF143" s="261" t="n"/>
      <c r="DG143" s="392" t="n"/>
      <c r="DH143" s="253" t="n"/>
      <c r="DI143" s="393" t="n"/>
      <c r="DJ143" s="393" t="n"/>
      <c r="DK143" s="252" t="n"/>
      <c r="DL143" s="253" t="n"/>
      <c r="DM143" s="254" t="n"/>
      <c r="DN143" s="253" t="n"/>
      <c r="DO143" s="252" t="n"/>
      <c r="DP143" s="253" t="n"/>
      <c r="DQ143" s="254" t="n"/>
      <c r="DR143" s="253" t="n"/>
      <c r="DS143" s="264" t="n"/>
      <c r="DT143" s="253" t="n"/>
      <c r="DU143" s="254" t="n"/>
      <c r="DV143" s="253" t="n"/>
      <c r="DW143" s="264" t="n"/>
      <c r="DX143" s="253" t="n"/>
      <c r="DY143" s="55" t="n"/>
      <c r="DZ143" s="255" t="n"/>
      <c r="EA143" s="252" t="n"/>
      <c r="EB143" s="256" t="n"/>
      <c r="EC143" s="254" t="n"/>
      <c r="ED143" s="253" t="n"/>
      <c r="EE143" s="252" t="n"/>
      <c r="EF143" s="257" t="n"/>
      <c r="EG143" s="55" t="n"/>
      <c r="EH143" s="253" t="n"/>
      <c r="EI143" s="252" t="n"/>
      <c r="EJ143" s="253" t="n"/>
      <c r="EK143" s="55" t="n"/>
      <c r="EL143" s="253" t="n"/>
      <c r="EM143" s="252" t="n"/>
      <c r="EN143" s="257" t="n"/>
      <c r="EO143" s="55" t="n"/>
      <c r="EP143" s="253" t="n"/>
      <c r="EQ143" s="252" t="n"/>
      <c r="ER143" s="253" t="n"/>
      <c r="ES143" s="55" t="n"/>
      <c r="ET143" s="253" t="n"/>
      <c r="EU143" s="252" t="n"/>
      <c r="EV143" s="253" t="n"/>
      <c r="EW143" s="254" t="n"/>
      <c r="EX143" s="253" t="n"/>
      <c r="EY143" s="252" t="n"/>
      <c r="EZ143" s="258" t="n"/>
      <c r="FA143" s="259" t="n"/>
      <c r="FB143" s="253" t="n"/>
      <c r="FC143" s="252" t="n"/>
      <c r="FD143" s="261" t="n"/>
      <c r="FE143" s="392" t="n"/>
      <c r="FF143" s="253" t="n"/>
      <c r="FG143" s="393" t="n"/>
      <c r="FH143" s="393" t="n"/>
      <c r="FI143" s="252" t="n"/>
      <c r="FJ143" s="253" t="n"/>
      <c r="FK143" s="254" t="n"/>
      <c r="FL143" s="253" t="n"/>
      <c r="FM143" s="252" t="n"/>
      <c r="FN143" s="253" t="n"/>
      <c r="FO143" s="254" t="n"/>
      <c r="FP143" s="253" t="n"/>
      <c r="FQ143" s="264" t="n"/>
      <c r="FR143" s="253" t="n"/>
      <c r="FS143" s="254" t="n"/>
      <c r="FT143" s="253" t="n"/>
      <c r="FU143" s="264" t="n"/>
      <c r="FV143" s="253" t="n"/>
      <c r="FW143" s="55" t="n"/>
      <c r="FX143" s="255" t="n"/>
      <c r="FY143" s="252" t="n"/>
      <c r="FZ143" s="256" t="n"/>
      <c r="GA143" s="254" t="n"/>
      <c r="GB143" s="253" t="n"/>
      <c r="GC143" s="252" t="n"/>
      <c r="GD143" s="257" t="n"/>
      <c r="GE143" s="55" t="n"/>
      <c r="GF143" s="253" t="n"/>
      <c r="GG143" s="252" t="n"/>
      <c r="GH143" s="253" t="n"/>
      <c r="GI143" s="55" t="n"/>
      <c r="GJ143" s="253" t="n"/>
      <c r="GK143" s="252" t="n"/>
      <c r="GL143" s="257" t="n"/>
      <c r="GM143" s="55" t="n"/>
      <c r="GN143" s="253" t="n"/>
      <c r="GO143" s="252" t="n"/>
      <c r="GP143" s="253" t="n"/>
      <c r="GQ143" s="55" t="n"/>
      <c r="GR143" s="253" t="n"/>
      <c r="GS143" s="252" t="n"/>
      <c r="GT143" s="253" t="n"/>
      <c r="GU143" s="254" t="n"/>
      <c r="GV143" s="253" t="n"/>
      <c r="GW143" s="252" t="n"/>
      <c r="GX143" s="258" t="n"/>
      <c r="GY143" s="259" t="n"/>
      <c r="GZ143" s="253" t="n"/>
      <c r="HA143" s="252" t="n"/>
      <c r="HB143" s="261" t="n"/>
      <c r="HC143" s="392" t="n"/>
      <c r="HD143" s="253" t="n"/>
      <c r="HE143" s="393" t="n"/>
      <c r="HF143" s="393" t="n"/>
      <c r="HG143" s="252" t="n"/>
      <c r="HH143" s="253" t="n"/>
      <c r="HI143" s="254" t="n"/>
      <c r="HJ143" s="253" t="n"/>
      <c r="HK143" s="252" t="n"/>
      <c r="HL143" s="253" t="n"/>
      <c r="HM143" s="254" t="n"/>
      <c r="HN143" s="253" t="n"/>
      <c r="HO143" s="264" t="n"/>
      <c r="HP143" s="253" t="n"/>
      <c r="HQ143" s="254" t="n"/>
      <c r="HR143" s="253" t="n"/>
      <c r="HS143" s="264" t="n"/>
      <c r="HT143" s="253" t="n"/>
      <c r="HU143" s="55" t="n"/>
      <c r="HV143" s="255" t="n"/>
      <c r="HW143" s="252" t="n"/>
      <c r="HX143" s="256" t="n"/>
      <c r="HY143" s="254" t="n"/>
      <c r="HZ143" s="253" t="n"/>
      <c r="IA143" s="252" t="n"/>
      <c r="IB143" s="257" t="n"/>
      <c r="IC143" s="55" t="n"/>
      <c r="ID143" s="253" t="n"/>
      <c r="IE143" s="252" t="n"/>
      <c r="IF143" s="253" t="n"/>
      <c r="IG143" s="55" t="n"/>
      <c r="IH143" s="253" t="n"/>
      <c r="II143" s="252" t="n"/>
      <c r="IJ143" s="257" t="n"/>
      <c r="IK143" s="55" t="n"/>
      <c r="IL143" s="253" t="n"/>
      <c r="IM143" s="252" t="n"/>
      <c r="IN143" s="253" t="n"/>
      <c r="IO143" s="55" t="n"/>
      <c r="IP143" s="253" t="n"/>
      <c r="IQ143" s="252" t="n"/>
      <c r="IR143" s="253" t="n"/>
      <c r="IS143" s="254" t="n"/>
      <c r="IT143" s="253" t="n"/>
      <c r="IU143" s="252" t="n"/>
      <c r="IV143" s="258" t="n"/>
      <c r="IW143" s="259" t="n"/>
      <c r="IX143" s="253" t="n"/>
      <c r="IY143" s="252" t="n"/>
      <c r="IZ143" s="261" t="n"/>
      <c r="JA143" s="392" t="n"/>
      <c r="JB143" s="253" t="n"/>
      <c r="JC143" s="393" t="n"/>
      <c r="JD143" s="393" t="n"/>
    </row>
    <row r="144">
      <c r="E144" s="248" t="n"/>
      <c r="F144" s="248" t="n"/>
      <c r="G144" s="249" t="n"/>
      <c r="H144" s="250" t="n"/>
      <c r="I144" s="251" t="n"/>
      <c r="J144" s="251" t="n"/>
      <c r="K144" s="251" t="n"/>
      <c r="L144" s="251" t="n"/>
      <c r="M144" s="251" t="n"/>
      <c r="N144" s="251" t="n"/>
      <c r="O144" s="252" t="n"/>
      <c r="P144" s="253" t="n"/>
      <c r="Q144" s="254" t="n"/>
      <c r="R144" s="253" t="n"/>
      <c r="S144" s="252" t="n"/>
      <c r="T144" s="253" t="n"/>
      <c r="U144" s="254" t="n"/>
      <c r="V144" s="253" t="n"/>
      <c r="W144" s="252" t="n"/>
      <c r="X144" s="253" t="n"/>
      <c r="Y144" s="254" t="n"/>
      <c r="Z144" s="253" t="n"/>
      <c r="AA144" s="252" t="n"/>
      <c r="AB144" s="253" t="n"/>
      <c r="AC144" s="55" t="n"/>
      <c r="AD144" s="255" t="n"/>
      <c r="AE144" s="252" t="n"/>
      <c r="AF144" s="256" t="n"/>
      <c r="AG144" s="254" t="n"/>
      <c r="AH144" s="253" t="n"/>
      <c r="AI144" s="252" t="n"/>
      <c r="AJ144" s="257" t="n"/>
      <c r="AK144" s="55" t="n"/>
      <c r="AL144" s="253" t="n"/>
      <c r="AM144" s="252" t="n"/>
      <c r="AN144" s="253" t="n"/>
      <c r="AO144" s="55" t="n"/>
      <c r="AP144" s="253" t="n"/>
      <c r="AQ144" s="252" t="n"/>
      <c r="AR144" s="257" t="n"/>
      <c r="AS144" s="55" t="n"/>
      <c r="AT144" s="253" t="n"/>
      <c r="AU144" s="252" t="n"/>
      <c r="AV144" s="253" t="n"/>
      <c r="AW144" s="55" t="n"/>
      <c r="AX144" s="253" t="n"/>
      <c r="AY144" s="252" t="n"/>
      <c r="AZ144" s="253" t="n"/>
      <c r="BA144" s="254" t="n"/>
      <c r="BB144" s="255" t="n"/>
      <c r="BC144" s="252" t="n"/>
      <c r="BD144" s="258" t="n"/>
      <c r="BE144" s="259" t="n"/>
      <c r="BF144" s="255" t="n"/>
      <c r="BG144" s="260" t="n"/>
      <c r="BH144" s="261" t="n"/>
      <c r="BI144" s="392" t="n"/>
      <c r="BJ144" s="255" t="n"/>
      <c r="BK144" s="393" t="n"/>
      <c r="BL144" s="393" t="n"/>
      <c r="BM144" s="252" t="n"/>
      <c r="BN144" s="253" t="n"/>
      <c r="BO144" s="254" t="n"/>
      <c r="BP144" s="253" t="n"/>
      <c r="BQ144" s="252" t="n"/>
      <c r="BR144" s="253" t="n"/>
      <c r="BS144" s="254" t="n"/>
      <c r="BT144" s="253" t="n"/>
      <c r="BU144" s="264" t="n"/>
      <c r="BV144" s="253" t="n"/>
      <c r="BW144" s="254" t="n"/>
      <c r="BX144" s="253" t="n"/>
      <c r="BY144" s="264" t="n"/>
      <c r="BZ144" s="253" t="n"/>
      <c r="CA144" s="55" t="n"/>
      <c r="CB144" s="255" t="n"/>
      <c r="CC144" s="252" t="n"/>
      <c r="CD144" s="256" t="n"/>
      <c r="CE144" s="55" t="n"/>
      <c r="CF144" s="253" t="n"/>
      <c r="CG144" s="252" t="n"/>
      <c r="CH144" s="257" t="n"/>
      <c r="CI144" s="55" t="n"/>
      <c r="CJ144" s="253" t="n"/>
      <c r="CK144" s="252" t="n"/>
      <c r="CL144" s="253" t="n"/>
      <c r="CM144" s="55" t="n"/>
      <c r="CN144" s="253" t="n"/>
      <c r="CO144" s="252" t="n"/>
      <c r="CP144" s="257" t="n"/>
      <c r="CQ144" s="55" t="n"/>
      <c r="CR144" s="253" t="n"/>
      <c r="CS144" s="252" t="n"/>
      <c r="CT144" s="253" t="n"/>
      <c r="CU144" s="55" t="n"/>
      <c r="CV144" s="253" t="n"/>
      <c r="CW144" s="252" t="n"/>
      <c r="CX144" s="253" t="n"/>
      <c r="CY144" s="254" t="n"/>
      <c r="CZ144" s="253" t="n"/>
      <c r="DA144" s="252" t="n"/>
      <c r="DB144" s="258" t="n"/>
      <c r="DC144" s="259" t="n"/>
      <c r="DD144" s="253" t="n"/>
      <c r="DE144" s="252" t="n"/>
      <c r="DF144" s="261" t="n"/>
      <c r="DG144" s="392" t="n"/>
      <c r="DH144" s="253" t="n"/>
      <c r="DI144" s="393" t="n"/>
      <c r="DJ144" s="393" t="n"/>
      <c r="DK144" s="252" t="n"/>
      <c r="DL144" s="253" t="n"/>
      <c r="DM144" s="254" t="n"/>
      <c r="DN144" s="253" t="n"/>
      <c r="DO144" s="252" t="n"/>
      <c r="DP144" s="253" t="n"/>
      <c r="DQ144" s="254" t="n"/>
      <c r="DR144" s="253" t="n"/>
      <c r="DS144" s="264" t="n"/>
      <c r="DT144" s="253" t="n"/>
      <c r="DU144" s="254" t="n"/>
      <c r="DV144" s="253" t="n"/>
      <c r="DW144" s="264" t="n"/>
      <c r="DX144" s="253" t="n"/>
      <c r="DY144" s="55" t="n"/>
      <c r="DZ144" s="255" t="n"/>
      <c r="EA144" s="252" t="n"/>
      <c r="EB144" s="256" t="n"/>
      <c r="EC144" s="254" t="n"/>
      <c r="ED144" s="253" t="n"/>
      <c r="EE144" s="252" t="n"/>
      <c r="EF144" s="257" t="n"/>
      <c r="EG144" s="55" t="n"/>
      <c r="EH144" s="253" t="n"/>
      <c r="EI144" s="252" t="n"/>
      <c r="EJ144" s="253" t="n"/>
      <c r="EK144" s="55" t="n"/>
      <c r="EL144" s="253" t="n"/>
      <c r="EM144" s="252" t="n"/>
      <c r="EN144" s="257" t="n"/>
      <c r="EO144" s="55" t="n"/>
      <c r="EP144" s="253" t="n"/>
      <c r="EQ144" s="252" t="n"/>
      <c r="ER144" s="253" t="n"/>
      <c r="ES144" s="55" t="n"/>
      <c r="ET144" s="253" t="n"/>
      <c r="EU144" s="252" t="n"/>
      <c r="EV144" s="253" t="n"/>
      <c r="EW144" s="254" t="n"/>
      <c r="EX144" s="253" t="n"/>
      <c r="EY144" s="252" t="n"/>
      <c r="EZ144" s="258" t="n"/>
      <c r="FA144" s="259" t="n"/>
      <c r="FB144" s="253" t="n"/>
      <c r="FC144" s="252" t="n"/>
      <c r="FD144" s="261" t="n"/>
      <c r="FE144" s="392" t="n"/>
      <c r="FF144" s="253" t="n"/>
      <c r="FG144" s="393" t="n"/>
      <c r="FH144" s="393" t="n"/>
      <c r="FI144" s="252" t="n"/>
      <c r="FJ144" s="253" t="n"/>
      <c r="FK144" s="254" t="n"/>
      <c r="FL144" s="253" t="n"/>
      <c r="FM144" s="252" t="n"/>
      <c r="FN144" s="253" t="n"/>
      <c r="FO144" s="254" t="n"/>
      <c r="FP144" s="253" t="n"/>
      <c r="FQ144" s="264" t="n"/>
      <c r="FR144" s="253" t="n"/>
      <c r="FS144" s="254" t="n"/>
      <c r="FT144" s="253" t="n"/>
      <c r="FU144" s="264" t="n"/>
      <c r="FV144" s="253" t="n"/>
      <c r="FW144" s="55" t="n"/>
      <c r="FX144" s="255" t="n"/>
      <c r="FY144" s="252" t="n"/>
      <c r="FZ144" s="256" t="n"/>
      <c r="GA144" s="254" t="n"/>
      <c r="GB144" s="253" t="n"/>
      <c r="GC144" s="252" t="n"/>
      <c r="GD144" s="257" t="n"/>
      <c r="GE144" s="55" t="n"/>
      <c r="GF144" s="253" t="n"/>
      <c r="GG144" s="252" t="n"/>
      <c r="GH144" s="253" t="n"/>
      <c r="GI144" s="55" t="n"/>
      <c r="GJ144" s="253" t="n"/>
      <c r="GK144" s="252" t="n"/>
      <c r="GL144" s="257" t="n"/>
      <c r="GM144" s="55" t="n"/>
      <c r="GN144" s="253" t="n"/>
      <c r="GO144" s="252" t="n"/>
      <c r="GP144" s="253" t="n"/>
      <c r="GQ144" s="55" t="n"/>
      <c r="GR144" s="253" t="n"/>
      <c r="GS144" s="252" t="n"/>
      <c r="GT144" s="253" t="n"/>
      <c r="GU144" s="254" t="n"/>
      <c r="GV144" s="253" t="n"/>
      <c r="GW144" s="252" t="n"/>
      <c r="GX144" s="258" t="n"/>
      <c r="GY144" s="259" t="n"/>
      <c r="GZ144" s="253" t="n"/>
      <c r="HA144" s="252" t="n"/>
      <c r="HB144" s="261" t="n"/>
      <c r="HC144" s="392" t="n"/>
      <c r="HD144" s="253" t="n"/>
      <c r="HE144" s="393" t="n"/>
      <c r="HF144" s="393" t="n"/>
      <c r="HG144" s="252" t="n"/>
      <c r="HH144" s="253" t="n"/>
      <c r="HI144" s="254" t="n"/>
      <c r="HJ144" s="253" t="n"/>
      <c r="HK144" s="252" t="n"/>
      <c r="HL144" s="253" t="n"/>
      <c r="HM144" s="254" t="n"/>
      <c r="HN144" s="253" t="n"/>
      <c r="HO144" s="264" t="n"/>
      <c r="HP144" s="253" t="n"/>
      <c r="HQ144" s="254" t="n"/>
      <c r="HR144" s="253" t="n"/>
      <c r="HS144" s="264" t="n"/>
      <c r="HT144" s="253" t="n"/>
      <c r="HU144" s="55" t="n"/>
      <c r="HV144" s="255" t="n"/>
      <c r="HW144" s="252" t="n"/>
      <c r="HX144" s="256" t="n"/>
      <c r="HY144" s="254" t="n"/>
      <c r="HZ144" s="253" t="n"/>
      <c r="IA144" s="252" t="n"/>
      <c r="IB144" s="257" t="n"/>
      <c r="IC144" s="55" t="n"/>
      <c r="ID144" s="253" t="n"/>
      <c r="IE144" s="252" t="n"/>
      <c r="IF144" s="253" t="n"/>
      <c r="IG144" s="55" t="n"/>
      <c r="IH144" s="253" t="n"/>
      <c r="II144" s="252" t="n"/>
      <c r="IJ144" s="257" t="n"/>
      <c r="IK144" s="55" t="n"/>
      <c r="IL144" s="253" t="n"/>
      <c r="IM144" s="252" t="n"/>
      <c r="IN144" s="253" t="n"/>
      <c r="IO144" s="55" t="n"/>
      <c r="IP144" s="253" t="n"/>
      <c r="IQ144" s="252" t="n"/>
      <c r="IR144" s="253" t="n"/>
      <c r="IS144" s="254" t="n"/>
      <c r="IT144" s="253" t="n"/>
      <c r="IU144" s="252" t="n"/>
      <c r="IV144" s="258" t="n"/>
      <c r="IW144" s="259" t="n"/>
      <c r="IX144" s="253" t="n"/>
      <c r="IY144" s="252" t="n"/>
      <c r="IZ144" s="261" t="n"/>
      <c r="JA144" s="392" t="n"/>
      <c r="JB144" s="253" t="n"/>
      <c r="JC144" s="393" t="n"/>
      <c r="JD144" s="393" t="n"/>
    </row>
    <row r="145">
      <c r="E145" s="248" t="n"/>
      <c r="F145" s="248" t="n"/>
      <c r="G145" s="249" t="n"/>
      <c r="H145" s="250" t="n"/>
      <c r="I145" s="251" t="n"/>
      <c r="J145" s="251" t="n"/>
      <c r="K145" s="251" t="n"/>
      <c r="L145" s="251" t="n"/>
      <c r="M145" s="251" t="n"/>
      <c r="N145" s="251" t="n"/>
      <c r="O145" s="252" t="n"/>
      <c r="P145" s="253" t="n"/>
      <c r="Q145" s="254" t="n"/>
      <c r="R145" s="253" t="n"/>
      <c r="S145" s="252" t="n"/>
      <c r="T145" s="253" t="n"/>
      <c r="U145" s="254" t="n"/>
      <c r="V145" s="253" t="n"/>
      <c r="W145" s="252" t="n"/>
      <c r="X145" s="253" t="n"/>
      <c r="Y145" s="254" t="n"/>
      <c r="Z145" s="253" t="n"/>
      <c r="AA145" s="252" t="n"/>
      <c r="AB145" s="253" t="n"/>
      <c r="AC145" s="55" t="n"/>
      <c r="AD145" s="255" t="n"/>
      <c r="AE145" s="252" t="n"/>
      <c r="AF145" s="256" t="n"/>
      <c r="AG145" s="254" t="n"/>
      <c r="AH145" s="253" t="n"/>
      <c r="AI145" s="252" t="n"/>
      <c r="AJ145" s="257" t="n"/>
      <c r="AK145" s="55" t="n"/>
      <c r="AL145" s="253" t="n"/>
      <c r="AM145" s="252" t="n"/>
      <c r="AN145" s="253" t="n"/>
      <c r="AO145" s="55" t="n"/>
      <c r="AP145" s="253" t="n"/>
      <c r="AQ145" s="252" t="n"/>
      <c r="AR145" s="257" t="n"/>
      <c r="AS145" s="55" t="n"/>
      <c r="AT145" s="253" t="n"/>
      <c r="AU145" s="252" t="n"/>
      <c r="AV145" s="253" t="n"/>
      <c r="AW145" s="55" t="n"/>
      <c r="AX145" s="253" t="n"/>
      <c r="AY145" s="252" t="n"/>
      <c r="AZ145" s="253" t="n"/>
      <c r="BA145" s="254" t="n"/>
      <c r="BB145" s="255" t="n"/>
      <c r="BC145" s="252" t="n"/>
      <c r="BD145" s="258" t="n"/>
      <c r="BE145" s="259" t="n"/>
      <c r="BF145" s="255" t="n"/>
      <c r="BG145" s="260" t="n"/>
      <c r="BH145" s="261" t="n"/>
      <c r="BI145" s="392" t="n"/>
      <c r="BJ145" s="255" t="n"/>
      <c r="BK145" s="393" t="n"/>
      <c r="BL145" s="393" t="n"/>
      <c r="BM145" s="252" t="n"/>
      <c r="BN145" s="253" t="n"/>
      <c r="BO145" s="254" t="n"/>
      <c r="BP145" s="253" t="n"/>
      <c r="BQ145" s="252" t="n"/>
      <c r="BR145" s="253" t="n"/>
      <c r="BS145" s="254" t="n"/>
      <c r="BT145" s="253" t="n"/>
      <c r="BU145" s="264" t="n"/>
      <c r="BV145" s="253" t="n"/>
      <c r="BW145" s="254" t="n"/>
      <c r="BX145" s="253" t="n"/>
      <c r="BY145" s="264" t="n"/>
      <c r="BZ145" s="253" t="n"/>
      <c r="CA145" s="55" t="n"/>
      <c r="CB145" s="255" t="n"/>
      <c r="CC145" s="252" t="n"/>
      <c r="CD145" s="256" t="n"/>
      <c r="CE145" s="55" t="n"/>
      <c r="CF145" s="253" t="n"/>
      <c r="CG145" s="252" t="n"/>
      <c r="CH145" s="257" t="n"/>
      <c r="CI145" s="55" t="n"/>
      <c r="CJ145" s="253" t="n"/>
      <c r="CK145" s="252" t="n"/>
      <c r="CL145" s="253" t="n"/>
      <c r="CM145" s="55" t="n"/>
      <c r="CN145" s="253" t="n"/>
      <c r="CO145" s="252" t="n"/>
      <c r="CP145" s="257" t="n"/>
      <c r="CQ145" s="55" t="n"/>
      <c r="CR145" s="253" t="n"/>
      <c r="CS145" s="252" t="n"/>
      <c r="CT145" s="253" t="n"/>
      <c r="CU145" s="55" t="n"/>
      <c r="CV145" s="253" t="n"/>
      <c r="CW145" s="252" t="n"/>
      <c r="CX145" s="253" t="n"/>
      <c r="CY145" s="254" t="n"/>
      <c r="CZ145" s="253" t="n"/>
      <c r="DA145" s="252" t="n"/>
      <c r="DB145" s="258" t="n"/>
      <c r="DC145" s="259" t="n"/>
      <c r="DD145" s="253" t="n"/>
      <c r="DE145" s="252" t="n"/>
      <c r="DF145" s="261" t="n"/>
      <c r="DG145" s="392" t="n"/>
      <c r="DH145" s="253" t="n"/>
      <c r="DI145" s="393" t="n"/>
      <c r="DJ145" s="393" t="n"/>
      <c r="DK145" s="252" t="n"/>
      <c r="DL145" s="253" t="n"/>
      <c r="DM145" s="254" t="n"/>
      <c r="DN145" s="253" t="n"/>
      <c r="DO145" s="252" t="n"/>
      <c r="DP145" s="253" t="n"/>
      <c r="DQ145" s="254" t="n"/>
      <c r="DR145" s="253" t="n"/>
      <c r="DS145" s="264" t="n"/>
      <c r="DT145" s="253" t="n"/>
      <c r="DU145" s="254" t="n"/>
      <c r="DV145" s="253" t="n"/>
      <c r="DW145" s="264" t="n"/>
      <c r="DX145" s="253" t="n"/>
      <c r="DY145" s="55" t="n"/>
      <c r="DZ145" s="255" t="n"/>
      <c r="EA145" s="252" t="n"/>
      <c r="EB145" s="256" t="n"/>
      <c r="EC145" s="254" t="n"/>
      <c r="ED145" s="253" t="n"/>
      <c r="EE145" s="252" t="n"/>
      <c r="EF145" s="257" t="n"/>
      <c r="EG145" s="55" t="n"/>
      <c r="EH145" s="253" t="n"/>
      <c r="EI145" s="252" t="n"/>
      <c r="EJ145" s="253" t="n"/>
      <c r="EK145" s="55" t="n"/>
      <c r="EL145" s="253" t="n"/>
      <c r="EM145" s="252" t="n"/>
      <c r="EN145" s="257" t="n"/>
      <c r="EO145" s="55" t="n"/>
      <c r="EP145" s="253" t="n"/>
      <c r="EQ145" s="252" t="n"/>
      <c r="ER145" s="253" t="n"/>
      <c r="ES145" s="55" t="n"/>
      <c r="ET145" s="253" t="n"/>
      <c r="EU145" s="252" t="n"/>
      <c r="EV145" s="253" t="n"/>
      <c r="EW145" s="254" t="n"/>
      <c r="EX145" s="253" t="n"/>
      <c r="EY145" s="252" t="n"/>
      <c r="EZ145" s="258" t="n"/>
      <c r="FA145" s="259" t="n"/>
      <c r="FB145" s="253" t="n"/>
      <c r="FC145" s="252" t="n"/>
      <c r="FD145" s="261" t="n"/>
      <c r="FE145" s="392" t="n"/>
      <c r="FF145" s="253" t="n"/>
      <c r="FG145" s="393" t="n"/>
      <c r="FH145" s="393" t="n"/>
      <c r="FI145" s="252" t="n"/>
      <c r="FJ145" s="253" t="n"/>
      <c r="FK145" s="254" t="n"/>
      <c r="FL145" s="253" t="n"/>
      <c r="FM145" s="252" t="n"/>
      <c r="FN145" s="253" t="n"/>
      <c r="FO145" s="254" t="n"/>
      <c r="FP145" s="253" t="n"/>
      <c r="FQ145" s="264" t="n"/>
      <c r="FR145" s="253" t="n"/>
      <c r="FS145" s="254" t="n"/>
      <c r="FT145" s="253" t="n"/>
      <c r="FU145" s="264" t="n"/>
      <c r="FV145" s="253" t="n"/>
      <c r="FW145" s="55" t="n"/>
      <c r="FX145" s="255" t="n"/>
      <c r="FY145" s="252" t="n"/>
      <c r="FZ145" s="256" t="n"/>
      <c r="GA145" s="254" t="n"/>
      <c r="GB145" s="253" t="n"/>
      <c r="GC145" s="252" t="n"/>
      <c r="GD145" s="257" t="n"/>
      <c r="GE145" s="55" t="n"/>
      <c r="GF145" s="253" t="n"/>
      <c r="GG145" s="252" t="n"/>
      <c r="GH145" s="253" t="n"/>
      <c r="GI145" s="55" t="n"/>
      <c r="GJ145" s="253" t="n"/>
      <c r="GK145" s="252" t="n"/>
      <c r="GL145" s="257" t="n"/>
      <c r="GM145" s="55" t="n"/>
      <c r="GN145" s="253" t="n"/>
      <c r="GO145" s="252" t="n"/>
      <c r="GP145" s="253" t="n"/>
      <c r="GQ145" s="55" t="n"/>
      <c r="GR145" s="253" t="n"/>
      <c r="GS145" s="252" t="n"/>
      <c r="GT145" s="253" t="n"/>
      <c r="GU145" s="254" t="n"/>
      <c r="GV145" s="253" t="n"/>
      <c r="GW145" s="252" t="n"/>
      <c r="GX145" s="258" t="n"/>
      <c r="GY145" s="259" t="n"/>
      <c r="GZ145" s="253" t="n"/>
      <c r="HA145" s="252" t="n"/>
      <c r="HB145" s="261" t="n"/>
      <c r="HC145" s="392" t="n"/>
      <c r="HD145" s="253" t="n"/>
      <c r="HE145" s="393" t="n"/>
      <c r="HF145" s="393" t="n"/>
      <c r="HG145" s="252" t="n"/>
      <c r="HH145" s="253" t="n"/>
      <c r="HI145" s="254" t="n"/>
      <c r="HJ145" s="253" t="n"/>
      <c r="HK145" s="252" t="n"/>
      <c r="HL145" s="253" t="n"/>
      <c r="HM145" s="254" t="n"/>
      <c r="HN145" s="253" t="n"/>
      <c r="HO145" s="264" t="n"/>
      <c r="HP145" s="253" t="n"/>
      <c r="HQ145" s="254" t="n"/>
      <c r="HR145" s="253" t="n"/>
      <c r="HS145" s="264" t="n"/>
      <c r="HT145" s="253" t="n"/>
      <c r="HU145" s="55" t="n"/>
      <c r="HV145" s="255" t="n"/>
      <c r="HW145" s="252" t="n"/>
      <c r="HX145" s="256" t="n"/>
      <c r="HY145" s="254" t="n"/>
      <c r="HZ145" s="253" t="n"/>
      <c r="IA145" s="252" t="n"/>
      <c r="IB145" s="257" t="n"/>
      <c r="IC145" s="55" t="n"/>
      <c r="ID145" s="253" t="n"/>
      <c r="IE145" s="252" t="n"/>
      <c r="IF145" s="253" t="n"/>
      <c r="IG145" s="55" t="n"/>
      <c r="IH145" s="253" t="n"/>
      <c r="II145" s="252" t="n"/>
      <c r="IJ145" s="257" t="n"/>
      <c r="IK145" s="55" t="n"/>
      <c r="IL145" s="253" t="n"/>
      <c r="IM145" s="252" t="n"/>
      <c r="IN145" s="253" t="n"/>
      <c r="IO145" s="55" t="n"/>
      <c r="IP145" s="253" t="n"/>
      <c r="IQ145" s="252" t="n"/>
      <c r="IR145" s="253" t="n"/>
      <c r="IS145" s="254" t="n"/>
      <c r="IT145" s="253" t="n"/>
      <c r="IU145" s="252" t="n"/>
      <c r="IV145" s="258" t="n"/>
      <c r="IW145" s="259" t="n"/>
      <c r="IX145" s="253" t="n"/>
      <c r="IY145" s="252" t="n"/>
      <c r="IZ145" s="261" t="n"/>
      <c r="JA145" s="392" t="n"/>
      <c r="JB145" s="253" t="n"/>
      <c r="JC145" s="393" t="n"/>
      <c r="JD145" s="393" t="n"/>
    </row>
    <row r="146">
      <c r="E146" s="248" t="n"/>
      <c r="F146" s="248" t="n"/>
      <c r="G146" s="249" t="n"/>
      <c r="H146" s="250" t="n"/>
      <c r="I146" s="251" t="n"/>
      <c r="J146" s="251" t="n"/>
      <c r="K146" s="251" t="n"/>
      <c r="L146" s="251" t="n"/>
      <c r="M146" s="251" t="n"/>
      <c r="N146" s="251" t="n"/>
      <c r="O146" s="252" t="n"/>
      <c r="P146" s="253" t="n"/>
      <c r="Q146" s="254" t="n"/>
      <c r="R146" s="253" t="n"/>
      <c r="S146" s="252" t="n"/>
      <c r="T146" s="253" t="n"/>
      <c r="U146" s="254" t="n"/>
      <c r="V146" s="253" t="n"/>
      <c r="W146" s="252" t="n"/>
      <c r="X146" s="253" t="n"/>
      <c r="Y146" s="254" t="n"/>
      <c r="Z146" s="253" t="n"/>
      <c r="AA146" s="252" t="n"/>
      <c r="AB146" s="253" t="n"/>
      <c r="AC146" s="55" t="n"/>
      <c r="AD146" s="255" t="n"/>
      <c r="AE146" s="252" t="n"/>
      <c r="AF146" s="256" t="n"/>
      <c r="AG146" s="254" t="n"/>
      <c r="AH146" s="253" t="n"/>
      <c r="AI146" s="252" t="n"/>
      <c r="AJ146" s="257" t="n"/>
      <c r="AK146" s="55" t="n"/>
      <c r="AL146" s="253" t="n"/>
      <c r="AM146" s="252" t="n"/>
      <c r="AN146" s="253" t="n"/>
      <c r="AO146" s="55" t="n"/>
      <c r="AP146" s="253" t="n"/>
      <c r="AQ146" s="252" t="n"/>
      <c r="AR146" s="257" t="n"/>
      <c r="AS146" s="55" t="n"/>
      <c r="AT146" s="253" t="n"/>
      <c r="AU146" s="252" t="n"/>
      <c r="AV146" s="253" t="n"/>
      <c r="AW146" s="55" t="n"/>
      <c r="AX146" s="253" t="n"/>
      <c r="AY146" s="252" t="n"/>
      <c r="AZ146" s="253" t="n"/>
      <c r="BA146" s="254" t="n"/>
      <c r="BB146" s="255" t="n"/>
      <c r="BC146" s="252" t="n"/>
      <c r="BD146" s="258" t="n"/>
      <c r="BE146" s="259" t="n"/>
      <c r="BF146" s="255" t="n"/>
      <c r="BG146" s="260" t="n"/>
      <c r="BH146" s="261" t="n"/>
      <c r="BI146" s="392" t="n"/>
      <c r="BJ146" s="255" t="n"/>
      <c r="BK146" s="393" t="n"/>
      <c r="BL146" s="393" t="n"/>
      <c r="BM146" s="252" t="n"/>
      <c r="BN146" s="253" t="n"/>
      <c r="BO146" s="254" t="n"/>
      <c r="BP146" s="253" t="n"/>
      <c r="BQ146" s="252" t="n"/>
      <c r="BR146" s="253" t="n"/>
      <c r="BS146" s="254" t="n"/>
      <c r="BT146" s="253" t="n"/>
      <c r="BU146" s="264" t="n"/>
      <c r="BV146" s="253" t="n"/>
      <c r="BW146" s="254" t="n"/>
      <c r="BX146" s="253" t="n"/>
      <c r="BY146" s="264" t="n"/>
      <c r="BZ146" s="253" t="n"/>
      <c r="CA146" s="55" t="n"/>
      <c r="CB146" s="255" t="n"/>
      <c r="CC146" s="252" t="n"/>
      <c r="CD146" s="256" t="n"/>
      <c r="CE146" s="55" t="n"/>
      <c r="CF146" s="253" t="n"/>
      <c r="CG146" s="252" t="n"/>
      <c r="CH146" s="257" t="n"/>
      <c r="CI146" s="55" t="n"/>
      <c r="CJ146" s="253" t="n"/>
      <c r="CK146" s="252" t="n"/>
      <c r="CL146" s="253" t="n"/>
      <c r="CM146" s="55" t="n"/>
      <c r="CN146" s="253" t="n"/>
      <c r="CO146" s="252" t="n"/>
      <c r="CP146" s="257" t="n"/>
      <c r="CQ146" s="55" t="n"/>
      <c r="CR146" s="253" t="n"/>
      <c r="CS146" s="252" t="n"/>
      <c r="CT146" s="253" t="n"/>
      <c r="CU146" s="55" t="n"/>
      <c r="CV146" s="253" t="n"/>
      <c r="CW146" s="252" t="n"/>
      <c r="CX146" s="253" t="n"/>
      <c r="CY146" s="254" t="n"/>
      <c r="CZ146" s="253" t="n"/>
      <c r="DA146" s="252" t="n"/>
      <c r="DB146" s="258" t="n"/>
      <c r="DC146" s="259" t="n"/>
      <c r="DD146" s="253" t="n"/>
      <c r="DE146" s="252" t="n"/>
      <c r="DF146" s="261" t="n"/>
      <c r="DG146" s="392" t="n"/>
      <c r="DH146" s="253" t="n"/>
      <c r="DI146" s="393" t="n"/>
      <c r="DJ146" s="393" t="n"/>
      <c r="DK146" s="252" t="n"/>
      <c r="DL146" s="253" t="n"/>
      <c r="DM146" s="254" t="n"/>
      <c r="DN146" s="253" t="n"/>
      <c r="DO146" s="252" t="n"/>
      <c r="DP146" s="253" t="n"/>
      <c r="DQ146" s="254" t="n"/>
      <c r="DR146" s="253" t="n"/>
      <c r="DS146" s="264" t="n"/>
      <c r="DT146" s="253" t="n"/>
      <c r="DU146" s="254" t="n"/>
      <c r="DV146" s="253" t="n"/>
      <c r="DW146" s="264" t="n"/>
      <c r="DX146" s="253" t="n"/>
      <c r="DY146" s="55" t="n"/>
      <c r="DZ146" s="255" t="n"/>
      <c r="EA146" s="252" t="n"/>
      <c r="EB146" s="256" t="n"/>
      <c r="EC146" s="254" t="n"/>
      <c r="ED146" s="253" t="n"/>
      <c r="EE146" s="252" t="n"/>
      <c r="EF146" s="257" t="n"/>
      <c r="EG146" s="55" t="n"/>
      <c r="EH146" s="253" t="n"/>
      <c r="EI146" s="252" t="n"/>
      <c r="EJ146" s="253" t="n"/>
      <c r="EK146" s="55" t="n"/>
      <c r="EL146" s="253" t="n"/>
      <c r="EM146" s="252" t="n"/>
      <c r="EN146" s="257" t="n"/>
      <c r="EO146" s="55" t="n"/>
      <c r="EP146" s="253" t="n"/>
      <c r="EQ146" s="252" t="n"/>
      <c r="ER146" s="253" t="n"/>
      <c r="ES146" s="55" t="n"/>
      <c r="ET146" s="253" t="n"/>
      <c r="EU146" s="252" t="n"/>
      <c r="EV146" s="253" t="n"/>
      <c r="EW146" s="254" t="n"/>
      <c r="EX146" s="253" t="n"/>
      <c r="EY146" s="252" t="n"/>
      <c r="EZ146" s="258" t="n"/>
      <c r="FA146" s="259" t="n"/>
      <c r="FB146" s="253" t="n"/>
      <c r="FC146" s="252" t="n"/>
      <c r="FD146" s="261" t="n"/>
      <c r="FE146" s="392" t="n"/>
      <c r="FF146" s="253" t="n"/>
      <c r="FG146" s="393" t="n"/>
      <c r="FH146" s="393" t="n"/>
      <c r="FI146" s="252" t="n"/>
      <c r="FJ146" s="253" t="n"/>
      <c r="FK146" s="254" t="n"/>
      <c r="FL146" s="253" t="n"/>
      <c r="FM146" s="252" t="n"/>
      <c r="FN146" s="253" t="n"/>
      <c r="FO146" s="254" t="n"/>
      <c r="FP146" s="253" t="n"/>
      <c r="FQ146" s="264" t="n"/>
      <c r="FR146" s="253" t="n"/>
      <c r="FS146" s="254" t="n"/>
      <c r="FT146" s="253" t="n"/>
      <c r="FU146" s="264" t="n"/>
      <c r="FV146" s="253" t="n"/>
      <c r="FW146" s="55" t="n"/>
      <c r="FX146" s="255" t="n"/>
      <c r="FY146" s="252" t="n"/>
      <c r="FZ146" s="256" t="n"/>
      <c r="GA146" s="254" t="n"/>
      <c r="GB146" s="253" t="n"/>
      <c r="GC146" s="252" t="n"/>
      <c r="GD146" s="257" t="n"/>
      <c r="GE146" s="55" t="n"/>
      <c r="GF146" s="253" t="n"/>
      <c r="GG146" s="252" t="n"/>
      <c r="GH146" s="253" t="n"/>
      <c r="GI146" s="55" t="n"/>
      <c r="GJ146" s="253" t="n"/>
      <c r="GK146" s="252" t="n"/>
      <c r="GL146" s="257" t="n"/>
      <c r="GM146" s="55" t="n"/>
      <c r="GN146" s="253" t="n"/>
      <c r="GO146" s="252" t="n"/>
      <c r="GP146" s="253" t="n"/>
      <c r="GQ146" s="55" t="n"/>
      <c r="GR146" s="253" t="n"/>
      <c r="GS146" s="252" t="n"/>
      <c r="GT146" s="253" t="n"/>
      <c r="GU146" s="254" t="n"/>
      <c r="GV146" s="253" t="n"/>
      <c r="GW146" s="252" t="n"/>
      <c r="GX146" s="258" t="n"/>
      <c r="GY146" s="259" t="n"/>
      <c r="GZ146" s="253" t="n"/>
      <c r="HA146" s="252" t="n"/>
      <c r="HB146" s="261" t="n"/>
      <c r="HC146" s="392" t="n"/>
      <c r="HD146" s="253" t="n"/>
      <c r="HE146" s="393" t="n"/>
      <c r="HF146" s="393" t="n"/>
      <c r="HG146" s="252" t="n"/>
      <c r="HH146" s="253" t="n"/>
      <c r="HI146" s="254" t="n"/>
      <c r="HJ146" s="253" t="n"/>
      <c r="HK146" s="252" t="n"/>
      <c r="HL146" s="253" t="n"/>
      <c r="HM146" s="254" t="n"/>
      <c r="HN146" s="253" t="n"/>
      <c r="HO146" s="264" t="n"/>
      <c r="HP146" s="253" t="n"/>
      <c r="HQ146" s="254" t="n"/>
      <c r="HR146" s="253" t="n"/>
      <c r="HS146" s="264" t="n"/>
      <c r="HT146" s="253" t="n"/>
      <c r="HU146" s="55" t="n"/>
      <c r="HV146" s="255" t="n"/>
      <c r="HW146" s="252" t="n"/>
      <c r="HX146" s="256" t="n"/>
      <c r="HY146" s="254" t="n"/>
      <c r="HZ146" s="253" t="n"/>
      <c r="IA146" s="252" t="n"/>
      <c r="IB146" s="257" t="n"/>
      <c r="IC146" s="55" t="n"/>
      <c r="ID146" s="253" t="n"/>
      <c r="IE146" s="252" t="n"/>
      <c r="IF146" s="253" t="n"/>
      <c r="IG146" s="55" t="n"/>
      <c r="IH146" s="253" t="n"/>
      <c r="II146" s="252" t="n"/>
      <c r="IJ146" s="257" t="n"/>
      <c r="IK146" s="55" t="n"/>
      <c r="IL146" s="253" t="n"/>
      <c r="IM146" s="252" t="n"/>
      <c r="IN146" s="253" t="n"/>
      <c r="IO146" s="55" t="n"/>
      <c r="IP146" s="253" t="n"/>
      <c r="IQ146" s="252" t="n"/>
      <c r="IR146" s="253" t="n"/>
      <c r="IS146" s="254" t="n"/>
      <c r="IT146" s="253" t="n"/>
      <c r="IU146" s="252" t="n"/>
      <c r="IV146" s="258" t="n"/>
      <c r="IW146" s="259" t="n"/>
      <c r="IX146" s="253" t="n"/>
      <c r="IY146" s="252" t="n"/>
      <c r="IZ146" s="261" t="n"/>
      <c r="JA146" s="392" t="n"/>
      <c r="JB146" s="253" t="n"/>
      <c r="JC146" s="393" t="n"/>
      <c r="JD146" s="393" t="n"/>
    </row>
    <row r="147">
      <c r="E147" s="248" t="n"/>
      <c r="F147" s="248" t="n"/>
      <c r="G147" s="249" t="n"/>
      <c r="H147" s="250" t="n"/>
      <c r="I147" s="251" t="n"/>
      <c r="J147" s="251" t="n"/>
      <c r="K147" s="251" t="n"/>
      <c r="L147" s="251" t="n"/>
      <c r="M147" s="251" t="n"/>
      <c r="N147" s="251" t="n"/>
      <c r="O147" s="252" t="n"/>
      <c r="P147" s="253" t="n"/>
      <c r="Q147" s="254" t="n"/>
      <c r="R147" s="253" t="n"/>
      <c r="S147" s="252" t="n"/>
      <c r="T147" s="253" t="n"/>
      <c r="U147" s="254" t="n"/>
      <c r="V147" s="253" t="n"/>
      <c r="W147" s="252" t="n"/>
      <c r="X147" s="253" t="n"/>
      <c r="Y147" s="254" t="n"/>
      <c r="Z147" s="253" t="n"/>
      <c r="AA147" s="252" t="n"/>
      <c r="AB147" s="253" t="n"/>
      <c r="AC147" s="55" t="n"/>
      <c r="AD147" s="255" t="n"/>
      <c r="AE147" s="252" t="n"/>
      <c r="AF147" s="256" t="n"/>
      <c r="AG147" s="254" t="n"/>
      <c r="AH147" s="253" t="n"/>
      <c r="AI147" s="252" t="n"/>
      <c r="AJ147" s="257" t="n"/>
      <c r="AK147" s="55" t="n"/>
      <c r="AL147" s="253" t="n"/>
      <c r="AM147" s="252" t="n"/>
      <c r="AN147" s="253" t="n"/>
      <c r="AO147" s="55" t="n"/>
      <c r="AP147" s="253" t="n"/>
      <c r="AQ147" s="252" t="n"/>
      <c r="AR147" s="257" t="n"/>
      <c r="AS147" s="55" t="n"/>
      <c r="AT147" s="253" t="n"/>
      <c r="AU147" s="252" t="n"/>
      <c r="AV147" s="253" t="n"/>
      <c r="AW147" s="55" t="n"/>
      <c r="AX147" s="253" t="n"/>
      <c r="AY147" s="252" t="n"/>
      <c r="AZ147" s="253" t="n"/>
      <c r="BA147" s="254" t="n"/>
      <c r="BB147" s="255" t="n"/>
      <c r="BC147" s="252" t="n"/>
      <c r="BD147" s="258" t="n"/>
      <c r="BE147" s="259" t="n"/>
      <c r="BF147" s="255" t="n"/>
      <c r="BG147" s="260" t="n"/>
      <c r="BH147" s="261" t="n"/>
      <c r="BI147" s="392" t="n"/>
      <c r="BJ147" s="255" t="n"/>
      <c r="BK147" s="393" t="n"/>
      <c r="BL147" s="393" t="n"/>
      <c r="BM147" s="252" t="n"/>
      <c r="BN147" s="253" t="n"/>
      <c r="BO147" s="254" t="n"/>
      <c r="BP147" s="253" t="n"/>
      <c r="BQ147" s="252" t="n"/>
      <c r="BR147" s="253" t="n"/>
      <c r="BS147" s="254" t="n"/>
      <c r="BT147" s="253" t="n"/>
      <c r="BU147" s="264" t="n"/>
      <c r="BV147" s="253" t="n"/>
      <c r="BW147" s="254" t="n"/>
      <c r="BX147" s="253" t="n"/>
      <c r="BY147" s="264" t="n"/>
      <c r="BZ147" s="253" t="n"/>
      <c r="CA147" s="55" t="n"/>
      <c r="CB147" s="255" t="n"/>
      <c r="CC147" s="252" t="n"/>
      <c r="CD147" s="256" t="n"/>
      <c r="CE147" s="55" t="n"/>
      <c r="CF147" s="253" t="n"/>
      <c r="CG147" s="252" t="n"/>
      <c r="CH147" s="257" t="n"/>
      <c r="CI147" s="55" t="n"/>
      <c r="CJ147" s="253" t="n"/>
      <c r="CK147" s="252" t="n"/>
      <c r="CL147" s="253" t="n"/>
      <c r="CM147" s="55" t="n"/>
      <c r="CN147" s="253" t="n"/>
      <c r="CO147" s="252" t="n"/>
      <c r="CP147" s="257" t="n"/>
      <c r="CQ147" s="55" t="n"/>
      <c r="CR147" s="253" t="n"/>
      <c r="CS147" s="252" t="n"/>
      <c r="CT147" s="253" t="n"/>
      <c r="CU147" s="55" t="n"/>
      <c r="CV147" s="253" t="n"/>
      <c r="CW147" s="252" t="n"/>
      <c r="CX147" s="253" t="n"/>
      <c r="CY147" s="254" t="n"/>
      <c r="CZ147" s="253" t="n"/>
      <c r="DA147" s="252" t="n"/>
      <c r="DB147" s="258" t="n"/>
      <c r="DC147" s="259" t="n"/>
      <c r="DD147" s="253" t="n"/>
      <c r="DE147" s="252" t="n"/>
      <c r="DF147" s="261" t="n"/>
      <c r="DG147" s="392" t="n"/>
      <c r="DH147" s="253" t="n"/>
      <c r="DI147" s="393" t="n"/>
      <c r="DJ147" s="393" t="n"/>
      <c r="DK147" s="252" t="n"/>
      <c r="DL147" s="253" t="n"/>
      <c r="DM147" s="254" t="n"/>
      <c r="DN147" s="253" t="n"/>
      <c r="DO147" s="252" t="n"/>
      <c r="DP147" s="253" t="n"/>
      <c r="DQ147" s="254" t="n"/>
      <c r="DR147" s="253" t="n"/>
      <c r="DS147" s="264" t="n"/>
      <c r="DT147" s="253" t="n"/>
      <c r="DU147" s="254" t="n"/>
      <c r="DV147" s="253" t="n"/>
      <c r="DW147" s="264" t="n"/>
      <c r="DX147" s="253" t="n"/>
      <c r="DY147" s="55" t="n"/>
      <c r="DZ147" s="255" t="n"/>
      <c r="EA147" s="252" t="n"/>
      <c r="EB147" s="256" t="n"/>
      <c r="EC147" s="254" t="n"/>
      <c r="ED147" s="253" t="n"/>
      <c r="EE147" s="252" t="n"/>
      <c r="EF147" s="257" t="n"/>
      <c r="EG147" s="55" t="n"/>
      <c r="EH147" s="253" t="n"/>
      <c r="EI147" s="252" t="n"/>
      <c r="EJ147" s="253" t="n"/>
      <c r="EK147" s="55" t="n"/>
      <c r="EL147" s="253" t="n"/>
      <c r="EM147" s="252" t="n"/>
      <c r="EN147" s="257" t="n"/>
      <c r="EO147" s="55" t="n"/>
      <c r="EP147" s="253" t="n"/>
      <c r="EQ147" s="252" t="n"/>
      <c r="ER147" s="253" t="n"/>
      <c r="ES147" s="55" t="n"/>
      <c r="ET147" s="253" t="n"/>
      <c r="EU147" s="252" t="n"/>
      <c r="EV147" s="253" t="n"/>
      <c r="EW147" s="254" t="n"/>
      <c r="EX147" s="253" t="n"/>
      <c r="EY147" s="252" t="n"/>
      <c r="EZ147" s="258" t="n"/>
      <c r="FA147" s="259" t="n"/>
      <c r="FB147" s="253" t="n"/>
      <c r="FC147" s="252" t="n"/>
      <c r="FD147" s="261" t="n"/>
      <c r="FE147" s="392" t="n"/>
      <c r="FF147" s="253" t="n"/>
      <c r="FG147" s="393" t="n"/>
      <c r="FH147" s="393" t="n"/>
      <c r="FI147" s="252" t="n"/>
      <c r="FJ147" s="253" t="n"/>
      <c r="FK147" s="254" t="n"/>
      <c r="FL147" s="253" t="n"/>
      <c r="FM147" s="252" t="n"/>
      <c r="FN147" s="253" t="n"/>
      <c r="FO147" s="254" t="n"/>
      <c r="FP147" s="253" t="n"/>
      <c r="FQ147" s="264" t="n"/>
      <c r="FR147" s="253" t="n"/>
      <c r="FS147" s="254" t="n"/>
      <c r="FT147" s="253" t="n"/>
      <c r="FU147" s="264" t="n"/>
      <c r="FV147" s="253" t="n"/>
      <c r="FW147" s="55" t="n"/>
      <c r="FX147" s="255" t="n"/>
      <c r="FY147" s="252" t="n"/>
      <c r="FZ147" s="256" t="n"/>
      <c r="GA147" s="254" t="n"/>
      <c r="GB147" s="253" t="n"/>
      <c r="GC147" s="252" t="n"/>
      <c r="GD147" s="257" t="n"/>
      <c r="GE147" s="55" t="n"/>
      <c r="GF147" s="253" t="n"/>
      <c r="GG147" s="252" t="n"/>
      <c r="GH147" s="253" t="n"/>
      <c r="GI147" s="55" t="n"/>
      <c r="GJ147" s="253" t="n"/>
      <c r="GK147" s="252" t="n"/>
      <c r="GL147" s="257" t="n"/>
      <c r="GM147" s="55" t="n"/>
      <c r="GN147" s="253" t="n"/>
      <c r="GO147" s="252" t="n"/>
      <c r="GP147" s="253" t="n"/>
      <c r="GQ147" s="55" t="n"/>
      <c r="GR147" s="253" t="n"/>
      <c r="GS147" s="252" t="n"/>
      <c r="GT147" s="253" t="n"/>
      <c r="GU147" s="254" t="n"/>
      <c r="GV147" s="253" t="n"/>
      <c r="GW147" s="252" t="n"/>
      <c r="GX147" s="258" t="n"/>
      <c r="GY147" s="259" t="n"/>
      <c r="GZ147" s="253" t="n"/>
      <c r="HA147" s="252" t="n"/>
      <c r="HB147" s="261" t="n"/>
      <c r="HC147" s="392" t="n"/>
      <c r="HD147" s="253" t="n"/>
      <c r="HE147" s="393" t="n"/>
      <c r="HF147" s="393" t="n"/>
      <c r="HG147" s="252" t="n"/>
      <c r="HH147" s="253" t="n"/>
      <c r="HI147" s="254" t="n"/>
      <c r="HJ147" s="253" t="n"/>
      <c r="HK147" s="252" t="n"/>
      <c r="HL147" s="253" t="n"/>
      <c r="HM147" s="254" t="n"/>
      <c r="HN147" s="253" t="n"/>
      <c r="HO147" s="264" t="n"/>
      <c r="HP147" s="253" t="n"/>
      <c r="HQ147" s="254" t="n"/>
      <c r="HR147" s="253" t="n"/>
      <c r="HS147" s="264" t="n"/>
      <c r="HT147" s="253" t="n"/>
      <c r="HU147" s="55" t="n"/>
      <c r="HV147" s="255" t="n"/>
      <c r="HW147" s="252" t="n"/>
      <c r="HX147" s="256" t="n"/>
      <c r="HY147" s="254" t="n"/>
      <c r="HZ147" s="253" t="n"/>
      <c r="IA147" s="252" t="n"/>
      <c r="IB147" s="257" t="n"/>
      <c r="IC147" s="55" t="n"/>
      <c r="ID147" s="253" t="n"/>
      <c r="IE147" s="252" t="n"/>
      <c r="IF147" s="253" t="n"/>
      <c r="IG147" s="55" t="n"/>
      <c r="IH147" s="253" t="n"/>
      <c r="II147" s="252" t="n"/>
      <c r="IJ147" s="257" t="n"/>
      <c r="IK147" s="55" t="n"/>
      <c r="IL147" s="253" t="n"/>
      <c r="IM147" s="252" t="n"/>
      <c r="IN147" s="253" t="n"/>
      <c r="IO147" s="55" t="n"/>
      <c r="IP147" s="253" t="n"/>
      <c r="IQ147" s="252" t="n"/>
      <c r="IR147" s="253" t="n"/>
      <c r="IS147" s="254" t="n"/>
      <c r="IT147" s="253" t="n"/>
      <c r="IU147" s="252" t="n"/>
      <c r="IV147" s="258" t="n"/>
      <c r="IW147" s="259" t="n"/>
      <c r="IX147" s="253" t="n"/>
      <c r="IY147" s="252" t="n"/>
      <c r="IZ147" s="261" t="n"/>
      <c r="JA147" s="392" t="n"/>
      <c r="JB147" s="253" t="n"/>
      <c r="JC147" s="393" t="n"/>
      <c r="JD147" s="393" t="n"/>
    </row>
    <row r="148">
      <c r="E148" s="248" t="n"/>
      <c r="F148" s="248" t="n"/>
      <c r="G148" s="249" t="n"/>
      <c r="H148" s="250" t="n"/>
      <c r="I148" s="251" t="n"/>
      <c r="J148" s="251" t="n"/>
      <c r="K148" s="251" t="n"/>
      <c r="L148" s="251" t="n"/>
      <c r="M148" s="251" t="n"/>
      <c r="N148" s="251" t="n"/>
      <c r="O148" s="252" t="n"/>
      <c r="P148" s="253" t="n"/>
      <c r="Q148" s="254" t="n"/>
      <c r="R148" s="253" t="n"/>
      <c r="S148" s="252" t="n"/>
      <c r="T148" s="253" t="n"/>
      <c r="U148" s="254" t="n"/>
      <c r="V148" s="253" t="n"/>
      <c r="W148" s="252" t="n"/>
      <c r="X148" s="253" t="n"/>
      <c r="Y148" s="254" t="n"/>
      <c r="Z148" s="253" t="n"/>
      <c r="AA148" s="252" t="n"/>
      <c r="AB148" s="253" t="n"/>
      <c r="AC148" s="55" t="n"/>
      <c r="AD148" s="255" t="n"/>
      <c r="AE148" s="252" t="n"/>
      <c r="AF148" s="256" t="n"/>
      <c r="AG148" s="254" t="n"/>
      <c r="AH148" s="253" t="n"/>
      <c r="AI148" s="252" t="n"/>
      <c r="AJ148" s="257" t="n"/>
      <c r="AK148" s="55" t="n"/>
      <c r="AL148" s="253" t="n"/>
      <c r="AM148" s="252" t="n"/>
      <c r="AN148" s="253" t="n"/>
      <c r="AO148" s="55" t="n"/>
      <c r="AP148" s="253" t="n"/>
      <c r="AQ148" s="252" t="n"/>
      <c r="AR148" s="257" t="n"/>
      <c r="AS148" s="55" t="n"/>
      <c r="AT148" s="253" t="n"/>
      <c r="AU148" s="252" t="n"/>
      <c r="AV148" s="253" t="n"/>
      <c r="AW148" s="55" t="n"/>
      <c r="AX148" s="253" t="n"/>
      <c r="AY148" s="252" t="n"/>
      <c r="AZ148" s="253" t="n"/>
      <c r="BA148" s="254" t="n"/>
      <c r="BB148" s="255" t="n"/>
      <c r="BC148" s="252" t="n"/>
      <c r="BD148" s="258" t="n"/>
      <c r="BE148" s="259" t="n"/>
      <c r="BF148" s="255" t="n"/>
      <c r="BG148" s="260" t="n"/>
      <c r="BH148" s="261" t="n"/>
      <c r="BI148" s="392" t="n"/>
      <c r="BJ148" s="255" t="n"/>
      <c r="BK148" s="393" t="n"/>
      <c r="BL148" s="393" t="n"/>
      <c r="BM148" s="252" t="n"/>
      <c r="BN148" s="253" t="n"/>
      <c r="BO148" s="254" t="n"/>
      <c r="BP148" s="253" t="n"/>
      <c r="BQ148" s="252" t="n"/>
      <c r="BR148" s="253" t="n"/>
      <c r="BS148" s="254" t="n"/>
      <c r="BT148" s="253" t="n"/>
      <c r="BU148" s="264" t="n"/>
      <c r="BV148" s="253" t="n"/>
      <c r="BW148" s="254" t="n"/>
      <c r="BX148" s="253" t="n"/>
      <c r="BY148" s="264" t="n"/>
      <c r="BZ148" s="253" t="n"/>
      <c r="CA148" s="55" t="n"/>
      <c r="CB148" s="255" t="n"/>
      <c r="CC148" s="252" t="n"/>
      <c r="CD148" s="256" t="n"/>
      <c r="CE148" s="55" t="n"/>
      <c r="CF148" s="253" t="n"/>
      <c r="CG148" s="252" t="n"/>
      <c r="CH148" s="257" t="n"/>
      <c r="CI148" s="55" t="n"/>
      <c r="CJ148" s="253" t="n"/>
      <c r="CK148" s="252" t="n"/>
      <c r="CL148" s="253" t="n"/>
      <c r="CM148" s="55" t="n"/>
      <c r="CN148" s="253" t="n"/>
      <c r="CO148" s="252" t="n"/>
      <c r="CP148" s="257" t="n"/>
      <c r="CQ148" s="55" t="n"/>
      <c r="CR148" s="253" t="n"/>
      <c r="CS148" s="252" t="n"/>
      <c r="CT148" s="253" t="n"/>
      <c r="CU148" s="55" t="n"/>
      <c r="CV148" s="253" t="n"/>
      <c r="CW148" s="252" t="n"/>
      <c r="CX148" s="253" t="n"/>
      <c r="CY148" s="254" t="n"/>
      <c r="CZ148" s="253" t="n"/>
      <c r="DA148" s="252" t="n"/>
      <c r="DB148" s="258" t="n"/>
      <c r="DC148" s="259" t="n"/>
      <c r="DD148" s="253" t="n"/>
      <c r="DE148" s="252" t="n"/>
      <c r="DF148" s="261" t="n"/>
      <c r="DG148" s="392" t="n"/>
      <c r="DH148" s="253" t="n"/>
      <c r="DI148" s="393" t="n"/>
      <c r="DJ148" s="393" t="n"/>
      <c r="DK148" s="252" t="n"/>
      <c r="DL148" s="253" t="n"/>
      <c r="DM148" s="254" t="n"/>
      <c r="DN148" s="253" t="n"/>
      <c r="DO148" s="252" t="n"/>
      <c r="DP148" s="253" t="n"/>
      <c r="DQ148" s="254" t="n"/>
      <c r="DR148" s="253" t="n"/>
      <c r="DS148" s="264" t="n"/>
      <c r="DT148" s="253" t="n"/>
      <c r="DU148" s="254" t="n"/>
      <c r="DV148" s="253" t="n"/>
      <c r="DW148" s="264" t="n"/>
      <c r="DX148" s="253" t="n"/>
      <c r="DY148" s="55" t="n"/>
      <c r="DZ148" s="255" t="n"/>
      <c r="EA148" s="252" t="n"/>
      <c r="EB148" s="256" t="n"/>
      <c r="EC148" s="254" t="n"/>
      <c r="ED148" s="253" t="n"/>
      <c r="EE148" s="252" t="n"/>
      <c r="EF148" s="257" t="n"/>
      <c r="EG148" s="55" t="n"/>
      <c r="EH148" s="253" t="n"/>
      <c r="EI148" s="252" t="n"/>
      <c r="EJ148" s="253" t="n"/>
      <c r="EK148" s="55" t="n"/>
      <c r="EL148" s="253" t="n"/>
      <c r="EM148" s="252" t="n"/>
      <c r="EN148" s="257" t="n"/>
      <c r="EO148" s="55" t="n"/>
      <c r="EP148" s="253" t="n"/>
      <c r="EQ148" s="252" t="n"/>
      <c r="ER148" s="253" t="n"/>
      <c r="ES148" s="55" t="n"/>
      <c r="ET148" s="253" t="n"/>
      <c r="EU148" s="252" t="n"/>
      <c r="EV148" s="253" t="n"/>
      <c r="EW148" s="254" t="n"/>
      <c r="EX148" s="253" t="n"/>
      <c r="EY148" s="252" t="n"/>
      <c r="EZ148" s="258" t="n"/>
      <c r="FA148" s="259" t="n"/>
      <c r="FB148" s="253" t="n"/>
      <c r="FC148" s="252" t="n"/>
      <c r="FD148" s="261" t="n"/>
      <c r="FE148" s="392" t="n"/>
      <c r="FF148" s="253" t="n"/>
      <c r="FG148" s="393" t="n"/>
      <c r="FH148" s="393" t="n"/>
      <c r="FI148" s="252" t="n"/>
      <c r="FJ148" s="253" t="n"/>
      <c r="FK148" s="254" t="n"/>
      <c r="FL148" s="253" t="n"/>
      <c r="FM148" s="252" t="n"/>
      <c r="FN148" s="253" t="n"/>
      <c r="FO148" s="254" t="n"/>
      <c r="FP148" s="253" t="n"/>
      <c r="FQ148" s="264" t="n"/>
      <c r="FR148" s="253" t="n"/>
      <c r="FS148" s="254" t="n"/>
      <c r="FT148" s="253" t="n"/>
      <c r="FU148" s="264" t="n"/>
      <c r="FV148" s="253" t="n"/>
      <c r="FW148" s="55" t="n"/>
      <c r="FX148" s="255" t="n"/>
      <c r="FY148" s="252" t="n"/>
      <c r="FZ148" s="256" t="n"/>
      <c r="GA148" s="254" t="n"/>
      <c r="GB148" s="253" t="n"/>
      <c r="GC148" s="252" t="n"/>
      <c r="GD148" s="257" t="n"/>
      <c r="GE148" s="55" t="n"/>
      <c r="GF148" s="253" t="n"/>
      <c r="GG148" s="252" t="n"/>
      <c r="GH148" s="253" t="n"/>
      <c r="GI148" s="55" t="n"/>
      <c r="GJ148" s="253" t="n"/>
      <c r="GK148" s="252" t="n"/>
      <c r="GL148" s="257" t="n"/>
      <c r="GM148" s="55" t="n"/>
      <c r="GN148" s="253" t="n"/>
      <c r="GO148" s="252" t="n"/>
      <c r="GP148" s="253" t="n"/>
      <c r="GQ148" s="55" t="n"/>
      <c r="GR148" s="253" t="n"/>
      <c r="GS148" s="252" t="n"/>
      <c r="GT148" s="253" t="n"/>
      <c r="GU148" s="254" t="n"/>
      <c r="GV148" s="253" t="n"/>
      <c r="GW148" s="252" t="n"/>
      <c r="GX148" s="258" t="n"/>
      <c r="GY148" s="259" t="n"/>
      <c r="GZ148" s="253" t="n"/>
      <c r="HA148" s="252" t="n"/>
      <c r="HB148" s="261" t="n"/>
      <c r="HC148" s="392" t="n"/>
      <c r="HD148" s="253" t="n"/>
      <c r="HE148" s="393" t="n"/>
      <c r="HF148" s="393" t="n"/>
      <c r="HG148" s="252" t="n"/>
      <c r="HH148" s="253" t="n"/>
      <c r="HI148" s="254" t="n"/>
      <c r="HJ148" s="253" t="n"/>
      <c r="HK148" s="252" t="n"/>
      <c r="HL148" s="253" t="n"/>
      <c r="HM148" s="254" t="n"/>
      <c r="HN148" s="253" t="n"/>
      <c r="HO148" s="264" t="n"/>
      <c r="HP148" s="253" t="n"/>
      <c r="HQ148" s="254" t="n"/>
      <c r="HR148" s="253" t="n"/>
      <c r="HS148" s="264" t="n"/>
      <c r="HT148" s="253" t="n"/>
      <c r="HU148" s="55" t="n"/>
      <c r="HV148" s="255" t="n"/>
      <c r="HW148" s="252" t="n"/>
      <c r="HX148" s="256" t="n"/>
      <c r="HY148" s="254" t="n"/>
      <c r="HZ148" s="253" t="n"/>
      <c r="IA148" s="252" t="n"/>
      <c r="IB148" s="257" t="n"/>
      <c r="IC148" s="55" t="n"/>
      <c r="ID148" s="253" t="n"/>
      <c r="IE148" s="252" t="n"/>
      <c r="IF148" s="253" t="n"/>
      <c r="IG148" s="55" t="n"/>
      <c r="IH148" s="253" t="n"/>
      <c r="II148" s="252" t="n"/>
      <c r="IJ148" s="257" t="n"/>
      <c r="IK148" s="55" t="n"/>
      <c r="IL148" s="253" t="n"/>
      <c r="IM148" s="252" t="n"/>
      <c r="IN148" s="253" t="n"/>
      <c r="IO148" s="55" t="n"/>
      <c r="IP148" s="253" t="n"/>
      <c r="IQ148" s="252" t="n"/>
      <c r="IR148" s="253" t="n"/>
      <c r="IS148" s="254" t="n"/>
      <c r="IT148" s="253" t="n"/>
      <c r="IU148" s="252" t="n"/>
      <c r="IV148" s="258" t="n"/>
      <c r="IW148" s="259" t="n"/>
      <c r="IX148" s="253" t="n"/>
      <c r="IY148" s="252" t="n"/>
      <c r="IZ148" s="261" t="n"/>
      <c r="JA148" s="392" t="n"/>
      <c r="JB148" s="253" t="n"/>
      <c r="JC148" s="393" t="n"/>
      <c r="JD148" s="393" t="n"/>
    </row>
    <row r="149">
      <c r="E149" s="248" t="n"/>
      <c r="F149" s="248" t="n"/>
      <c r="G149" s="249" t="n"/>
      <c r="H149" s="250" t="n"/>
      <c r="I149" s="251" t="n"/>
      <c r="J149" s="251" t="n"/>
      <c r="K149" s="251" t="n"/>
      <c r="L149" s="251" t="n"/>
      <c r="M149" s="251" t="n"/>
      <c r="N149" s="251" t="n"/>
      <c r="O149" s="252" t="n"/>
      <c r="P149" s="253" t="n"/>
      <c r="Q149" s="254" t="n"/>
      <c r="R149" s="253" t="n"/>
      <c r="S149" s="252" t="n"/>
      <c r="T149" s="253" t="n"/>
      <c r="U149" s="254" t="n"/>
      <c r="V149" s="253" t="n"/>
      <c r="W149" s="252" t="n"/>
      <c r="X149" s="253" t="n"/>
      <c r="Y149" s="254" t="n"/>
      <c r="Z149" s="253" t="n"/>
      <c r="AA149" s="252" t="n"/>
      <c r="AB149" s="253" t="n"/>
      <c r="AC149" s="55" t="n"/>
      <c r="AD149" s="255" t="n"/>
      <c r="AE149" s="252" t="n"/>
      <c r="AF149" s="256" t="n"/>
      <c r="AG149" s="254" t="n"/>
      <c r="AH149" s="253" t="n"/>
      <c r="AI149" s="252" t="n"/>
      <c r="AJ149" s="257" t="n"/>
      <c r="AK149" s="55" t="n"/>
      <c r="AL149" s="253" t="n"/>
      <c r="AM149" s="252" t="n"/>
      <c r="AN149" s="253" t="n"/>
      <c r="AO149" s="55" t="n"/>
      <c r="AP149" s="253" t="n"/>
      <c r="AQ149" s="252" t="n"/>
      <c r="AR149" s="257" t="n"/>
      <c r="AS149" s="55" t="n"/>
      <c r="AT149" s="253" t="n"/>
      <c r="AU149" s="252" t="n"/>
      <c r="AV149" s="253" t="n"/>
      <c r="AW149" s="55" t="n"/>
      <c r="AX149" s="253" t="n"/>
      <c r="AY149" s="252" t="n"/>
      <c r="AZ149" s="253" t="n"/>
      <c r="BA149" s="254" t="n"/>
      <c r="BB149" s="255" t="n"/>
      <c r="BC149" s="252" t="n"/>
      <c r="BD149" s="258" t="n"/>
      <c r="BE149" s="259" t="n"/>
      <c r="BF149" s="255" t="n"/>
      <c r="BG149" s="260" t="n"/>
      <c r="BH149" s="261" t="n"/>
      <c r="BI149" s="392" t="n"/>
      <c r="BJ149" s="255" t="n"/>
      <c r="BK149" s="393" t="n"/>
      <c r="BL149" s="393" t="n"/>
      <c r="BM149" s="252" t="n"/>
      <c r="BN149" s="253" t="n"/>
      <c r="BO149" s="254" t="n"/>
      <c r="BP149" s="253" t="n"/>
      <c r="BQ149" s="252" t="n"/>
      <c r="BR149" s="253" t="n"/>
      <c r="BS149" s="254" t="n"/>
      <c r="BT149" s="253" t="n"/>
      <c r="BU149" s="264" t="n"/>
      <c r="BV149" s="253" t="n"/>
      <c r="BW149" s="254" t="n"/>
      <c r="BX149" s="253" t="n"/>
      <c r="BY149" s="264" t="n"/>
      <c r="BZ149" s="253" t="n"/>
      <c r="CA149" s="55" t="n"/>
      <c r="CB149" s="255" t="n"/>
      <c r="CC149" s="252" t="n"/>
      <c r="CD149" s="256" t="n"/>
      <c r="CE149" s="55" t="n"/>
      <c r="CF149" s="253" t="n"/>
      <c r="CG149" s="252" t="n"/>
      <c r="CH149" s="257" t="n"/>
      <c r="CI149" s="55" t="n"/>
      <c r="CJ149" s="253" t="n"/>
      <c r="CK149" s="252" t="n"/>
      <c r="CL149" s="253" t="n"/>
      <c r="CM149" s="55" t="n"/>
      <c r="CN149" s="253" t="n"/>
      <c r="CO149" s="252" t="n"/>
      <c r="CP149" s="257" t="n"/>
      <c r="CQ149" s="55" t="n"/>
      <c r="CR149" s="253" t="n"/>
      <c r="CS149" s="252" t="n"/>
      <c r="CT149" s="253" t="n"/>
      <c r="CU149" s="55" t="n"/>
      <c r="CV149" s="253" t="n"/>
      <c r="CW149" s="252" t="n"/>
      <c r="CX149" s="253" t="n"/>
      <c r="CY149" s="254" t="n"/>
      <c r="CZ149" s="253" t="n"/>
      <c r="DA149" s="252" t="n"/>
      <c r="DB149" s="258" t="n"/>
      <c r="DC149" s="259" t="n"/>
      <c r="DD149" s="253" t="n"/>
      <c r="DE149" s="252" t="n"/>
      <c r="DF149" s="261" t="n"/>
      <c r="DG149" s="392" t="n"/>
      <c r="DH149" s="253" t="n"/>
      <c r="DI149" s="393" t="n"/>
      <c r="DJ149" s="393" t="n"/>
      <c r="DK149" s="252" t="n"/>
      <c r="DL149" s="253" t="n"/>
      <c r="DM149" s="254" t="n"/>
      <c r="DN149" s="253" t="n"/>
      <c r="DO149" s="252" t="n"/>
      <c r="DP149" s="253" t="n"/>
      <c r="DQ149" s="254" t="n"/>
      <c r="DR149" s="253" t="n"/>
      <c r="DS149" s="264" t="n"/>
      <c r="DT149" s="253" t="n"/>
      <c r="DU149" s="254" t="n"/>
      <c r="DV149" s="253" t="n"/>
      <c r="DW149" s="264" t="n"/>
      <c r="DX149" s="253" t="n"/>
      <c r="DY149" s="55" t="n"/>
      <c r="DZ149" s="255" t="n"/>
      <c r="EA149" s="252" t="n"/>
      <c r="EB149" s="256" t="n"/>
      <c r="EC149" s="254" t="n"/>
      <c r="ED149" s="253" t="n"/>
      <c r="EE149" s="252" t="n"/>
      <c r="EF149" s="257" t="n"/>
      <c r="EG149" s="55" t="n"/>
      <c r="EH149" s="253" t="n"/>
      <c r="EI149" s="252" t="n"/>
      <c r="EJ149" s="253" t="n"/>
      <c r="EK149" s="55" t="n"/>
      <c r="EL149" s="253" t="n"/>
      <c r="EM149" s="252" t="n"/>
      <c r="EN149" s="257" t="n"/>
      <c r="EO149" s="55" t="n"/>
      <c r="EP149" s="253" t="n"/>
      <c r="EQ149" s="252" t="n"/>
      <c r="ER149" s="253" t="n"/>
      <c r="ES149" s="55" t="n"/>
      <c r="ET149" s="253" t="n"/>
      <c r="EU149" s="252" t="n"/>
      <c r="EV149" s="253" t="n"/>
      <c r="EW149" s="254" t="n"/>
      <c r="EX149" s="253" t="n"/>
      <c r="EY149" s="252" t="n"/>
      <c r="EZ149" s="258" t="n"/>
      <c r="FA149" s="259" t="n"/>
      <c r="FB149" s="253" t="n"/>
      <c r="FC149" s="252" t="n"/>
      <c r="FD149" s="261" t="n"/>
      <c r="FE149" s="392" t="n"/>
      <c r="FF149" s="253" t="n"/>
      <c r="FG149" s="393" t="n"/>
      <c r="FH149" s="393" t="n"/>
      <c r="FI149" s="252" t="n"/>
      <c r="FJ149" s="253" t="n"/>
      <c r="FK149" s="254" t="n"/>
      <c r="FL149" s="253" t="n"/>
      <c r="FM149" s="252" t="n"/>
      <c r="FN149" s="253" t="n"/>
      <c r="FO149" s="254" t="n"/>
      <c r="FP149" s="253" t="n"/>
      <c r="FQ149" s="264" t="n"/>
      <c r="FR149" s="253" t="n"/>
      <c r="FS149" s="254" t="n"/>
      <c r="FT149" s="253" t="n"/>
      <c r="FU149" s="264" t="n"/>
      <c r="FV149" s="253" t="n"/>
      <c r="FW149" s="55" t="n"/>
      <c r="FX149" s="255" t="n"/>
      <c r="FY149" s="252" t="n"/>
      <c r="FZ149" s="256" t="n"/>
      <c r="GA149" s="254" t="n"/>
      <c r="GB149" s="253" t="n"/>
      <c r="GC149" s="252" t="n"/>
      <c r="GD149" s="257" t="n"/>
      <c r="GE149" s="55" t="n"/>
      <c r="GF149" s="253" t="n"/>
      <c r="GG149" s="252" t="n"/>
      <c r="GH149" s="253" t="n"/>
      <c r="GI149" s="55" t="n"/>
      <c r="GJ149" s="253" t="n"/>
      <c r="GK149" s="252" t="n"/>
      <c r="GL149" s="257" t="n"/>
      <c r="GM149" s="55" t="n"/>
      <c r="GN149" s="253" t="n"/>
      <c r="GO149" s="252" t="n"/>
      <c r="GP149" s="253" t="n"/>
      <c r="GQ149" s="55" t="n"/>
      <c r="GR149" s="253" t="n"/>
      <c r="GS149" s="252" t="n"/>
      <c r="GT149" s="253" t="n"/>
      <c r="GU149" s="254" t="n"/>
      <c r="GV149" s="253" t="n"/>
      <c r="GW149" s="252" t="n"/>
      <c r="GX149" s="258" t="n"/>
      <c r="GY149" s="259" t="n"/>
      <c r="GZ149" s="253" t="n"/>
      <c r="HA149" s="252" t="n"/>
      <c r="HB149" s="261" t="n"/>
      <c r="HC149" s="392" t="n"/>
      <c r="HD149" s="253" t="n"/>
      <c r="HE149" s="393" t="n"/>
      <c r="HF149" s="393" t="n"/>
      <c r="HG149" s="252" t="n"/>
      <c r="HH149" s="253" t="n"/>
      <c r="HI149" s="254" t="n"/>
      <c r="HJ149" s="253" t="n"/>
      <c r="HK149" s="252" t="n"/>
      <c r="HL149" s="253" t="n"/>
      <c r="HM149" s="254" t="n"/>
      <c r="HN149" s="253" t="n"/>
      <c r="HO149" s="264" t="n"/>
      <c r="HP149" s="253" t="n"/>
      <c r="HQ149" s="254" t="n"/>
      <c r="HR149" s="253" t="n"/>
      <c r="HS149" s="264" t="n"/>
      <c r="HT149" s="253" t="n"/>
      <c r="HU149" s="55" t="n"/>
      <c r="HV149" s="255" t="n"/>
      <c r="HW149" s="252" t="n"/>
      <c r="HX149" s="256" t="n"/>
      <c r="HY149" s="254" t="n"/>
      <c r="HZ149" s="253" t="n"/>
      <c r="IA149" s="252" t="n"/>
      <c r="IB149" s="257" t="n"/>
      <c r="IC149" s="55" t="n"/>
      <c r="ID149" s="253" t="n"/>
      <c r="IE149" s="252" t="n"/>
      <c r="IF149" s="253" t="n"/>
      <c r="IG149" s="55" t="n"/>
      <c r="IH149" s="253" t="n"/>
      <c r="II149" s="252" t="n"/>
      <c r="IJ149" s="257" t="n"/>
      <c r="IK149" s="55" t="n"/>
      <c r="IL149" s="253" t="n"/>
      <c r="IM149" s="252" t="n"/>
      <c r="IN149" s="253" t="n"/>
      <c r="IO149" s="55" t="n"/>
      <c r="IP149" s="253" t="n"/>
      <c r="IQ149" s="252" t="n"/>
      <c r="IR149" s="253" t="n"/>
      <c r="IS149" s="254" t="n"/>
      <c r="IT149" s="253" t="n"/>
      <c r="IU149" s="252" t="n"/>
      <c r="IV149" s="258" t="n"/>
      <c r="IW149" s="259" t="n"/>
      <c r="IX149" s="253" t="n"/>
      <c r="IY149" s="252" t="n"/>
      <c r="IZ149" s="261" t="n"/>
      <c r="JA149" s="392" t="n"/>
      <c r="JB149" s="253" t="n"/>
      <c r="JC149" s="393" t="n"/>
      <c r="JD149" s="393" t="n"/>
    </row>
    <row r="150">
      <c r="E150" s="248" t="n"/>
      <c r="F150" s="248" t="n"/>
      <c r="G150" s="249" t="n"/>
      <c r="H150" s="250" t="n"/>
      <c r="I150" s="251" t="n"/>
      <c r="J150" s="251" t="n"/>
      <c r="K150" s="251" t="n"/>
      <c r="L150" s="251" t="n"/>
      <c r="M150" s="251" t="n"/>
      <c r="N150" s="251" t="n"/>
      <c r="O150" s="252" t="n"/>
      <c r="P150" s="253" t="n"/>
      <c r="Q150" s="254" t="n"/>
      <c r="R150" s="253" t="n"/>
      <c r="S150" s="252" t="n"/>
      <c r="T150" s="253" t="n"/>
      <c r="U150" s="254" t="n"/>
      <c r="V150" s="253" t="n"/>
      <c r="W150" s="252" t="n"/>
      <c r="X150" s="253" t="n"/>
      <c r="Y150" s="254" t="n"/>
      <c r="Z150" s="253" t="n"/>
      <c r="AA150" s="252" t="n"/>
      <c r="AB150" s="253" t="n"/>
      <c r="AC150" s="55" t="n"/>
      <c r="AD150" s="255" t="n"/>
      <c r="AE150" s="252" t="n"/>
      <c r="AF150" s="256" t="n"/>
      <c r="AG150" s="254" t="n"/>
      <c r="AH150" s="253" t="n"/>
      <c r="AI150" s="252" t="n"/>
      <c r="AJ150" s="257" t="n"/>
      <c r="AK150" s="55" t="n"/>
      <c r="AL150" s="253" t="n"/>
      <c r="AM150" s="252" t="n"/>
      <c r="AN150" s="253" t="n"/>
      <c r="AO150" s="55" t="n"/>
      <c r="AP150" s="253" t="n"/>
      <c r="AQ150" s="252" t="n"/>
      <c r="AR150" s="257" t="n"/>
      <c r="AS150" s="55" t="n"/>
      <c r="AT150" s="253" t="n"/>
      <c r="AU150" s="252" t="n"/>
      <c r="AV150" s="253" t="n"/>
      <c r="AW150" s="55" t="n"/>
      <c r="AX150" s="253" t="n"/>
      <c r="AY150" s="252" t="n"/>
      <c r="AZ150" s="253" t="n"/>
      <c r="BA150" s="254" t="n"/>
      <c r="BB150" s="255" t="n"/>
      <c r="BC150" s="252" t="n"/>
      <c r="BD150" s="258" t="n"/>
      <c r="BE150" s="259" t="n"/>
      <c r="BF150" s="255" t="n"/>
      <c r="BG150" s="260" t="n"/>
      <c r="BH150" s="261" t="n"/>
      <c r="BI150" s="392" t="n"/>
      <c r="BJ150" s="255" t="n"/>
      <c r="BK150" s="393" t="n"/>
      <c r="BL150" s="393" t="n"/>
      <c r="BM150" s="252" t="n"/>
      <c r="BN150" s="253" t="n"/>
      <c r="BO150" s="254" t="n"/>
      <c r="BP150" s="253" t="n"/>
      <c r="BQ150" s="252" t="n"/>
      <c r="BR150" s="253" t="n"/>
      <c r="BS150" s="254" t="n"/>
      <c r="BT150" s="253" t="n"/>
      <c r="BU150" s="264" t="n"/>
      <c r="BV150" s="253" t="n"/>
      <c r="BW150" s="254" t="n"/>
      <c r="BX150" s="253" t="n"/>
      <c r="BY150" s="264" t="n"/>
      <c r="BZ150" s="253" t="n"/>
      <c r="CA150" s="55" t="n"/>
      <c r="CB150" s="255" t="n"/>
      <c r="CC150" s="252" t="n"/>
      <c r="CD150" s="256" t="n"/>
      <c r="CE150" s="55" t="n"/>
      <c r="CF150" s="253" t="n"/>
      <c r="CG150" s="252" t="n"/>
      <c r="CH150" s="257" t="n"/>
      <c r="CI150" s="55" t="n"/>
      <c r="CJ150" s="253" t="n"/>
      <c r="CK150" s="252" t="n"/>
      <c r="CL150" s="253" t="n"/>
      <c r="CM150" s="55" t="n"/>
      <c r="CN150" s="253" t="n"/>
      <c r="CO150" s="252" t="n"/>
      <c r="CP150" s="257" t="n"/>
      <c r="CQ150" s="55" t="n"/>
      <c r="CR150" s="253" t="n"/>
      <c r="CS150" s="252" t="n"/>
      <c r="CT150" s="253" t="n"/>
      <c r="CU150" s="55" t="n"/>
      <c r="CV150" s="253" t="n"/>
      <c r="CW150" s="252" t="n"/>
      <c r="CX150" s="253" t="n"/>
      <c r="CY150" s="254" t="n"/>
      <c r="CZ150" s="253" t="n"/>
      <c r="DA150" s="252" t="n"/>
      <c r="DB150" s="258" t="n"/>
      <c r="DC150" s="259" t="n"/>
      <c r="DD150" s="253" t="n"/>
      <c r="DE150" s="252" t="n"/>
      <c r="DF150" s="261" t="n"/>
      <c r="DG150" s="392" t="n"/>
      <c r="DH150" s="253" t="n"/>
      <c r="DI150" s="393" t="n"/>
      <c r="DJ150" s="393" t="n"/>
      <c r="DK150" s="252" t="n"/>
      <c r="DL150" s="253" t="n"/>
      <c r="DM150" s="254" t="n"/>
      <c r="DN150" s="253" t="n"/>
      <c r="DO150" s="252" t="n"/>
      <c r="DP150" s="253" t="n"/>
      <c r="DQ150" s="254" t="n"/>
      <c r="DR150" s="253" t="n"/>
      <c r="DS150" s="264" t="n"/>
      <c r="DT150" s="253" t="n"/>
      <c r="DU150" s="254" t="n"/>
      <c r="DV150" s="253" t="n"/>
      <c r="DW150" s="264" t="n"/>
      <c r="DX150" s="253" t="n"/>
      <c r="DY150" s="55" t="n"/>
      <c r="DZ150" s="255" t="n"/>
      <c r="EA150" s="252" t="n"/>
      <c r="EB150" s="256" t="n"/>
      <c r="EC150" s="254" t="n"/>
      <c r="ED150" s="253" t="n"/>
      <c r="EE150" s="252" t="n"/>
      <c r="EF150" s="257" t="n"/>
      <c r="EG150" s="55" t="n"/>
      <c r="EH150" s="253" t="n"/>
      <c r="EI150" s="252" t="n"/>
      <c r="EJ150" s="253" t="n"/>
      <c r="EK150" s="55" t="n"/>
      <c r="EL150" s="253" t="n"/>
      <c r="EM150" s="252" t="n"/>
      <c r="EN150" s="257" t="n"/>
      <c r="EO150" s="55" t="n"/>
      <c r="EP150" s="253" t="n"/>
      <c r="EQ150" s="252" t="n"/>
      <c r="ER150" s="253" t="n"/>
      <c r="ES150" s="55" t="n"/>
      <c r="ET150" s="253" t="n"/>
      <c r="EU150" s="252" t="n"/>
      <c r="EV150" s="253" t="n"/>
      <c r="EW150" s="254" t="n"/>
      <c r="EX150" s="253" t="n"/>
      <c r="EY150" s="252" t="n"/>
      <c r="EZ150" s="258" t="n"/>
      <c r="FA150" s="259" t="n"/>
      <c r="FB150" s="253" t="n"/>
      <c r="FC150" s="252" t="n"/>
      <c r="FD150" s="261" t="n"/>
      <c r="FE150" s="392" t="n"/>
      <c r="FF150" s="253" t="n"/>
      <c r="FG150" s="393" t="n"/>
      <c r="FH150" s="393" t="n"/>
      <c r="FI150" s="252" t="n"/>
      <c r="FJ150" s="253" t="n"/>
      <c r="FK150" s="254" t="n"/>
      <c r="FL150" s="253" t="n"/>
      <c r="FM150" s="252" t="n"/>
      <c r="FN150" s="253" t="n"/>
      <c r="FO150" s="254" t="n"/>
      <c r="FP150" s="253" t="n"/>
      <c r="FQ150" s="264" t="n"/>
      <c r="FR150" s="253" t="n"/>
      <c r="FS150" s="254" t="n"/>
      <c r="FT150" s="253" t="n"/>
      <c r="FU150" s="264" t="n"/>
      <c r="FV150" s="253" t="n"/>
      <c r="FW150" s="55" t="n"/>
      <c r="FX150" s="255" t="n"/>
      <c r="FY150" s="252" t="n"/>
      <c r="FZ150" s="256" t="n"/>
      <c r="GA150" s="254" t="n"/>
      <c r="GB150" s="253" t="n"/>
      <c r="GC150" s="252" t="n"/>
      <c r="GD150" s="257" t="n"/>
      <c r="GE150" s="55" t="n"/>
      <c r="GF150" s="253" t="n"/>
      <c r="GG150" s="252" t="n"/>
      <c r="GH150" s="253" t="n"/>
      <c r="GI150" s="55" t="n"/>
      <c r="GJ150" s="253" t="n"/>
      <c r="GK150" s="252" t="n"/>
      <c r="GL150" s="257" t="n"/>
      <c r="GM150" s="55" t="n"/>
      <c r="GN150" s="253" t="n"/>
      <c r="GO150" s="252" t="n"/>
      <c r="GP150" s="253" t="n"/>
      <c r="GQ150" s="55" t="n"/>
      <c r="GR150" s="253" t="n"/>
      <c r="GS150" s="252" t="n"/>
      <c r="GT150" s="253" t="n"/>
      <c r="GU150" s="254" t="n"/>
      <c r="GV150" s="253" t="n"/>
      <c r="GW150" s="252" t="n"/>
      <c r="GX150" s="258" t="n"/>
      <c r="GY150" s="259" t="n"/>
      <c r="GZ150" s="253" t="n"/>
      <c r="HA150" s="252" t="n"/>
      <c r="HB150" s="261" t="n"/>
      <c r="HC150" s="392" t="n"/>
      <c r="HD150" s="253" t="n"/>
      <c r="HE150" s="393" t="n"/>
      <c r="HF150" s="393" t="n"/>
      <c r="HG150" s="252" t="n"/>
      <c r="HH150" s="253" t="n"/>
      <c r="HI150" s="254" t="n"/>
      <c r="HJ150" s="253" t="n"/>
      <c r="HK150" s="252" t="n"/>
      <c r="HL150" s="253" t="n"/>
      <c r="HM150" s="254" t="n"/>
      <c r="HN150" s="253" t="n"/>
      <c r="HO150" s="264" t="n"/>
      <c r="HP150" s="253" t="n"/>
      <c r="HQ150" s="254" t="n"/>
      <c r="HR150" s="253" t="n"/>
      <c r="HS150" s="264" t="n"/>
      <c r="HT150" s="253" t="n"/>
      <c r="HU150" s="55" t="n"/>
      <c r="HV150" s="255" t="n"/>
      <c r="HW150" s="252" t="n"/>
      <c r="HX150" s="256" t="n"/>
      <c r="HY150" s="254" t="n"/>
      <c r="HZ150" s="253" t="n"/>
      <c r="IA150" s="252" t="n"/>
      <c r="IB150" s="257" t="n"/>
      <c r="IC150" s="55" t="n"/>
      <c r="ID150" s="253" t="n"/>
      <c r="IE150" s="252" t="n"/>
      <c r="IF150" s="253" t="n"/>
      <c r="IG150" s="55" t="n"/>
      <c r="IH150" s="253" t="n"/>
      <c r="II150" s="252" t="n"/>
      <c r="IJ150" s="257" t="n"/>
      <c r="IK150" s="55" t="n"/>
      <c r="IL150" s="253" t="n"/>
      <c r="IM150" s="252" t="n"/>
      <c r="IN150" s="253" t="n"/>
      <c r="IO150" s="55" t="n"/>
      <c r="IP150" s="253" t="n"/>
      <c r="IQ150" s="252" t="n"/>
      <c r="IR150" s="253" t="n"/>
      <c r="IS150" s="254" t="n"/>
      <c r="IT150" s="253" t="n"/>
      <c r="IU150" s="252" t="n"/>
      <c r="IV150" s="258" t="n"/>
      <c r="IW150" s="259" t="n"/>
      <c r="IX150" s="253" t="n"/>
      <c r="IY150" s="252" t="n"/>
      <c r="IZ150" s="261" t="n"/>
      <c r="JA150" s="392" t="n"/>
      <c r="JB150" s="253" t="n"/>
      <c r="JC150" s="393" t="n"/>
      <c r="JD150" s="393" t="n"/>
    </row>
    <row r="151">
      <c r="E151" s="248" t="n"/>
      <c r="F151" s="248" t="n"/>
      <c r="G151" s="249" t="n"/>
      <c r="H151" s="250" t="n"/>
      <c r="I151" s="251" t="n"/>
      <c r="J151" s="251" t="n"/>
      <c r="K151" s="251" t="n"/>
      <c r="L151" s="251" t="n"/>
      <c r="M151" s="251" t="n"/>
      <c r="N151" s="251" t="n"/>
      <c r="O151" s="252" t="n"/>
      <c r="P151" s="253" t="n"/>
      <c r="Q151" s="254" t="n"/>
      <c r="R151" s="253" t="n"/>
      <c r="S151" s="252" t="n"/>
      <c r="T151" s="253" t="n"/>
      <c r="U151" s="254" t="n"/>
      <c r="V151" s="253" t="n"/>
      <c r="W151" s="252" t="n"/>
      <c r="X151" s="253" t="n"/>
      <c r="Y151" s="254" t="n"/>
      <c r="Z151" s="253" t="n"/>
      <c r="AA151" s="252" t="n"/>
      <c r="AB151" s="253" t="n"/>
      <c r="AC151" s="55" t="n"/>
      <c r="AD151" s="255" t="n"/>
      <c r="AE151" s="252" t="n"/>
      <c r="AF151" s="256" t="n"/>
      <c r="AG151" s="254" t="n"/>
      <c r="AH151" s="253" t="n"/>
      <c r="AI151" s="252" t="n"/>
      <c r="AJ151" s="257" t="n"/>
      <c r="AK151" s="55" t="n"/>
      <c r="AL151" s="253" t="n"/>
      <c r="AM151" s="252" t="n"/>
      <c r="AN151" s="253" t="n"/>
      <c r="AO151" s="55" t="n"/>
      <c r="AP151" s="253" t="n"/>
      <c r="AQ151" s="252" t="n"/>
      <c r="AR151" s="257" t="n"/>
      <c r="AS151" s="55" t="n"/>
      <c r="AT151" s="253" t="n"/>
      <c r="AU151" s="252" t="n"/>
      <c r="AV151" s="253" t="n"/>
      <c r="AW151" s="55" t="n"/>
      <c r="AX151" s="253" t="n"/>
      <c r="AY151" s="252" t="n"/>
      <c r="AZ151" s="253" t="n"/>
      <c r="BA151" s="254" t="n"/>
      <c r="BB151" s="255" t="n"/>
      <c r="BC151" s="252" t="n"/>
      <c r="BD151" s="258" t="n"/>
      <c r="BE151" s="259" t="n"/>
      <c r="BF151" s="255" t="n"/>
      <c r="BG151" s="260" t="n"/>
      <c r="BH151" s="261" t="n"/>
      <c r="BI151" s="392" t="n"/>
      <c r="BJ151" s="255" t="n"/>
      <c r="BK151" s="393" t="n"/>
      <c r="BL151" s="393" t="n"/>
      <c r="BM151" s="252" t="n"/>
      <c r="BN151" s="253" t="n"/>
      <c r="BO151" s="254" t="n"/>
      <c r="BP151" s="253" t="n"/>
      <c r="BQ151" s="252" t="n"/>
      <c r="BR151" s="253" t="n"/>
      <c r="BS151" s="254" t="n"/>
      <c r="BT151" s="253" t="n"/>
      <c r="BU151" s="264" t="n"/>
      <c r="BV151" s="253" t="n"/>
      <c r="BW151" s="254" t="n"/>
      <c r="BX151" s="253" t="n"/>
      <c r="BY151" s="264" t="n"/>
      <c r="BZ151" s="253" t="n"/>
      <c r="CA151" s="55" t="n"/>
      <c r="CB151" s="255" t="n"/>
      <c r="CC151" s="252" t="n"/>
      <c r="CD151" s="256" t="n"/>
      <c r="CE151" s="55" t="n"/>
      <c r="CF151" s="253" t="n"/>
      <c r="CG151" s="252" t="n"/>
      <c r="CH151" s="257" t="n"/>
      <c r="CI151" s="55" t="n"/>
      <c r="CJ151" s="253" t="n"/>
      <c r="CK151" s="252" t="n"/>
      <c r="CL151" s="253" t="n"/>
      <c r="CM151" s="55" t="n"/>
      <c r="CN151" s="253" t="n"/>
      <c r="CO151" s="252" t="n"/>
      <c r="CP151" s="257" t="n"/>
      <c r="CQ151" s="55" t="n"/>
      <c r="CR151" s="253" t="n"/>
      <c r="CS151" s="252" t="n"/>
      <c r="CT151" s="253" t="n"/>
      <c r="CU151" s="55" t="n"/>
      <c r="CV151" s="253" t="n"/>
      <c r="CW151" s="252" t="n"/>
      <c r="CX151" s="253" t="n"/>
      <c r="CY151" s="254" t="n"/>
      <c r="CZ151" s="253" t="n"/>
      <c r="DA151" s="252" t="n"/>
      <c r="DB151" s="258" t="n"/>
      <c r="DC151" s="259" t="n"/>
      <c r="DD151" s="253" t="n"/>
      <c r="DE151" s="252" t="n"/>
      <c r="DF151" s="261" t="n"/>
      <c r="DG151" s="392" t="n"/>
      <c r="DH151" s="253" t="n"/>
      <c r="DI151" s="393" t="n"/>
      <c r="DJ151" s="393" t="n"/>
      <c r="DK151" s="252" t="n"/>
      <c r="DL151" s="253" t="n"/>
      <c r="DM151" s="254" t="n"/>
      <c r="DN151" s="253" t="n"/>
      <c r="DO151" s="252" t="n"/>
      <c r="DP151" s="253" t="n"/>
      <c r="DQ151" s="254" t="n"/>
      <c r="DR151" s="253" t="n"/>
      <c r="DS151" s="264" t="n"/>
      <c r="DT151" s="253" t="n"/>
      <c r="DU151" s="254" t="n"/>
      <c r="DV151" s="253" t="n"/>
      <c r="DW151" s="264" t="n"/>
      <c r="DX151" s="253" t="n"/>
      <c r="DY151" s="55" t="n"/>
      <c r="DZ151" s="255" t="n"/>
      <c r="EA151" s="252" t="n"/>
      <c r="EB151" s="256" t="n"/>
      <c r="EC151" s="254" t="n"/>
      <c r="ED151" s="253" t="n"/>
      <c r="EE151" s="252" t="n"/>
      <c r="EF151" s="257" t="n"/>
      <c r="EG151" s="55" t="n"/>
      <c r="EH151" s="253" t="n"/>
      <c r="EI151" s="252" t="n"/>
      <c r="EJ151" s="253" t="n"/>
      <c r="EK151" s="55" t="n"/>
      <c r="EL151" s="253" t="n"/>
      <c r="EM151" s="252" t="n"/>
      <c r="EN151" s="257" t="n"/>
      <c r="EO151" s="55" t="n"/>
      <c r="EP151" s="253" t="n"/>
      <c r="EQ151" s="252" t="n"/>
      <c r="ER151" s="253" t="n"/>
      <c r="ES151" s="55" t="n"/>
      <c r="ET151" s="253" t="n"/>
      <c r="EU151" s="252" t="n"/>
      <c r="EV151" s="253" t="n"/>
      <c r="EW151" s="254" t="n"/>
      <c r="EX151" s="253" t="n"/>
      <c r="EY151" s="252" t="n"/>
      <c r="EZ151" s="258" t="n"/>
      <c r="FA151" s="259" t="n"/>
      <c r="FB151" s="253" t="n"/>
      <c r="FC151" s="252" t="n"/>
      <c r="FD151" s="261" t="n"/>
      <c r="FE151" s="392" t="n"/>
      <c r="FF151" s="253" t="n"/>
      <c r="FG151" s="393" t="n"/>
      <c r="FH151" s="393" t="n"/>
      <c r="FI151" s="252" t="n"/>
      <c r="FJ151" s="253" t="n"/>
      <c r="FK151" s="254" t="n"/>
      <c r="FL151" s="253" t="n"/>
      <c r="FM151" s="252" t="n"/>
      <c r="FN151" s="253" t="n"/>
      <c r="FO151" s="254" t="n"/>
      <c r="FP151" s="253" t="n"/>
      <c r="FQ151" s="264" t="n"/>
      <c r="FR151" s="253" t="n"/>
      <c r="FS151" s="254" t="n"/>
      <c r="FT151" s="253" t="n"/>
      <c r="FU151" s="264" t="n"/>
      <c r="FV151" s="253" t="n"/>
      <c r="FW151" s="55" t="n"/>
      <c r="FX151" s="255" t="n"/>
      <c r="FY151" s="252" t="n"/>
      <c r="FZ151" s="256" t="n"/>
      <c r="GA151" s="254" t="n"/>
      <c r="GB151" s="253" t="n"/>
      <c r="GC151" s="252" t="n"/>
      <c r="GD151" s="257" t="n"/>
      <c r="GE151" s="55" t="n"/>
      <c r="GF151" s="253" t="n"/>
      <c r="GG151" s="252" t="n"/>
      <c r="GH151" s="253" t="n"/>
      <c r="GI151" s="55" t="n"/>
      <c r="GJ151" s="253" t="n"/>
      <c r="GK151" s="252" t="n"/>
      <c r="GL151" s="257" t="n"/>
      <c r="GM151" s="55" t="n"/>
      <c r="GN151" s="253" t="n"/>
      <c r="GO151" s="252" t="n"/>
      <c r="GP151" s="253" t="n"/>
      <c r="GQ151" s="55" t="n"/>
      <c r="GR151" s="253" t="n"/>
      <c r="GS151" s="252" t="n"/>
      <c r="GT151" s="253" t="n"/>
      <c r="GU151" s="254" t="n"/>
      <c r="GV151" s="253" t="n"/>
      <c r="GW151" s="252" t="n"/>
      <c r="GX151" s="258" t="n"/>
      <c r="GY151" s="259" t="n"/>
      <c r="GZ151" s="253" t="n"/>
      <c r="HA151" s="252" t="n"/>
      <c r="HB151" s="261" t="n"/>
      <c r="HC151" s="392" t="n"/>
      <c r="HD151" s="253" t="n"/>
      <c r="HE151" s="393" t="n"/>
      <c r="HF151" s="393" t="n"/>
      <c r="HG151" s="252" t="n"/>
      <c r="HH151" s="253" t="n"/>
      <c r="HI151" s="254" t="n"/>
      <c r="HJ151" s="253" t="n"/>
      <c r="HK151" s="252" t="n"/>
      <c r="HL151" s="253" t="n"/>
      <c r="HM151" s="254" t="n"/>
      <c r="HN151" s="253" t="n"/>
      <c r="HO151" s="264" t="n"/>
      <c r="HP151" s="253" t="n"/>
      <c r="HQ151" s="254" t="n"/>
      <c r="HR151" s="253" t="n"/>
      <c r="HS151" s="264" t="n"/>
      <c r="HT151" s="253" t="n"/>
      <c r="HU151" s="55" t="n"/>
      <c r="HV151" s="255" t="n"/>
      <c r="HW151" s="252" t="n"/>
      <c r="HX151" s="256" t="n"/>
      <c r="HY151" s="254" t="n"/>
      <c r="HZ151" s="253" t="n"/>
      <c r="IA151" s="252" t="n"/>
      <c r="IB151" s="257" t="n"/>
      <c r="IC151" s="55" t="n"/>
      <c r="ID151" s="253" t="n"/>
      <c r="IE151" s="252" t="n"/>
      <c r="IF151" s="253" t="n"/>
      <c r="IG151" s="55" t="n"/>
      <c r="IH151" s="253" t="n"/>
      <c r="II151" s="252" t="n"/>
      <c r="IJ151" s="257" t="n"/>
      <c r="IK151" s="55" t="n"/>
      <c r="IL151" s="253" t="n"/>
      <c r="IM151" s="252" t="n"/>
      <c r="IN151" s="253" t="n"/>
      <c r="IO151" s="55" t="n"/>
      <c r="IP151" s="253" t="n"/>
      <c r="IQ151" s="252" t="n"/>
      <c r="IR151" s="253" t="n"/>
      <c r="IS151" s="254" t="n"/>
      <c r="IT151" s="253" t="n"/>
      <c r="IU151" s="252" t="n"/>
      <c r="IV151" s="258" t="n"/>
      <c r="IW151" s="259" t="n"/>
      <c r="IX151" s="253" t="n"/>
      <c r="IY151" s="252" t="n"/>
      <c r="IZ151" s="261" t="n"/>
      <c r="JA151" s="392" t="n"/>
      <c r="JB151" s="253" t="n"/>
      <c r="JC151" s="393" t="n"/>
      <c r="JD151" s="393" t="n"/>
    </row>
    <row r="152">
      <c r="E152" s="248" t="n"/>
      <c r="F152" s="248" t="n"/>
      <c r="G152" s="249" t="n"/>
      <c r="H152" s="250" t="n"/>
      <c r="I152" s="251" t="n"/>
      <c r="J152" s="251" t="n"/>
      <c r="K152" s="251" t="n"/>
      <c r="L152" s="251" t="n"/>
      <c r="M152" s="251" t="n"/>
      <c r="N152" s="251" t="n"/>
      <c r="O152" s="252" t="n"/>
      <c r="P152" s="253" t="n"/>
      <c r="Q152" s="254" t="n"/>
      <c r="R152" s="253" t="n"/>
      <c r="S152" s="252" t="n"/>
      <c r="T152" s="253" t="n"/>
      <c r="U152" s="254" t="n"/>
      <c r="V152" s="253" t="n"/>
      <c r="W152" s="252" t="n"/>
      <c r="X152" s="253" t="n"/>
      <c r="Y152" s="254" t="n"/>
      <c r="Z152" s="253" t="n"/>
      <c r="AA152" s="252" t="n"/>
      <c r="AB152" s="253" t="n"/>
      <c r="AC152" s="55" t="n"/>
      <c r="AD152" s="255" t="n"/>
      <c r="AE152" s="252" t="n"/>
      <c r="AF152" s="256" t="n"/>
      <c r="AG152" s="254" t="n"/>
      <c r="AH152" s="253" t="n"/>
      <c r="AI152" s="252" t="n"/>
      <c r="AJ152" s="257" t="n"/>
      <c r="AK152" s="55" t="n"/>
      <c r="AL152" s="253" t="n"/>
      <c r="AM152" s="252" t="n"/>
      <c r="AN152" s="253" t="n"/>
      <c r="AO152" s="55" t="n"/>
      <c r="AP152" s="253" t="n"/>
      <c r="AQ152" s="252" t="n"/>
      <c r="AR152" s="257" t="n"/>
      <c r="AS152" s="55" t="n"/>
      <c r="AT152" s="253" t="n"/>
      <c r="AU152" s="252" t="n"/>
      <c r="AV152" s="253" t="n"/>
      <c r="AW152" s="55" t="n"/>
      <c r="AX152" s="253" t="n"/>
      <c r="AY152" s="252" t="n"/>
      <c r="AZ152" s="253" t="n"/>
      <c r="BA152" s="254" t="n"/>
      <c r="BB152" s="255" t="n"/>
      <c r="BC152" s="252" t="n"/>
      <c r="BD152" s="258" t="n"/>
      <c r="BE152" s="259" t="n"/>
      <c r="BF152" s="255" t="n"/>
      <c r="BG152" s="260" t="n"/>
      <c r="BH152" s="261" t="n"/>
      <c r="BI152" s="392" t="n"/>
      <c r="BJ152" s="255" t="n"/>
      <c r="BK152" s="393" t="n"/>
      <c r="BL152" s="393" t="n"/>
      <c r="BM152" s="252" t="n"/>
      <c r="BN152" s="253" t="n"/>
      <c r="BO152" s="254" t="n"/>
      <c r="BP152" s="253" t="n"/>
      <c r="BQ152" s="252" t="n"/>
      <c r="BR152" s="253" t="n"/>
      <c r="BS152" s="254" t="n"/>
      <c r="BT152" s="253" t="n"/>
      <c r="BU152" s="264" t="n"/>
      <c r="BV152" s="253" t="n"/>
      <c r="BW152" s="254" t="n"/>
      <c r="BX152" s="253" t="n"/>
      <c r="BY152" s="264" t="n"/>
      <c r="BZ152" s="253" t="n"/>
      <c r="CA152" s="55" t="n"/>
      <c r="CB152" s="255" t="n"/>
      <c r="CC152" s="252" t="n"/>
      <c r="CD152" s="256" t="n"/>
      <c r="CE152" s="55" t="n"/>
      <c r="CF152" s="253" t="n"/>
      <c r="CG152" s="252" t="n"/>
      <c r="CH152" s="257" t="n"/>
      <c r="CI152" s="55" t="n"/>
      <c r="CJ152" s="253" t="n"/>
      <c r="CK152" s="252" t="n"/>
      <c r="CL152" s="253" t="n"/>
      <c r="CM152" s="55" t="n"/>
      <c r="CN152" s="253" t="n"/>
      <c r="CO152" s="252" t="n"/>
      <c r="CP152" s="257" t="n"/>
      <c r="CQ152" s="55" t="n"/>
      <c r="CR152" s="253" t="n"/>
      <c r="CS152" s="252" t="n"/>
      <c r="CT152" s="253" t="n"/>
      <c r="CU152" s="55" t="n"/>
      <c r="CV152" s="253" t="n"/>
      <c r="CW152" s="252" t="n"/>
      <c r="CX152" s="253" t="n"/>
      <c r="CY152" s="254" t="n"/>
      <c r="CZ152" s="253" t="n"/>
      <c r="DA152" s="252" t="n"/>
      <c r="DB152" s="258" t="n"/>
      <c r="DC152" s="259" t="n"/>
      <c r="DD152" s="253" t="n"/>
      <c r="DE152" s="252" t="n"/>
      <c r="DF152" s="261" t="n"/>
      <c r="DG152" s="392" t="n"/>
      <c r="DH152" s="253" t="n"/>
      <c r="DI152" s="393" t="n"/>
      <c r="DJ152" s="393" t="n"/>
      <c r="DK152" s="252" t="n"/>
      <c r="DL152" s="253" t="n"/>
      <c r="DM152" s="254" t="n"/>
      <c r="DN152" s="253" t="n"/>
      <c r="DO152" s="252" t="n"/>
      <c r="DP152" s="253" t="n"/>
      <c r="DQ152" s="254" t="n"/>
      <c r="DR152" s="253" t="n"/>
      <c r="DS152" s="264" t="n"/>
      <c r="DT152" s="253" t="n"/>
      <c r="DU152" s="254" t="n"/>
      <c r="DV152" s="253" t="n"/>
      <c r="DW152" s="264" t="n"/>
      <c r="DX152" s="253" t="n"/>
      <c r="DY152" s="55" t="n"/>
      <c r="DZ152" s="255" t="n"/>
      <c r="EA152" s="252" t="n"/>
      <c r="EB152" s="256" t="n"/>
      <c r="EC152" s="254" t="n"/>
      <c r="ED152" s="253" t="n"/>
      <c r="EE152" s="252" t="n"/>
      <c r="EF152" s="257" t="n"/>
      <c r="EG152" s="55" t="n"/>
      <c r="EH152" s="253" t="n"/>
      <c r="EI152" s="252" t="n"/>
      <c r="EJ152" s="253" t="n"/>
      <c r="EK152" s="55" t="n"/>
      <c r="EL152" s="253" t="n"/>
      <c r="EM152" s="252" t="n"/>
      <c r="EN152" s="257" t="n"/>
      <c r="EO152" s="55" t="n"/>
      <c r="EP152" s="253" t="n"/>
      <c r="EQ152" s="252" t="n"/>
      <c r="ER152" s="253" t="n"/>
      <c r="ES152" s="55" t="n"/>
      <c r="ET152" s="253" t="n"/>
      <c r="EU152" s="252" t="n"/>
      <c r="EV152" s="253" t="n"/>
      <c r="EW152" s="254" t="n"/>
      <c r="EX152" s="253" t="n"/>
      <c r="EY152" s="252" t="n"/>
      <c r="EZ152" s="258" t="n"/>
      <c r="FA152" s="259" t="n"/>
      <c r="FB152" s="253" t="n"/>
      <c r="FC152" s="252" t="n"/>
      <c r="FD152" s="261" t="n"/>
      <c r="FE152" s="392" t="n"/>
      <c r="FF152" s="253" t="n"/>
      <c r="FG152" s="393" t="n"/>
      <c r="FH152" s="393" t="n"/>
      <c r="FI152" s="252" t="n"/>
      <c r="FJ152" s="253" t="n"/>
      <c r="FK152" s="254" t="n"/>
      <c r="FL152" s="253" t="n"/>
      <c r="FM152" s="252" t="n"/>
      <c r="FN152" s="253" t="n"/>
      <c r="FO152" s="254" t="n"/>
      <c r="FP152" s="253" t="n"/>
      <c r="FQ152" s="264" t="n"/>
      <c r="FR152" s="253" t="n"/>
      <c r="FS152" s="254" t="n"/>
      <c r="FT152" s="253" t="n"/>
      <c r="FU152" s="264" t="n"/>
      <c r="FV152" s="253" t="n"/>
      <c r="FW152" s="55" t="n"/>
      <c r="FX152" s="255" t="n"/>
      <c r="FY152" s="252" t="n"/>
      <c r="FZ152" s="256" t="n"/>
      <c r="GA152" s="254" t="n"/>
      <c r="GB152" s="253" t="n"/>
      <c r="GC152" s="252" t="n"/>
      <c r="GD152" s="257" t="n"/>
      <c r="GE152" s="55" t="n"/>
      <c r="GF152" s="253" t="n"/>
      <c r="GG152" s="252" t="n"/>
      <c r="GH152" s="253" t="n"/>
      <c r="GI152" s="55" t="n"/>
      <c r="GJ152" s="253" t="n"/>
      <c r="GK152" s="252" t="n"/>
      <c r="GL152" s="257" t="n"/>
      <c r="GM152" s="55" t="n"/>
      <c r="GN152" s="253" t="n"/>
      <c r="GO152" s="252" t="n"/>
      <c r="GP152" s="253" t="n"/>
      <c r="GQ152" s="55" t="n"/>
      <c r="GR152" s="253" t="n"/>
      <c r="GS152" s="252" t="n"/>
      <c r="GT152" s="253" t="n"/>
      <c r="GU152" s="254" t="n"/>
      <c r="GV152" s="253" t="n"/>
      <c r="GW152" s="252" t="n"/>
      <c r="GX152" s="258" t="n"/>
      <c r="GY152" s="259" t="n"/>
      <c r="GZ152" s="253" t="n"/>
      <c r="HA152" s="252" t="n"/>
      <c r="HB152" s="261" t="n"/>
      <c r="HC152" s="392" t="n"/>
      <c r="HD152" s="253" t="n"/>
      <c r="HE152" s="393" t="n"/>
      <c r="HF152" s="393" t="n"/>
      <c r="HG152" s="252" t="n"/>
      <c r="HH152" s="253" t="n"/>
      <c r="HI152" s="254" t="n"/>
      <c r="HJ152" s="253" t="n"/>
      <c r="HK152" s="252" t="n"/>
      <c r="HL152" s="253" t="n"/>
      <c r="HM152" s="254" t="n"/>
      <c r="HN152" s="253" t="n"/>
      <c r="HO152" s="264" t="n"/>
      <c r="HP152" s="253" t="n"/>
      <c r="HQ152" s="254" t="n"/>
      <c r="HR152" s="253" t="n"/>
      <c r="HS152" s="264" t="n"/>
      <c r="HT152" s="253" t="n"/>
      <c r="HU152" s="55" t="n"/>
      <c r="HV152" s="255" t="n"/>
      <c r="HW152" s="252" t="n"/>
      <c r="HX152" s="256" t="n"/>
      <c r="HY152" s="254" t="n"/>
      <c r="HZ152" s="253" t="n"/>
      <c r="IA152" s="252" t="n"/>
      <c r="IB152" s="257" t="n"/>
      <c r="IC152" s="55" t="n"/>
      <c r="ID152" s="253" t="n"/>
      <c r="IE152" s="252" t="n"/>
      <c r="IF152" s="253" t="n"/>
      <c r="IG152" s="55" t="n"/>
      <c r="IH152" s="253" t="n"/>
      <c r="II152" s="252" t="n"/>
      <c r="IJ152" s="257" t="n"/>
      <c r="IK152" s="55" t="n"/>
      <c r="IL152" s="253" t="n"/>
      <c r="IM152" s="252" t="n"/>
      <c r="IN152" s="253" t="n"/>
      <c r="IO152" s="55" t="n"/>
      <c r="IP152" s="253" t="n"/>
      <c r="IQ152" s="252" t="n"/>
      <c r="IR152" s="253" t="n"/>
      <c r="IS152" s="254" t="n"/>
      <c r="IT152" s="253" t="n"/>
      <c r="IU152" s="252" t="n"/>
      <c r="IV152" s="258" t="n"/>
      <c r="IW152" s="259" t="n"/>
      <c r="IX152" s="253" t="n"/>
      <c r="IY152" s="252" t="n"/>
      <c r="IZ152" s="261" t="n"/>
      <c r="JA152" s="392" t="n"/>
      <c r="JB152" s="253" t="n"/>
      <c r="JC152" s="393" t="n"/>
      <c r="JD152" s="393" t="n"/>
    </row>
    <row r="153">
      <c r="E153" s="248" t="n"/>
      <c r="F153" s="248" t="n"/>
      <c r="G153" s="249" t="n"/>
      <c r="H153" s="250" t="n"/>
      <c r="I153" s="251" t="n"/>
      <c r="J153" s="251" t="n"/>
      <c r="K153" s="251" t="n"/>
      <c r="L153" s="251" t="n"/>
      <c r="M153" s="251" t="n"/>
      <c r="N153" s="251" t="n"/>
      <c r="O153" s="252" t="n"/>
      <c r="P153" s="253" t="n"/>
      <c r="Q153" s="254" t="n"/>
      <c r="R153" s="253" t="n"/>
      <c r="S153" s="252" t="n"/>
      <c r="T153" s="253" t="n"/>
      <c r="U153" s="254" t="n"/>
      <c r="V153" s="253" t="n"/>
      <c r="W153" s="252" t="n"/>
      <c r="X153" s="253" t="n"/>
      <c r="Y153" s="254" t="n"/>
      <c r="Z153" s="253" t="n"/>
      <c r="AA153" s="252" t="n"/>
      <c r="AB153" s="253" t="n"/>
      <c r="AC153" s="55" t="n"/>
      <c r="AD153" s="255" t="n"/>
      <c r="AE153" s="252" t="n"/>
      <c r="AF153" s="256" t="n"/>
      <c r="AG153" s="254" t="n"/>
      <c r="AH153" s="253" t="n"/>
      <c r="AI153" s="252" t="n"/>
      <c r="AJ153" s="257" t="n"/>
      <c r="AK153" s="55" t="n"/>
      <c r="AL153" s="253" t="n"/>
      <c r="AM153" s="252" t="n"/>
      <c r="AN153" s="253" t="n"/>
      <c r="AO153" s="55" t="n"/>
      <c r="AP153" s="253" t="n"/>
      <c r="AQ153" s="252" t="n"/>
      <c r="AR153" s="257" t="n"/>
      <c r="AS153" s="55" t="n"/>
      <c r="AT153" s="253" t="n"/>
      <c r="AU153" s="252" t="n"/>
      <c r="AV153" s="253" t="n"/>
      <c r="AW153" s="55" t="n"/>
      <c r="AX153" s="253" t="n"/>
      <c r="AY153" s="252" t="n"/>
      <c r="AZ153" s="253" t="n"/>
      <c r="BA153" s="254" t="n"/>
      <c r="BB153" s="255" t="n"/>
      <c r="BC153" s="252" t="n"/>
      <c r="BD153" s="258" t="n"/>
      <c r="BE153" s="259" t="n"/>
      <c r="BF153" s="255" t="n"/>
      <c r="BG153" s="260" t="n"/>
      <c r="BH153" s="261" t="n"/>
      <c r="BI153" s="392" t="n"/>
      <c r="BJ153" s="255" t="n"/>
      <c r="BK153" s="393" t="n"/>
      <c r="BL153" s="393" t="n"/>
      <c r="BM153" s="252" t="n"/>
      <c r="BN153" s="253" t="n"/>
      <c r="BO153" s="254" t="n"/>
      <c r="BP153" s="253" t="n"/>
      <c r="BQ153" s="252" t="n"/>
      <c r="BR153" s="253" t="n"/>
      <c r="BS153" s="254" t="n"/>
      <c r="BT153" s="253" t="n"/>
      <c r="BU153" s="264" t="n"/>
      <c r="BV153" s="253" t="n"/>
      <c r="BW153" s="254" t="n"/>
      <c r="BX153" s="253" t="n"/>
      <c r="BY153" s="264" t="n"/>
      <c r="BZ153" s="253" t="n"/>
      <c r="CA153" s="55" t="n"/>
      <c r="CB153" s="255" t="n"/>
      <c r="CC153" s="252" t="n"/>
      <c r="CD153" s="256" t="n"/>
      <c r="CE153" s="55" t="n"/>
      <c r="CF153" s="253" t="n"/>
      <c r="CG153" s="252" t="n"/>
      <c r="CH153" s="257" t="n"/>
      <c r="CI153" s="55" t="n"/>
      <c r="CJ153" s="253" t="n"/>
      <c r="CK153" s="252" t="n"/>
      <c r="CL153" s="253" t="n"/>
      <c r="CM153" s="55" t="n"/>
      <c r="CN153" s="253" t="n"/>
      <c r="CO153" s="252" t="n"/>
      <c r="CP153" s="257" t="n"/>
      <c r="CQ153" s="55" t="n"/>
      <c r="CR153" s="253" t="n"/>
      <c r="CS153" s="252" t="n"/>
      <c r="CT153" s="253" t="n"/>
      <c r="CU153" s="55" t="n"/>
      <c r="CV153" s="253" t="n"/>
      <c r="CW153" s="252" t="n"/>
      <c r="CX153" s="253" t="n"/>
      <c r="CY153" s="254" t="n"/>
      <c r="CZ153" s="253" t="n"/>
      <c r="DA153" s="252" t="n"/>
      <c r="DB153" s="258" t="n"/>
      <c r="DC153" s="259" t="n"/>
      <c r="DD153" s="253" t="n"/>
      <c r="DE153" s="252" t="n"/>
      <c r="DF153" s="261" t="n"/>
      <c r="DG153" s="392" t="n"/>
      <c r="DH153" s="253" t="n"/>
      <c r="DI153" s="393" t="n"/>
      <c r="DJ153" s="393" t="n"/>
      <c r="DK153" s="252" t="n"/>
      <c r="DL153" s="253" t="n"/>
      <c r="DM153" s="254" t="n"/>
      <c r="DN153" s="253" t="n"/>
      <c r="DO153" s="252" t="n"/>
      <c r="DP153" s="253" t="n"/>
      <c r="DQ153" s="254" t="n"/>
      <c r="DR153" s="253" t="n"/>
      <c r="DS153" s="264" t="n"/>
      <c r="DT153" s="253" t="n"/>
      <c r="DU153" s="254" t="n"/>
      <c r="DV153" s="253" t="n"/>
      <c r="DW153" s="264" t="n"/>
      <c r="DX153" s="253" t="n"/>
      <c r="DY153" s="55" t="n"/>
      <c r="DZ153" s="255" t="n"/>
      <c r="EA153" s="252" t="n"/>
      <c r="EB153" s="256" t="n"/>
      <c r="EC153" s="254" t="n"/>
      <c r="ED153" s="253" t="n"/>
      <c r="EE153" s="252" t="n"/>
      <c r="EF153" s="257" t="n"/>
      <c r="EG153" s="55" t="n"/>
      <c r="EH153" s="253" t="n"/>
      <c r="EI153" s="252" t="n"/>
      <c r="EJ153" s="253" t="n"/>
      <c r="EK153" s="55" t="n"/>
      <c r="EL153" s="253" t="n"/>
      <c r="EM153" s="252" t="n"/>
      <c r="EN153" s="257" t="n"/>
      <c r="EO153" s="55" t="n"/>
      <c r="EP153" s="253" t="n"/>
      <c r="EQ153" s="252" t="n"/>
      <c r="ER153" s="253" t="n"/>
      <c r="ES153" s="55" t="n"/>
      <c r="ET153" s="253" t="n"/>
      <c r="EU153" s="252" t="n"/>
      <c r="EV153" s="253" t="n"/>
      <c r="EW153" s="254" t="n"/>
      <c r="EX153" s="253" t="n"/>
      <c r="EY153" s="252" t="n"/>
      <c r="EZ153" s="258" t="n"/>
      <c r="FA153" s="259" t="n"/>
      <c r="FB153" s="253" t="n"/>
      <c r="FC153" s="252" t="n"/>
      <c r="FD153" s="261" t="n"/>
      <c r="FE153" s="392" t="n"/>
      <c r="FF153" s="253" t="n"/>
      <c r="FG153" s="393" t="n"/>
      <c r="FH153" s="393" t="n"/>
      <c r="FI153" s="252" t="n"/>
      <c r="FJ153" s="253" t="n"/>
      <c r="FK153" s="254" t="n"/>
      <c r="FL153" s="253" t="n"/>
      <c r="FM153" s="252" t="n"/>
      <c r="FN153" s="253" t="n"/>
      <c r="FO153" s="254" t="n"/>
      <c r="FP153" s="253" t="n"/>
      <c r="FQ153" s="264" t="n"/>
      <c r="FR153" s="253" t="n"/>
      <c r="FS153" s="254" t="n"/>
      <c r="FT153" s="253" t="n"/>
      <c r="FU153" s="264" t="n"/>
      <c r="FV153" s="253" t="n"/>
      <c r="FW153" s="55" t="n"/>
      <c r="FX153" s="255" t="n"/>
      <c r="FY153" s="252" t="n"/>
      <c r="FZ153" s="256" t="n"/>
      <c r="GA153" s="254" t="n"/>
      <c r="GB153" s="253" t="n"/>
      <c r="GC153" s="252" t="n"/>
      <c r="GD153" s="257" t="n"/>
      <c r="GE153" s="55" t="n"/>
      <c r="GF153" s="253" t="n"/>
      <c r="GG153" s="252" t="n"/>
      <c r="GH153" s="253" t="n"/>
      <c r="GI153" s="55" t="n"/>
      <c r="GJ153" s="253" t="n"/>
      <c r="GK153" s="252" t="n"/>
      <c r="GL153" s="257" t="n"/>
      <c r="GM153" s="55" t="n"/>
      <c r="GN153" s="253" t="n"/>
      <c r="GO153" s="252" t="n"/>
      <c r="GP153" s="253" t="n"/>
      <c r="GQ153" s="55" t="n"/>
      <c r="GR153" s="253" t="n"/>
      <c r="GS153" s="252" t="n"/>
      <c r="GT153" s="253" t="n"/>
      <c r="GU153" s="254" t="n"/>
      <c r="GV153" s="253" t="n"/>
      <c r="GW153" s="252" t="n"/>
      <c r="GX153" s="258" t="n"/>
      <c r="GY153" s="259" t="n"/>
      <c r="GZ153" s="253" t="n"/>
      <c r="HA153" s="252" t="n"/>
      <c r="HB153" s="261" t="n"/>
      <c r="HC153" s="392" t="n"/>
      <c r="HD153" s="253" t="n"/>
      <c r="HE153" s="393" t="n"/>
      <c r="HF153" s="393" t="n"/>
      <c r="HG153" s="252" t="n"/>
      <c r="HH153" s="253" t="n"/>
      <c r="HI153" s="254" t="n"/>
      <c r="HJ153" s="253" t="n"/>
      <c r="HK153" s="252" t="n"/>
      <c r="HL153" s="253" t="n"/>
      <c r="HM153" s="254" t="n"/>
      <c r="HN153" s="253" t="n"/>
      <c r="HO153" s="264" t="n"/>
      <c r="HP153" s="253" t="n"/>
      <c r="HQ153" s="254" t="n"/>
      <c r="HR153" s="253" t="n"/>
      <c r="HS153" s="264" t="n"/>
      <c r="HT153" s="253" t="n"/>
      <c r="HU153" s="55" t="n"/>
      <c r="HV153" s="255" t="n"/>
      <c r="HW153" s="252" t="n"/>
      <c r="HX153" s="256" t="n"/>
      <c r="HY153" s="254" t="n"/>
      <c r="HZ153" s="253" t="n"/>
      <c r="IA153" s="252" t="n"/>
      <c r="IB153" s="257" t="n"/>
      <c r="IC153" s="55" t="n"/>
      <c r="ID153" s="253" t="n"/>
      <c r="IE153" s="252" t="n"/>
      <c r="IF153" s="253" t="n"/>
      <c r="IG153" s="55" t="n"/>
      <c r="IH153" s="253" t="n"/>
      <c r="II153" s="252" t="n"/>
      <c r="IJ153" s="257" t="n"/>
      <c r="IK153" s="55" t="n"/>
      <c r="IL153" s="253" t="n"/>
      <c r="IM153" s="252" t="n"/>
      <c r="IN153" s="253" t="n"/>
      <c r="IO153" s="55" t="n"/>
      <c r="IP153" s="253" t="n"/>
      <c r="IQ153" s="252" t="n"/>
      <c r="IR153" s="253" t="n"/>
      <c r="IS153" s="254" t="n"/>
      <c r="IT153" s="253" t="n"/>
      <c r="IU153" s="252" t="n"/>
      <c r="IV153" s="258" t="n"/>
      <c r="IW153" s="259" t="n"/>
      <c r="IX153" s="253" t="n"/>
      <c r="IY153" s="252" t="n"/>
      <c r="IZ153" s="261" t="n"/>
      <c r="JA153" s="392" t="n"/>
      <c r="JB153" s="253" t="n"/>
      <c r="JC153" s="393" t="n"/>
      <c r="JD153" s="393" t="n"/>
    </row>
    <row r="154">
      <c r="E154" s="248" t="n"/>
      <c r="F154" s="248" t="n"/>
      <c r="G154" s="249" t="n"/>
      <c r="H154" s="250" t="n"/>
      <c r="I154" s="251" t="n"/>
      <c r="J154" s="251" t="n"/>
      <c r="K154" s="251" t="n"/>
      <c r="L154" s="251" t="n"/>
      <c r="M154" s="251" t="n"/>
      <c r="N154" s="251" t="n"/>
      <c r="O154" s="252" t="n"/>
      <c r="P154" s="253" t="n"/>
      <c r="Q154" s="254" t="n"/>
      <c r="R154" s="253" t="n"/>
      <c r="S154" s="252" t="n"/>
      <c r="T154" s="253" t="n"/>
      <c r="U154" s="254" t="n"/>
      <c r="V154" s="253" t="n"/>
      <c r="W154" s="252" t="n"/>
      <c r="X154" s="253" t="n"/>
      <c r="Y154" s="254" t="n"/>
      <c r="Z154" s="253" t="n"/>
      <c r="AA154" s="252" t="n"/>
      <c r="AB154" s="253" t="n"/>
      <c r="AC154" s="55" t="n"/>
      <c r="AD154" s="255" t="n"/>
      <c r="AE154" s="252" t="n"/>
      <c r="AF154" s="256" t="n"/>
      <c r="AG154" s="254" t="n"/>
      <c r="AH154" s="253" t="n"/>
      <c r="AI154" s="252" t="n"/>
      <c r="AJ154" s="257" t="n"/>
      <c r="AK154" s="55" t="n"/>
      <c r="AL154" s="253" t="n"/>
      <c r="AM154" s="252" t="n"/>
      <c r="AN154" s="253" t="n"/>
      <c r="AO154" s="55" t="n"/>
      <c r="AP154" s="253" t="n"/>
      <c r="AQ154" s="252" t="n"/>
      <c r="AR154" s="257" t="n"/>
      <c r="AS154" s="55" t="n"/>
      <c r="AT154" s="253" t="n"/>
      <c r="AU154" s="252" t="n"/>
      <c r="AV154" s="253" t="n"/>
      <c r="AW154" s="55" t="n"/>
      <c r="AX154" s="253" t="n"/>
      <c r="AY154" s="252" t="n"/>
      <c r="AZ154" s="253" t="n"/>
      <c r="BA154" s="254" t="n"/>
      <c r="BB154" s="255" t="n"/>
      <c r="BC154" s="252" t="n"/>
      <c r="BD154" s="258" t="n"/>
      <c r="BE154" s="259" t="n"/>
      <c r="BF154" s="255" t="n"/>
      <c r="BG154" s="260" t="n"/>
      <c r="BH154" s="261" t="n"/>
      <c r="BI154" s="392" t="n"/>
      <c r="BJ154" s="255" t="n"/>
      <c r="BK154" s="393" t="n"/>
      <c r="BL154" s="393" t="n"/>
      <c r="BM154" s="252" t="n"/>
      <c r="BN154" s="253" t="n"/>
      <c r="BO154" s="254" t="n"/>
      <c r="BP154" s="253" t="n"/>
      <c r="BQ154" s="252" t="n"/>
      <c r="BR154" s="253" t="n"/>
      <c r="BS154" s="254" t="n"/>
      <c r="BT154" s="253" t="n"/>
      <c r="BU154" s="264" t="n"/>
      <c r="BV154" s="253" t="n"/>
      <c r="BW154" s="254" t="n"/>
      <c r="BX154" s="253" t="n"/>
      <c r="BY154" s="264" t="n"/>
      <c r="BZ154" s="253" t="n"/>
      <c r="CA154" s="55" t="n"/>
      <c r="CB154" s="255" t="n"/>
      <c r="CC154" s="252" t="n"/>
      <c r="CD154" s="256" t="n"/>
      <c r="CE154" s="55" t="n"/>
      <c r="CF154" s="253" t="n"/>
      <c r="CG154" s="252" t="n"/>
      <c r="CH154" s="257" t="n"/>
      <c r="CI154" s="55" t="n"/>
      <c r="CJ154" s="253" t="n"/>
      <c r="CK154" s="252" t="n"/>
      <c r="CL154" s="253" t="n"/>
      <c r="CM154" s="55" t="n"/>
      <c r="CN154" s="253" t="n"/>
      <c r="CO154" s="252" t="n"/>
      <c r="CP154" s="257" t="n"/>
      <c r="CQ154" s="55" t="n"/>
      <c r="CR154" s="253" t="n"/>
      <c r="CS154" s="252" t="n"/>
      <c r="CT154" s="253" t="n"/>
      <c r="CU154" s="55" t="n"/>
      <c r="CV154" s="253" t="n"/>
      <c r="CW154" s="252" t="n"/>
      <c r="CX154" s="253" t="n"/>
      <c r="CY154" s="254" t="n"/>
      <c r="CZ154" s="253" t="n"/>
      <c r="DA154" s="252" t="n"/>
      <c r="DB154" s="258" t="n"/>
      <c r="DC154" s="259" t="n"/>
      <c r="DD154" s="253" t="n"/>
      <c r="DE154" s="252" t="n"/>
      <c r="DF154" s="261" t="n"/>
      <c r="DG154" s="392" t="n"/>
      <c r="DH154" s="253" t="n"/>
      <c r="DI154" s="393" t="n"/>
      <c r="DJ154" s="393" t="n"/>
      <c r="DK154" s="252" t="n"/>
      <c r="DL154" s="253" t="n"/>
      <c r="DM154" s="254" t="n"/>
      <c r="DN154" s="253" t="n"/>
      <c r="DO154" s="252" t="n"/>
      <c r="DP154" s="253" t="n"/>
      <c r="DQ154" s="254" t="n"/>
      <c r="DR154" s="253" t="n"/>
      <c r="DS154" s="264" t="n"/>
      <c r="DT154" s="253" t="n"/>
      <c r="DU154" s="254" t="n"/>
      <c r="DV154" s="253" t="n"/>
      <c r="DW154" s="264" t="n"/>
      <c r="DX154" s="253" t="n"/>
      <c r="DY154" s="55" t="n"/>
      <c r="DZ154" s="255" t="n"/>
      <c r="EA154" s="252" t="n"/>
      <c r="EB154" s="256" t="n"/>
      <c r="EC154" s="254" t="n"/>
      <c r="ED154" s="253" t="n"/>
      <c r="EE154" s="252" t="n"/>
      <c r="EF154" s="257" t="n"/>
      <c r="EG154" s="55" t="n"/>
      <c r="EH154" s="253" t="n"/>
      <c r="EI154" s="252" t="n"/>
      <c r="EJ154" s="253" t="n"/>
      <c r="EK154" s="55" t="n"/>
      <c r="EL154" s="253" t="n"/>
      <c r="EM154" s="252" t="n"/>
      <c r="EN154" s="257" t="n"/>
      <c r="EO154" s="55" t="n"/>
      <c r="EP154" s="253" t="n"/>
      <c r="EQ154" s="252" t="n"/>
      <c r="ER154" s="253" t="n"/>
      <c r="ES154" s="55" t="n"/>
      <c r="ET154" s="253" t="n"/>
      <c r="EU154" s="252" t="n"/>
      <c r="EV154" s="253" t="n"/>
      <c r="EW154" s="254" t="n"/>
      <c r="EX154" s="253" t="n"/>
      <c r="EY154" s="252" t="n"/>
      <c r="EZ154" s="258" t="n"/>
      <c r="FA154" s="259" t="n"/>
      <c r="FB154" s="253" t="n"/>
      <c r="FC154" s="252" t="n"/>
      <c r="FD154" s="261" t="n"/>
      <c r="FE154" s="392" t="n"/>
      <c r="FF154" s="253" t="n"/>
      <c r="FG154" s="393" t="n"/>
      <c r="FH154" s="393" t="n"/>
      <c r="FI154" s="252" t="n"/>
      <c r="FJ154" s="253" t="n"/>
      <c r="FK154" s="254" t="n"/>
      <c r="FL154" s="253" t="n"/>
      <c r="FM154" s="252" t="n"/>
      <c r="FN154" s="253" t="n"/>
      <c r="FO154" s="254" t="n"/>
      <c r="FP154" s="253" t="n"/>
      <c r="FQ154" s="264" t="n"/>
      <c r="FR154" s="253" t="n"/>
      <c r="FS154" s="254" t="n"/>
      <c r="FT154" s="253" t="n"/>
      <c r="FU154" s="264" t="n"/>
      <c r="FV154" s="253" t="n"/>
      <c r="FW154" s="55" t="n"/>
      <c r="FX154" s="255" t="n"/>
      <c r="FY154" s="252" t="n"/>
      <c r="FZ154" s="256" t="n"/>
      <c r="GA154" s="254" t="n"/>
      <c r="GB154" s="253" t="n"/>
      <c r="GC154" s="252" t="n"/>
      <c r="GD154" s="257" t="n"/>
      <c r="GE154" s="55" t="n"/>
      <c r="GF154" s="253" t="n"/>
      <c r="GG154" s="252" t="n"/>
      <c r="GH154" s="253" t="n"/>
      <c r="GI154" s="55" t="n"/>
      <c r="GJ154" s="253" t="n"/>
      <c r="GK154" s="252" t="n"/>
      <c r="GL154" s="257" t="n"/>
      <c r="GM154" s="55" t="n"/>
      <c r="GN154" s="253" t="n"/>
      <c r="GO154" s="252" t="n"/>
      <c r="GP154" s="253" t="n"/>
      <c r="GQ154" s="55" t="n"/>
      <c r="GR154" s="253" t="n"/>
      <c r="GS154" s="252" t="n"/>
      <c r="GT154" s="253" t="n"/>
      <c r="GU154" s="254" t="n"/>
      <c r="GV154" s="253" t="n"/>
      <c r="GW154" s="252" t="n"/>
      <c r="GX154" s="258" t="n"/>
      <c r="GY154" s="259" t="n"/>
      <c r="GZ154" s="253" t="n"/>
      <c r="HA154" s="252" t="n"/>
      <c r="HB154" s="261" t="n"/>
      <c r="HC154" s="392" t="n"/>
      <c r="HD154" s="253" t="n"/>
      <c r="HE154" s="393" t="n"/>
      <c r="HF154" s="393" t="n"/>
      <c r="HG154" s="252" t="n"/>
      <c r="HH154" s="253" t="n"/>
      <c r="HI154" s="254" t="n"/>
      <c r="HJ154" s="253" t="n"/>
      <c r="HK154" s="252" t="n"/>
      <c r="HL154" s="253" t="n"/>
      <c r="HM154" s="254" t="n"/>
      <c r="HN154" s="253" t="n"/>
      <c r="HO154" s="264" t="n"/>
      <c r="HP154" s="253" t="n"/>
      <c r="HQ154" s="254" t="n"/>
      <c r="HR154" s="253" t="n"/>
      <c r="HS154" s="264" t="n"/>
      <c r="HT154" s="253" t="n"/>
      <c r="HU154" s="55" t="n"/>
      <c r="HV154" s="255" t="n"/>
      <c r="HW154" s="252" t="n"/>
      <c r="HX154" s="256" t="n"/>
      <c r="HY154" s="254" t="n"/>
      <c r="HZ154" s="253" t="n"/>
      <c r="IA154" s="252" t="n"/>
      <c r="IB154" s="257" t="n"/>
      <c r="IC154" s="55" t="n"/>
      <c r="ID154" s="253" t="n"/>
      <c r="IE154" s="252" t="n"/>
      <c r="IF154" s="253" t="n"/>
      <c r="IG154" s="55" t="n"/>
      <c r="IH154" s="253" t="n"/>
      <c r="II154" s="252" t="n"/>
      <c r="IJ154" s="257" t="n"/>
      <c r="IK154" s="55" t="n"/>
      <c r="IL154" s="253" t="n"/>
      <c r="IM154" s="252" t="n"/>
      <c r="IN154" s="253" t="n"/>
      <c r="IO154" s="55" t="n"/>
      <c r="IP154" s="253" t="n"/>
      <c r="IQ154" s="252" t="n"/>
      <c r="IR154" s="253" t="n"/>
      <c r="IS154" s="254" t="n"/>
      <c r="IT154" s="253" t="n"/>
      <c r="IU154" s="252" t="n"/>
      <c r="IV154" s="258" t="n"/>
      <c r="IW154" s="259" t="n"/>
      <c r="IX154" s="253" t="n"/>
      <c r="IY154" s="252" t="n"/>
      <c r="IZ154" s="261" t="n"/>
      <c r="JA154" s="392" t="n"/>
      <c r="JB154" s="253" t="n"/>
      <c r="JC154" s="393" t="n"/>
      <c r="JD154" s="393" t="n"/>
    </row>
    <row r="155">
      <c r="E155" s="248" t="n"/>
      <c r="F155" s="248" t="n"/>
      <c r="G155" s="249" t="n"/>
      <c r="H155" s="250" t="n"/>
      <c r="I155" s="251" t="n"/>
      <c r="J155" s="251" t="n"/>
      <c r="K155" s="251" t="n"/>
      <c r="L155" s="251" t="n"/>
      <c r="M155" s="251" t="n"/>
      <c r="N155" s="251" t="n"/>
      <c r="O155" s="252" t="n"/>
      <c r="P155" s="253" t="n"/>
      <c r="Q155" s="254" t="n"/>
      <c r="R155" s="253" t="n"/>
      <c r="S155" s="252" t="n"/>
      <c r="T155" s="253" t="n"/>
      <c r="U155" s="254" t="n"/>
      <c r="V155" s="253" t="n"/>
      <c r="W155" s="252" t="n"/>
      <c r="X155" s="253" t="n"/>
      <c r="Y155" s="254" t="n"/>
      <c r="Z155" s="253" t="n"/>
      <c r="AA155" s="252" t="n"/>
      <c r="AB155" s="253" t="n"/>
      <c r="AC155" s="55" t="n"/>
      <c r="AD155" s="255" t="n"/>
      <c r="AE155" s="252" t="n"/>
      <c r="AF155" s="256" t="n"/>
      <c r="AG155" s="254" t="n"/>
      <c r="AH155" s="253" t="n"/>
      <c r="AI155" s="252" t="n"/>
      <c r="AJ155" s="257" t="n"/>
      <c r="AK155" s="55" t="n"/>
      <c r="AL155" s="253" t="n"/>
      <c r="AM155" s="252" t="n"/>
      <c r="AN155" s="253" t="n"/>
      <c r="AO155" s="55" t="n"/>
      <c r="AP155" s="253" t="n"/>
      <c r="AQ155" s="252" t="n"/>
      <c r="AR155" s="257" t="n"/>
      <c r="AS155" s="55" t="n"/>
      <c r="AT155" s="253" t="n"/>
      <c r="AU155" s="252" t="n"/>
      <c r="AV155" s="253" t="n"/>
      <c r="AW155" s="55" t="n"/>
      <c r="AX155" s="253" t="n"/>
      <c r="AY155" s="252" t="n"/>
      <c r="AZ155" s="253" t="n"/>
      <c r="BA155" s="254" t="n"/>
      <c r="BB155" s="255" t="n"/>
      <c r="BC155" s="252" t="n"/>
      <c r="BD155" s="258" t="n"/>
      <c r="BE155" s="259" t="n"/>
      <c r="BF155" s="255" t="n"/>
      <c r="BG155" s="260" t="n"/>
      <c r="BH155" s="261" t="n"/>
      <c r="BI155" s="392" t="n"/>
      <c r="BJ155" s="255" t="n"/>
      <c r="BK155" s="393" t="n"/>
      <c r="BL155" s="393" t="n"/>
      <c r="BM155" s="252" t="n"/>
      <c r="BN155" s="253" t="n"/>
      <c r="BO155" s="254" t="n"/>
      <c r="BP155" s="253" t="n"/>
      <c r="BQ155" s="252" t="n"/>
      <c r="BR155" s="253" t="n"/>
      <c r="BS155" s="254" t="n"/>
      <c r="BT155" s="253" t="n"/>
      <c r="BU155" s="264" t="n"/>
      <c r="BV155" s="253" t="n"/>
      <c r="BW155" s="254" t="n"/>
      <c r="BX155" s="253" t="n"/>
      <c r="BY155" s="264" t="n"/>
      <c r="BZ155" s="253" t="n"/>
      <c r="CA155" s="55" t="n"/>
      <c r="CB155" s="255" t="n"/>
      <c r="CC155" s="252" t="n"/>
      <c r="CD155" s="256" t="n"/>
      <c r="CE155" s="55" t="n"/>
      <c r="CF155" s="253" t="n"/>
      <c r="CG155" s="252" t="n"/>
      <c r="CH155" s="257" t="n"/>
      <c r="CI155" s="55" t="n"/>
      <c r="CJ155" s="253" t="n"/>
      <c r="CK155" s="252" t="n"/>
      <c r="CL155" s="253" t="n"/>
      <c r="CM155" s="55" t="n"/>
      <c r="CN155" s="253" t="n"/>
      <c r="CO155" s="252" t="n"/>
      <c r="CP155" s="257" t="n"/>
      <c r="CQ155" s="55" t="n"/>
      <c r="CR155" s="253" t="n"/>
      <c r="CS155" s="252" t="n"/>
      <c r="CT155" s="253" t="n"/>
      <c r="CU155" s="55" t="n"/>
      <c r="CV155" s="253" t="n"/>
      <c r="CW155" s="252" t="n"/>
      <c r="CX155" s="253" t="n"/>
      <c r="CY155" s="254" t="n"/>
      <c r="CZ155" s="253" t="n"/>
      <c r="DA155" s="252" t="n"/>
      <c r="DB155" s="258" t="n"/>
      <c r="DC155" s="259" t="n"/>
      <c r="DD155" s="253" t="n"/>
      <c r="DE155" s="252" t="n"/>
      <c r="DF155" s="261" t="n"/>
      <c r="DG155" s="392" t="n"/>
      <c r="DH155" s="253" t="n"/>
      <c r="DI155" s="393" t="n"/>
      <c r="DJ155" s="393" t="n"/>
      <c r="DK155" s="252" t="n"/>
      <c r="DL155" s="253" t="n"/>
      <c r="DM155" s="254" t="n"/>
      <c r="DN155" s="253" t="n"/>
      <c r="DO155" s="252" t="n"/>
      <c r="DP155" s="253" t="n"/>
      <c r="DQ155" s="254" t="n"/>
      <c r="DR155" s="253" t="n"/>
      <c r="DS155" s="264" t="n"/>
      <c r="DT155" s="253" t="n"/>
      <c r="DU155" s="254" t="n"/>
      <c r="DV155" s="253" t="n"/>
      <c r="DW155" s="264" t="n"/>
      <c r="DX155" s="253" t="n"/>
      <c r="DY155" s="55" t="n"/>
      <c r="DZ155" s="255" t="n"/>
      <c r="EA155" s="252" t="n"/>
      <c r="EB155" s="256" t="n"/>
      <c r="EC155" s="254" t="n"/>
      <c r="ED155" s="253" t="n"/>
      <c r="EE155" s="252" t="n"/>
      <c r="EF155" s="257" t="n"/>
      <c r="EG155" s="55" t="n"/>
      <c r="EH155" s="253" t="n"/>
      <c r="EI155" s="252" t="n"/>
      <c r="EJ155" s="253" t="n"/>
      <c r="EK155" s="55" t="n"/>
      <c r="EL155" s="253" t="n"/>
      <c r="EM155" s="252" t="n"/>
      <c r="EN155" s="257" t="n"/>
      <c r="EO155" s="55" t="n"/>
      <c r="EP155" s="253" t="n"/>
      <c r="EQ155" s="252" t="n"/>
      <c r="ER155" s="253" t="n"/>
      <c r="ES155" s="55" t="n"/>
      <c r="ET155" s="253" t="n"/>
      <c r="EU155" s="252" t="n"/>
      <c r="EV155" s="253" t="n"/>
      <c r="EW155" s="254" t="n"/>
      <c r="EX155" s="253" t="n"/>
      <c r="EY155" s="252" t="n"/>
      <c r="EZ155" s="258" t="n"/>
      <c r="FA155" s="259" t="n"/>
      <c r="FB155" s="253" t="n"/>
      <c r="FC155" s="252" t="n"/>
      <c r="FD155" s="261" t="n"/>
      <c r="FE155" s="392" t="n"/>
      <c r="FF155" s="253" t="n"/>
      <c r="FG155" s="393" t="n"/>
      <c r="FH155" s="393" t="n"/>
      <c r="FI155" s="252" t="n"/>
      <c r="FJ155" s="253" t="n"/>
      <c r="FK155" s="254" t="n"/>
      <c r="FL155" s="253" t="n"/>
      <c r="FM155" s="252" t="n"/>
      <c r="FN155" s="253" t="n"/>
      <c r="FO155" s="254" t="n"/>
      <c r="FP155" s="253" t="n"/>
      <c r="FQ155" s="264" t="n"/>
      <c r="FR155" s="253" t="n"/>
      <c r="FS155" s="254" t="n"/>
      <c r="FT155" s="253" t="n"/>
      <c r="FU155" s="264" t="n"/>
      <c r="FV155" s="253" t="n"/>
      <c r="FW155" s="55" t="n"/>
      <c r="FX155" s="255" t="n"/>
      <c r="FY155" s="252" t="n"/>
      <c r="FZ155" s="256" t="n"/>
      <c r="GA155" s="254" t="n"/>
      <c r="GB155" s="253" t="n"/>
      <c r="GC155" s="252" t="n"/>
      <c r="GD155" s="257" t="n"/>
      <c r="GE155" s="55" t="n"/>
      <c r="GF155" s="253" t="n"/>
      <c r="GG155" s="252" t="n"/>
      <c r="GH155" s="253" t="n"/>
      <c r="GI155" s="55" t="n"/>
      <c r="GJ155" s="253" t="n"/>
      <c r="GK155" s="252" t="n"/>
      <c r="GL155" s="257" t="n"/>
      <c r="GM155" s="55" t="n"/>
      <c r="GN155" s="253" t="n"/>
      <c r="GO155" s="252" t="n"/>
      <c r="GP155" s="253" t="n"/>
      <c r="GQ155" s="55" t="n"/>
      <c r="GR155" s="253" t="n"/>
      <c r="GS155" s="252" t="n"/>
      <c r="GT155" s="253" t="n"/>
      <c r="GU155" s="254" t="n"/>
      <c r="GV155" s="253" t="n"/>
      <c r="GW155" s="252" t="n"/>
      <c r="GX155" s="258" t="n"/>
      <c r="GY155" s="259" t="n"/>
      <c r="GZ155" s="253" t="n"/>
      <c r="HA155" s="252" t="n"/>
      <c r="HB155" s="261" t="n"/>
      <c r="HC155" s="392" t="n"/>
      <c r="HD155" s="253" t="n"/>
      <c r="HE155" s="393" t="n"/>
      <c r="HF155" s="393" t="n"/>
      <c r="HG155" s="252" t="n"/>
      <c r="HH155" s="253" t="n"/>
      <c r="HI155" s="254" t="n"/>
      <c r="HJ155" s="253" t="n"/>
      <c r="HK155" s="252" t="n"/>
      <c r="HL155" s="253" t="n"/>
      <c r="HM155" s="254" t="n"/>
      <c r="HN155" s="253" t="n"/>
      <c r="HO155" s="264" t="n"/>
      <c r="HP155" s="253" t="n"/>
      <c r="HQ155" s="254" t="n"/>
      <c r="HR155" s="253" t="n"/>
      <c r="HS155" s="264" t="n"/>
      <c r="HT155" s="253" t="n"/>
      <c r="HU155" s="55" t="n"/>
      <c r="HV155" s="255" t="n"/>
      <c r="HW155" s="252" t="n"/>
      <c r="HX155" s="256" t="n"/>
      <c r="HY155" s="254" t="n"/>
      <c r="HZ155" s="253" t="n"/>
      <c r="IA155" s="252" t="n"/>
      <c r="IB155" s="257" t="n"/>
      <c r="IC155" s="55" t="n"/>
      <c r="ID155" s="253" t="n"/>
      <c r="IE155" s="252" t="n"/>
      <c r="IF155" s="253" t="n"/>
      <c r="IG155" s="55" t="n"/>
      <c r="IH155" s="253" t="n"/>
      <c r="II155" s="252" t="n"/>
      <c r="IJ155" s="257" t="n"/>
      <c r="IK155" s="55" t="n"/>
      <c r="IL155" s="253" t="n"/>
      <c r="IM155" s="252" t="n"/>
      <c r="IN155" s="253" t="n"/>
      <c r="IO155" s="55" t="n"/>
      <c r="IP155" s="253" t="n"/>
      <c r="IQ155" s="252" t="n"/>
      <c r="IR155" s="253" t="n"/>
      <c r="IS155" s="254" t="n"/>
      <c r="IT155" s="253" t="n"/>
      <c r="IU155" s="252" t="n"/>
      <c r="IV155" s="258" t="n"/>
      <c r="IW155" s="259" t="n"/>
      <c r="IX155" s="253" t="n"/>
      <c r="IY155" s="252" t="n"/>
      <c r="IZ155" s="261" t="n"/>
      <c r="JA155" s="392" t="n"/>
      <c r="JB155" s="253" t="n"/>
      <c r="JC155" s="393" t="n"/>
      <c r="JD155" s="393" t="n"/>
    </row>
    <row r="156">
      <c r="E156" s="248" t="n"/>
      <c r="F156" s="248" t="n"/>
      <c r="G156" s="249" t="n"/>
      <c r="H156" s="250" t="n"/>
      <c r="I156" s="251" t="n"/>
      <c r="J156" s="251" t="n"/>
      <c r="K156" s="251" t="n"/>
      <c r="L156" s="251" t="n"/>
      <c r="M156" s="251" t="n"/>
      <c r="N156" s="251" t="n"/>
      <c r="O156" s="252" t="n"/>
      <c r="P156" s="253" t="n"/>
      <c r="Q156" s="254" t="n"/>
      <c r="R156" s="253" t="n"/>
      <c r="S156" s="252" t="n"/>
      <c r="T156" s="253" t="n"/>
      <c r="U156" s="254" t="n"/>
      <c r="V156" s="253" t="n"/>
      <c r="W156" s="252" t="n"/>
      <c r="X156" s="253" t="n"/>
      <c r="Y156" s="254" t="n"/>
      <c r="Z156" s="253" t="n"/>
      <c r="AA156" s="252" t="n"/>
      <c r="AB156" s="253" t="n"/>
      <c r="AC156" s="55" t="n"/>
      <c r="AD156" s="255" t="n"/>
      <c r="AE156" s="252" t="n"/>
      <c r="AF156" s="256" t="n"/>
      <c r="AG156" s="254" t="n"/>
      <c r="AH156" s="253" t="n"/>
      <c r="AI156" s="252" t="n"/>
      <c r="AJ156" s="257" t="n"/>
      <c r="AK156" s="55" t="n"/>
      <c r="AL156" s="253" t="n"/>
      <c r="AM156" s="252" t="n"/>
      <c r="AN156" s="253" t="n"/>
      <c r="AO156" s="55" t="n"/>
      <c r="AP156" s="253" t="n"/>
      <c r="AQ156" s="252" t="n"/>
      <c r="AR156" s="257" t="n"/>
      <c r="AS156" s="55" t="n"/>
      <c r="AT156" s="253" t="n"/>
      <c r="AU156" s="252" t="n"/>
      <c r="AV156" s="253" t="n"/>
      <c r="AW156" s="55" t="n"/>
      <c r="AX156" s="253" t="n"/>
      <c r="AY156" s="252" t="n"/>
      <c r="AZ156" s="253" t="n"/>
      <c r="BA156" s="254" t="n"/>
      <c r="BB156" s="255" t="n"/>
      <c r="BC156" s="252" t="n"/>
      <c r="BD156" s="258" t="n"/>
      <c r="BE156" s="259" t="n"/>
      <c r="BF156" s="255" t="n"/>
      <c r="BG156" s="260" t="n"/>
      <c r="BH156" s="261" t="n"/>
      <c r="BI156" s="392" t="n"/>
      <c r="BJ156" s="255" t="n"/>
      <c r="BK156" s="393" t="n"/>
      <c r="BL156" s="393" t="n"/>
      <c r="BM156" s="252" t="n"/>
      <c r="BN156" s="253" t="n"/>
      <c r="BO156" s="254" t="n"/>
      <c r="BP156" s="253" t="n"/>
      <c r="BQ156" s="252" t="n"/>
      <c r="BR156" s="253" t="n"/>
      <c r="BS156" s="254" t="n"/>
      <c r="BT156" s="253" t="n"/>
      <c r="BU156" s="264" t="n"/>
      <c r="BV156" s="253" t="n"/>
      <c r="BW156" s="254" t="n"/>
      <c r="BX156" s="253" t="n"/>
      <c r="BY156" s="264" t="n"/>
      <c r="BZ156" s="253" t="n"/>
      <c r="CA156" s="55" t="n"/>
      <c r="CB156" s="255" t="n"/>
      <c r="CC156" s="252" t="n"/>
      <c r="CD156" s="256" t="n"/>
      <c r="CE156" s="55" t="n"/>
      <c r="CF156" s="253" t="n"/>
      <c r="CG156" s="252" t="n"/>
      <c r="CH156" s="257" t="n"/>
      <c r="CI156" s="55" t="n"/>
      <c r="CJ156" s="253" t="n"/>
      <c r="CK156" s="252" t="n"/>
      <c r="CL156" s="253" t="n"/>
      <c r="CM156" s="55" t="n"/>
      <c r="CN156" s="253" t="n"/>
      <c r="CO156" s="252" t="n"/>
      <c r="CP156" s="257" t="n"/>
      <c r="CQ156" s="55" t="n"/>
      <c r="CR156" s="253" t="n"/>
      <c r="CS156" s="252" t="n"/>
      <c r="CT156" s="253" t="n"/>
      <c r="CU156" s="55" t="n"/>
      <c r="CV156" s="253" t="n"/>
      <c r="CW156" s="252" t="n"/>
      <c r="CX156" s="253" t="n"/>
      <c r="CY156" s="254" t="n"/>
      <c r="CZ156" s="253" t="n"/>
      <c r="DA156" s="252" t="n"/>
      <c r="DB156" s="258" t="n"/>
      <c r="DC156" s="259" t="n"/>
      <c r="DD156" s="253" t="n"/>
      <c r="DE156" s="252" t="n"/>
      <c r="DF156" s="261" t="n"/>
      <c r="DG156" s="392" t="n"/>
      <c r="DH156" s="253" t="n"/>
      <c r="DI156" s="393" t="n"/>
      <c r="DJ156" s="393" t="n"/>
      <c r="DK156" s="252" t="n"/>
      <c r="DL156" s="253" t="n"/>
      <c r="DM156" s="254" t="n"/>
      <c r="DN156" s="253" t="n"/>
      <c r="DO156" s="252" t="n"/>
      <c r="DP156" s="253" t="n"/>
      <c r="DQ156" s="254" t="n"/>
      <c r="DR156" s="253" t="n"/>
      <c r="DS156" s="264" t="n"/>
      <c r="DT156" s="253" t="n"/>
      <c r="DU156" s="254" t="n"/>
      <c r="DV156" s="253" t="n"/>
      <c r="DW156" s="264" t="n"/>
      <c r="DX156" s="253" t="n"/>
      <c r="DY156" s="55" t="n"/>
      <c r="DZ156" s="255" t="n"/>
      <c r="EA156" s="252" t="n"/>
      <c r="EB156" s="256" t="n"/>
      <c r="EC156" s="254" t="n"/>
      <c r="ED156" s="253" t="n"/>
      <c r="EE156" s="252" t="n"/>
      <c r="EF156" s="257" t="n"/>
      <c r="EG156" s="55" t="n"/>
      <c r="EH156" s="253" t="n"/>
      <c r="EI156" s="252" t="n"/>
      <c r="EJ156" s="253" t="n"/>
      <c r="EK156" s="55" t="n"/>
      <c r="EL156" s="253" t="n"/>
      <c r="EM156" s="252" t="n"/>
      <c r="EN156" s="257" t="n"/>
      <c r="EO156" s="55" t="n"/>
      <c r="EP156" s="253" t="n"/>
      <c r="EQ156" s="252" t="n"/>
      <c r="ER156" s="253" t="n"/>
      <c r="ES156" s="55" t="n"/>
      <c r="ET156" s="253" t="n"/>
      <c r="EU156" s="252" t="n"/>
      <c r="EV156" s="253" t="n"/>
      <c r="EW156" s="254" t="n"/>
      <c r="EX156" s="253" t="n"/>
      <c r="EY156" s="252" t="n"/>
      <c r="EZ156" s="258" t="n"/>
      <c r="FA156" s="259" t="n"/>
      <c r="FB156" s="253" t="n"/>
      <c r="FC156" s="252" t="n"/>
      <c r="FD156" s="261" t="n"/>
      <c r="FE156" s="392" t="n"/>
      <c r="FF156" s="253" t="n"/>
      <c r="FG156" s="393" t="n"/>
      <c r="FH156" s="393" t="n"/>
      <c r="FI156" s="252" t="n"/>
      <c r="FJ156" s="253" t="n"/>
      <c r="FK156" s="254" t="n"/>
      <c r="FL156" s="253" t="n"/>
      <c r="FM156" s="252" t="n"/>
      <c r="FN156" s="253" t="n"/>
      <c r="FO156" s="254" t="n"/>
      <c r="FP156" s="253" t="n"/>
      <c r="FQ156" s="264" t="n"/>
      <c r="FR156" s="253" t="n"/>
      <c r="FS156" s="254" t="n"/>
      <c r="FT156" s="253" t="n"/>
      <c r="FU156" s="264" t="n"/>
      <c r="FV156" s="253" t="n"/>
      <c r="FW156" s="55" t="n"/>
      <c r="FX156" s="255" t="n"/>
      <c r="FY156" s="252" t="n"/>
      <c r="FZ156" s="256" t="n"/>
      <c r="GA156" s="254" t="n"/>
      <c r="GB156" s="253" t="n"/>
      <c r="GC156" s="252" t="n"/>
      <c r="GD156" s="257" t="n"/>
      <c r="GE156" s="55" t="n"/>
      <c r="GF156" s="253" t="n"/>
      <c r="GG156" s="252" t="n"/>
      <c r="GH156" s="253" t="n"/>
      <c r="GI156" s="55" t="n"/>
      <c r="GJ156" s="253" t="n"/>
      <c r="GK156" s="252" t="n"/>
      <c r="GL156" s="257" t="n"/>
      <c r="GM156" s="55" t="n"/>
      <c r="GN156" s="253" t="n"/>
      <c r="GO156" s="252" t="n"/>
      <c r="GP156" s="253" t="n"/>
      <c r="GQ156" s="55" t="n"/>
      <c r="GR156" s="253" t="n"/>
      <c r="GS156" s="252" t="n"/>
      <c r="GT156" s="253" t="n"/>
      <c r="GU156" s="254" t="n"/>
      <c r="GV156" s="253" t="n"/>
      <c r="GW156" s="252" t="n"/>
      <c r="GX156" s="258" t="n"/>
      <c r="GY156" s="259" t="n"/>
      <c r="GZ156" s="253" t="n"/>
      <c r="HA156" s="252" t="n"/>
      <c r="HB156" s="261" t="n"/>
      <c r="HC156" s="392" t="n"/>
      <c r="HD156" s="253" t="n"/>
      <c r="HE156" s="393" t="n"/>
      <c r="HF156" s="393" t="n"/>
      <c r="HG156" s="252" t="n"/>
      <c r="HH156" s="253" t="n"/>
      <c r="HI156" s="254" t="n"/>
      <c r="HJ156" s="253" t="n"/>
      <c r="HK156" s="252" t="n"/>
      <c r="HL156" s="253" t="n"/>
      <c r="HM156" s="254" t="n"/>
      <c r="HN156" s="253" t="n"/>
      <c r="HO156" s="264" t="n"/>
      <c r="HP156" s="253" t="n"/>
      <c r="HQ156" s="254" t="n"/>
      <c r="HR156" s="253" t="n"/>
      <c r="HS156" s="264" t="n"/>
      <c r="HT156" s="253" t="n"/>
      <c r="HU156" s="55" t="n"/>
      <c r="HV156" s="255" t="n"/>
      <c r="HW156" s="252" t="n"/>
      <c r="HX156" s="256" t="n"/>
      <c r="HY156" s="254" t="n"/>
      <c r="HZ156" s="253" t="n"/>
      <c r="IA156" s="252" t="n"/>
      <c r="IB156" s="257" t="n"/>
      <c r="IC156" s="55" t="n"/>
      <c r="ID156" s="253" t="n"/>
      <c r="IE156" s="252" t="n"/>
      <c r="IF156" s="253" t="n"/>
      <c r="IG156" s="55" t="n"/>
      <c r="IH156" s="253" t="n"/>
      <c r="II156" s="252" t="n"/>
      <c r="IJ156" s="257" t="n"/>
      <c r="IK156" s="55" t="n"/>
      <c r="IL156" s="253" t="n"/>
      <c r="IM156" s="252" t="n"/>
      <c r="IN156" s="253" t="n"/>
      <c r="IO156" s="55" t="n"/>
      <c r="IP156" s="253" t="n"/>
      <c r="IQ156" s="252" t="n"/>
      <c r="IR156" s="253" t="n"/>
      <c r="IS156" s="254" t="n"/>
      <c r="IT156" s="253" t="n"/>
      <c r="IU156" s="252" t="n"/>
      <c r="IV156" s="258" t="n"/>
      <c r="IW156" s="259" t="n"/>
      <c r="IX156" s="253" t="n"/>
      <c r="IY156" s="252" t="n"/>
      <c r="IZ156" s="261" t="n"/>
      <c r="JA156" s="392" t="n"/>
      <c r="JB156" s="253" t="n"/>
      <c r="JC156" s="393" t="n"/>
      <c r="JD156" s="393" t="n"/>
    </row>
    <row r="157">
      <c r="E157" s="248" t="n"/>
      <c r="F157" s="248" t="n"/>
      <c r="G157" s="249" t="n"/>
      <c r="H157" s="250" t="n"/>
      <c r="I157" s="251" t="n"/>
      <c r="J157" s="251" t="n"/>
      <c r="K157" s="251" t="n"/>
      <c r="L157" s="251" t="n"/>
      <c r="M157" s="251" t="n"/>
      <c r="N157" s="251" t="n"/>
      <c r="O157" s="252" t="n"/>
      <c r="P157" s="253" t="n"/>
      <c r="Q157" s="254" t="n"/>
      <c r="R157" s="253" t="n"/>
      <c r="S157" s="252" t="n"/>
      <c r="T157" s="253" t="n"/>
      <c r="U157" s="254" t="n"/>
      <c r="V157" s="253" t="n"/>
      <c r="W157" s="252" t="n"/>
      <c r="X157" s="253" t="n"/>
      <c r="Y157" s="254" t="n"/>
      <c r="Z157" s="253" t="n"/>
      <c r="AA157" s="252" t="n"/>
      <c r="AB157" s="253" t="n"/>
      <c r="AC157" s="55" t="n"/>
      <c r="AD157" s="255" t="n"/>
      <c r="AE157" s="252" t="n"/>
      <c r="AF157" s="256" t="n"/>
      <c r="AG157" s="254" t="n"/>
      <c r="AH157" s="253" t="n"/>
      <c r="AI157" s="252" t="n"/>
      <c r="AJ157" s="257" t="n"/>
      <c r="AK157" s="55" t="n"/>
      <c r="AL157" s="253" t="n"/>
      <c r="AM157" s="252" t="n"/>
      <c r="AN157" s="253" t="n"/>
      <c r="AO157" s="55" t="n"/>
      <c r="AP157" s="253" t="n"/>
      <c r="AQ157" s="252" t="n"/>
      <c r="AR157" s="257" t="n"/>
      <c r="AS157" s="55" t="n"/>
      <c r="AT157" s="253" t="n"/>
      <c r="AU157" s="252" t="n"/>
      <c r="AV157" s="253" t="n"/>
      <c r="AW157" s="55" t="n"/>
      <c r="AX157" s="253" t="n"/>
      <c r="AY157" s="252" t="n"/>
      <c r="AZ157" s="253" t="n"/>
      <c r="BA157" s="254" t="n"/>
      <c r="BB157" s="255" t="n"/>
      <c r="BC157" s="252" t="n"/>
      <c r="BD157" s="258" t="n"/>
      <c r="BE157" s="259" t="n"/>
      <c r="BF157" s="255" t="n"/>
      <c r="BG157" s="260" t="n"/>
      <c r="BH157" s="261" t="n"/>
      <c r="BI157" s="392" t="n"/>
      <c r="BJ157" s="255" t="n"/>
      <c r="BK157" s="393" t="n"/>
      <c r="BL157" s="393" t="n"/>
      <c r="BM157" s="252" t="n"/>
      <c r="BN157" s="253" t="n"/>
      <c r="BO157" s="254" t="n"/>
      <c r="BP157" s="253" t="n"/>
      <c r="BQ157" s="252" t="n"/>
      <c r="BR157" s="253" t="n"/>
      <c r="BS157" s="254" t="n"/>
      <c r="BT157" s="253" t="n"/>
      <c r="BU157" s="264" t="n"/>
      <c r="BV157" s="253" t="n"/>
      <c r="BW157" s="254" t="n"/>
      <c r="BX157" s="253" t="n"/>
      <c r="BY157" s="264" t="n"/>
      <c r="BZ157" s="253" t="n"/>
      <c r="CA157" s="55" t="n"/>
      <c r="CB157" s="255" t="n"/>
      <c r="CC157" s="252" t="n"/>
      <c r="CD157" s="256" t="n"/>
      <c r="CE157" s="55" t="n"/>
      <c r="CF157" s="253" t="n"/>
      <c r="CG157" s="252" t="n"/>
      <c r="CH157" s="257" t="n"/>
      <c r="CI157" s="55" t="n"/>
      <c r="CJ157" s="253" t="n"/>
      <c r="CK157" s="252" t="n"/>
      <c r="CL157" s="253" t="n"/>
      <c r="CM157" s="55" t="n"/>
      <c r="CN157" s="253" t="n"/>
      <c r="CO157" s="252" t="n"/>
      <c r="CP157" s="257" t="n"/>
      <c r="CQ157" s="55" t="n"/>
      <c r="CR157" s="253" t="n"/>
      <c r="CS157" s="252" t="n"/>
      <c r="CT157" s="253" t="n"/>
      <c r="CU157" s="55" t="n"/>
      <c r="CV157" s="253" t="n"/>
      <c r="CW157" s="252" t="n"/>
      <c r="CX157" s="253" t="n"/>
      <c r="CY157" s="254" t="n"/>
      <c r="CZ157" s="253" t="n"/>
      <c r="DA157" s="252" t="n"/>
      <c r="DB157" s="258" t="n"/>
      <c r="DC157" s="259" t="n"/>
      <c r="DD157" s="253" t="n"/>
      <c r="DE157" s="252" t="n"/>
      <c r="DF157" s="261" t="n"/>
      <c r="DG157" s="392" t="n"/>
      <c r="DH157" s="253" t="n"/>
      <c r="DI157" s="393" t="n"/>
      <c r="DJ157" s="393" t="n"/>
      <c r="DK157" s="252" t="n"/>
      <c r="DL157" s="253" t="n"/>
      <c r="DM157" s="254" t="n"/>
      <c r="DN157" s="253" t="n"/>
      <c r="DO157" s="252" t="n"/>
      <c r="DP157" s="253" t="n"/>
      <c r="DQ157" s="254" t="n"/>
      <c r="DR157" s="253" t="n"/>
      <c r="DS157" s="264" t="n"/>
      <c r="DT157" s="253" t="n"/>
      <c r="DU157" s="254" t="n"/>
      <c r="DV157" s="253" t="n"/>
      <c r="DW157" s="264" t="n"/>
      <c r="DX157" s="253" t="n"/>
      <c r="DY157" s="55" t="n"/>
      <c r="DZ157" s="255" t="n"/>
      <c r="EA157" s="252" t="n"/>
      <c r="EB157" s="256" t="n"/>
      <c r="EC157" s="254" t="n"/>
      <c r="ED157" s="253" t="n"/>
      <c r="EE157" s="252" t="n"/>
      <c r="EF157" s="257" t="n"/>
      <c r="EG157" s="55" t="n"/>
      <c r="EH157" s="253" t="n"/>
      <c r="EI157" s="252" t="n"/>
      <c r="EJ157" s="253" t="n"/>
      <c r="EK157" s="55" t="n"/>
      <c r="EL157" s="253" t="n"/>
      <c r="EM157" s="252" t="n"/>
      <c r="EN157" s="257" t="n"/>
      <c r="EO157" s="55" t="n"/>
      <c r="EP157" s="253" t="n"/>
      <c r="EQ157" s="252" t="n"/>
      <c r="ER157" s="253" t="n"/>
      <c r="ES157" s="55" t="n"/>
      <c r="ET157" s="253" t="n"/>
      <c r="EU157" s="252" t="n"/>
      <c r="EV157" s="253" t="n"/>
      <c r="EW157" s="254" t="n"/>
      <c r="EX157" s="253" t="n"/>
      <c r="EY157" s="252" t="n"/>
      <c r="EZ157" s="258" t="n"/>
      <c r="FA157" s="259" t="n"/>
      <c r="FB157" s="253" t="n"/>
      <c r="FC157" s="252" t="n"/>
      <c r="FD157" s="261" t="n"/>
      <c r="FE157" s="392" t="n"/>
      <c r="FF157" s="253" t="n"/>
      <c r="FG157" s="393" t="n"/>
      <c r="FH157" s="393" t="n"/>
      <c r="FI157" s="252" t="n"/>
      <c r="FJ157" s="253" t="n"/>
      <c r="FK157" s="254" t="n"/>
      <c r="FL157" s="253" t="n"/>
      <c r="FM157" s="252" t="n"/>
      <c r="FN157" s="253" t="n"/>
      <c r="FO157" s="254" t="n"/>
      <c r="FP157" s="253" t="n"/>
      <c r="FQ157" s="264" t="n"/>
      <c r="FR157" s="253" t="n"/>
      <c r="FS157" s="254" t="n"/>
      <c r="FT157" s="253" t="n"/>
      <c r="FU157" s="264" t="n"/>
      <c r="FV157" s="253" t="n"/>
      <c r="FW157" s="55" t="n"/>
      <c r="FX157" s="255" t="n"/>
      <c r="FY157" s="252" t="n"/>
      <c r="FZ157" s="256" t="n"/>
      <c r="GA157" s="254" t="n"/>
      <c r="GB157" s="253" t="n"/>
      <c r="GC157" s="252" t="n"/>
      <c r="GD157" s="257" t="n"/>
      <c r="GE157" s="55" t="n"/>
      <c r="GF157" s="253" t="n"/>
      <c r="GG157" s="252" t="n"/>
      <c r="GH157" s="253" t="n"/>
      <c r="GI157" s="55" t="n"/>
      <c r="GJ157" s="253" t="n"/>
      <c r="GK157" s="252" t="n"/>
      <c r="GL157" s="257" t="n"/>
      <c r="GM157" s="55" t="n"/>
      <c r="GN157" s="253" t="n"/>
      <c r="GO157" s="252" t="n"/>
      <c r="GP157" s="253" t="n"/>
      <c r="GQ157" s="55" t="n"/>
      <c r="GR157" s="253" t="n"/>
      <c r="GS157" s="252" t="n"/>
      <c r="GT157" s="253" t="n"/>
      <c r="GU157" s="254" t="n"/>
      <c r="GV157" s="253" t="n"/>
      <c r="GW157" s="252" t="n"/>
      <c r="GX157" s="258" t="n"/>
      <c r="GY157" s="259" t="n"/>
      <c r="GZ157" s="253" t="n"/>
      <c r="HA157" s="252" t="n"/>
      <c r="HB157" s="261" t="n"/>
      <c r="HC157" s="392" t="n"/>
      <c r="HD157" s="253" t="n"/>
      <c r="HE157" s="393" t="n"/>
      <c r="HF157" s="393" t="n"/>
      <c r="HG157" s="252" t="n"/>
      <c r="HH157" s="253" t="n"/>
      <c r="HI157" s="254" t="n"/>
      <c r="HJ157" s="253" t="n"/>
      <c r="HK157" s="252" t="n"/>
      <c r="HL157" s="253" t="n"/>
      <c r="HM157" s="254" t="n"/>
      <c r="HN157" s="253" t="n"/>
      <c r="HO157" s="264" t="n"/>
      <c r="HP157" s="253" t="n"/>
      <c r="HQ157" s="254" t="n"/>
      <c r="HR157" s="253" t="n"/>
      <c r="HS157" s="264" t="n"/>
      <c r="HT157" s="253" t="n"/>
      <c r="HU157" s="55" t="n"/>
      <c r="HV157" s="255" t="n"/>
      <c r="HW157" s="252" t="n"/>
      <c r="HX157" s="256" t="n"/>
      <c r="HY157" s="254" t="n"/>
      <c r="HZ157" s="253" t="n"/>
      <c r="IA157" s="252" t="n"/>
      <c r="IB157" s="257" t="n"/>
      <c r="IC157" s="55" t="n"/>
      <c r="ID157" s="253" t="n"/>
      <c r="IE157" s="252" t="n"/>
      <c r="IF157" s="253" t="n"/>
      <c r="IG157" s="55" t="n"/>
      <c r="IH157" s="253" t="n"/>
      <c r="II157" s="252" t="n"/>
      <c r="IJ157" s="257" t="n"/>
      <c r="IK157" s="55" t="n"/>
      <c r="IL157" s="253" t="n"/>
      <c r="IM157" s="252" t="n"/>
      <c r="IN157" s="253" t="n"/>
      <c r="IO157" s="55" t="n"/>
      <c r="IP157" s="253" t="n"/>
      <c r="IQ157" s="252" t="n"/>
      <c r="IR157" s="253" t="n"/>
      <c r="IS157" s="254" t="n"/>
      <c r="IT157" s="253" t="n"/>
      <c r="IU157" s="252" t="n"/>
      <c r="IV157" s="258" t="n"/>
      <c r="IW157" s="259" t="n"/>
      <c r="IX157" s="253" t="n"/>
      <c r="IY157" s="252" t="n"/>
      <c r="IZ157" s="261" t="n"/>
      <c r="JA157" s="392" t="n"/>
      <c r="JB157" s="253" t="n"/>
      <c r="JC157" s="393" t="n"/>
      <c r="JD157" s="393" t="n"/>
    </row>
    <row r="158">
      <c r="E158" s="248" t="n"/>
      <c r="F158" s="248" t="n"/>
      <c r="G158" s="249" t="n"/>
      <c r="H158" s="250" t="n"/>
      <c r="I158" s="251" t="n"/>
      <c r="J158" s="251" t="n"/>
      <c r="K158" s="251" t="n"/>
      <c r="L158" s="251" t="n"/>
      <c r="M158" s="251" t="n"/>
      <c r="N158" s="251" t="n"/>
      <c r="O158" s="252" t="n"/>
      <c r="P158" s="253" t="n"/>
      <c r="Q158" s="254" t="n"/>
      <c r="R158" s="253" t="n"/>
      <c r="S158" s="252" t="n"/>
      <c r="T158" s="253" t="n"/>
      <c r="U158" s="254" t="n"/>
      <c r="V158" s="253" t="n"/>
      <c r="W158" s="252" t="n"/>
      <c r="X158" s="253" t="n"/>
      <c r="Y158" s="254" t="n"/>
      <c r="Z158" s="253" t="n"/>
      <c r="AA158" s="252" t="n"/>
      <c r="AB158" s="253" t="n"/>
      <c r="AC158" s="55" t="n"/>
      <c r="AD158" s="255" t="n"/>
      <c r="AE158" s="252" t="n"/>
      <c r="AF158" s="256" t="n"/>
      <c r="AG158" s="254" t="n"/>
      <c r="AH158" s="253" t="n"/>
      <c r="AI158" s="252" t="n"/>
      <c r="AJ158" s="257" t="n"/>
      <c r="AK158" s="55" t="n"/>
      <c r="AL158" s="253" t="n"/>
      <c r="AM158" s="252" t="n"/>
      <c r="AN158" s="253" t="n"/>
      <c r="AO158" s="55" t="n"/>
      <c r="AP158" s="253" t="n"/>
      <c r="AQ158" s="252" t="n"/>
      <c r="AR158" s="257" t="n"/>
      <c r="AS158" s="55" t="n"/>
      <c r="AT158" s="253" t="n"/>
      <c r="AU158" s="252" t="n"/>
      <c r="AV158" s="253" t="n"/>
      <c r="AW158" s="55" t="n"/>
      <c r="AX158" s="253" t="n"/>
      <c r="AY158" s="252" t="n"/>
      <c r="AZ158" s="253" t="n"/>
      <c r="BA158" s="254" t="n"/>
      <c r="BB158" s="255" t="n"/>
      <c r="BC158" s="252" t="n"/>
      <c r="BD158" s="258" t="n"/>
      <c r="BE158" s="259" t="n"/>
      <c r="BF158" s="255" t="n"/>
      <c r="BG158" s="260" t="n"/>
      <c r="BH158" s="261" t="n"/>
      <c r="BI158" s="392" t="n"/>
      <c r="BJ158" s="255" t="n"/>
      <c r="BK158" s="393" t="n"/>
      <c r="BL158" s="393" t="n"/>
      <c r="BM158" s="252" t="n"/>
      <c r="BN158" s="253" t="n"/>
      <c r="BO158" s="254" t="n"/>
      <c r="BP158" s="253" t="n"/>
      <c r="BQ158" s="252" t="n"/>
      <c r="BR158" s="253" t="n"/>
      <c r="BS158" s="254" t="n"/>
      <c r="BT158" s="253" t="n"/>
      <c r="BU158" s="264" t="n"/>
      <c r="BV158" s="253" t="n"/>
      <c r="BW158" s="254" t="n"/>
      <c r="BX158" s="253" t="n"/>
      <c r="BY158" s="264" t="n"/>
      <c r="BZ158" s="253" t="n"/>
      <c r="CA158" s="55" t="n"/>
      <c r="CB158" s="255" t="n"/>
      <c r="CC158" s="252" t="n"/>
      <c r="CD158" s="256" t="n"/>
      <c r="CE158" s="55" t="n"/>
      <c r="CF158" s="253" t="n"/>
      <c r="CG158" s="252" t="n"/>
      <c r="CH158" s="257" t="n"/>
      <c r="CI158" s="55" t="n"/>
      <c r="CJ158" s="253" t="n"/>
      <c r="CK158" s="252" t="n"/>
      <c r="CL158" s="253" t="n"/>
      <c r="CM158" s="55" t="n"/>
      <c r="CN158" s="253" t="n"/>
      <c r="CO158" s="252" t="n"/>
      <c r="CP158" s="257" t="n"/>
      <c r="CQ158" s="55" t="n"/>
      <c r="CR158" s="253" t="n"/>
      <c r="CS158" s="252" t="n"/>
      <c r="CT158" s="253" t="n"/>
      <c r="CU158" s="55" t="n"/>
      <c r="CV158" s="253" t="n"/>
      <c r="CW158" s="252" t="n"/>
      <c r="CX158" s="253" t="n"/>
      <c r="CY158" s="254" t="n"/>
      <c r="CZ158" s="253" t="n"/>
      <c r="DA158" s="252" t="n"/>
      <c r="DB158" s="258" t="n"/>
      <c r="DC158" s="259" t="n"/>
      <c r="DD158" s="253" t="n"/>
      <c r="DE158" s="252" t="n"/>
      <c r="DF158" s="261" t="n"/>
      <c r="DG158" s="392" t="n"/>
      <c r="DH158" s="253" t="n"/>
      <c r="DI158" s="393" t="n"/>
      <c r="DJ158" s="393" t="n"/>
      <c r="DK158" s="252" t="n"/>
      <c r="DL158" s="253" t="n"/>
      <c r="DM158" s="254" t="n"/>
      <c r="DN158" s="253" t="n"/>
      <c r="DO158" s="252" t="n"/>
      <c r="DP158" s="253" t="n"/>
      <c r="DQ158" s="254" t="n"/>
      <c r="DR158" s="253" t="n"/>
      <c r="DS158" s="264" t="n"/>
      <c r="DT158" s="253" t="n"/>
      <c r="DU158" s="254" t="n"/>
      <c r="DV158" s="253" t="n"/>
      <c r="DW158" s="264" t="n"/>
      <c r="DX158" s="253" t="n"/>
      <c r="DY158" s="55" t="n"/>
      <c r="DZ158" s="255" t="n"/>
      <c r="EA158" s="252" t="n"/>
      <c r="EB158" s="256" t="n"/>
      <c r="EC158" s="254" t="n"/>
      <c r="ED158" s="253" t="n"/>
      <c r="EE158" s="252" t="n"/>
      <c r="EF158" s="257" t="n"/>
      <c r="EG158" s="55" t="n"/>
      <c r="EH158" s="253" t="n"/>
      <c r="EI158" s="252" t="n"/>
      <c r="EJ158" s="253" t="n"/>
      <c r="EK158" s="55" t="n"/>
      <c r="EL158" s="253" t="n"/>
      <c r="EM158" s="252" t="n"/>
      <c r="EN158" s="257" t="n"/>
      <c r="EO158" s="55" t="n"/>
      <c r="EP158" s="253" t="n"/>
      <c r="EQ158" s="252" t="n"/>
      <c r="ER158" s="253" t="n"/>
      <c r="ES158" s="55" t="n"/>
      <c r="ET158" s="253" t="n"/>
      <c r="EU158" s="252" t="n"/>
      <c r="EV158" s="253" t="n"/>
      <c r="EW158" s="254" t="n"/>
      <c r="EX158" s="253" t="n"/>
      <c r="EY158" s="252" t="n"/>
      <c r="EZ158" s="258" t="n"/>
      <c r="FA158" s="259" t="n"/>
      <c r="FB158" s="253" t="n"/>
      <c r="FC158" s="252" t="n"/>
      <c r="FD158" s="261" t="n"/>
      <c r="FE158" s="392" t="n"/>
      <c r="FF158" s="253" t="n"/>
      <c r="FG158" s="393" t="n"/>
      <c r="FH158" s="393" t="n"/>
      <c r="FI158" s="252" t="n"/>
      <c r="FJ158" s="253" t="n"/>
      <c r="FK158" s="254" t="n"/>
      <c r="FL158" s="253" t="n"/>
      <c r="FM158" s="252" t="n"/>
      <c r="FN158" s="253" t="n"/>
      <c r="FO158" s="254" t="n"/>
      <c r="FP158" s="253" t="n"/>
      <c r="FQ158" s="264" t="n"/>
      <c r="FR158" s="253" t="n"/>
      <c r="FS158" s="254" t="n"/>
      <c r="FT158" s="253" t="n"/>
      <c r="FU158" s="264" t="n"/>
      <c r="FV158" s="253" t="n"/>
      <c r="FW158" s="55" t="n"/>
      <c r="FX158" s="255" t="n"/>
      <c r="FY158" s="252" t="n"/>
      <c r="FZ158" s="256" t="n"/>
      <c r="GA158" s="254" t="n"/>
      <c r="GB158" s="253" t="n"/>
      <c r="GC158" s="252" t="n"/>
      <c r="GD158" s="257" t="n"/>
      <c r="GE158" s="55" t="n"/>
      <c r="GF158" s="253" t="n"/>
      <c r="GG158" s="252" t="n"/>
      <c r="GH158" s="253" t="n"/>
      <c r="GI158" s="55" t="n"/>
      <c r="GJ158" s="253" t="n"/>
      <c r="GK158" s="252" t="n"/>
      <c r="GL158" s="257" t="n"/>
      <c r="GM158" s="55" t="n"/>
      <c r="GN158" s="253" t="n"/>
      <c r="GO158" s="252" t="n"/>
      <c r="GP158" s="253" t="n"/>
      <c r="GQ158" s="55" t="n"/>
      <c r="GR158" s="253" t="n"/>
      <c r="GS158" s="252" t="n"/>
      <c r="GT158" s="253" t="n"/>
      <c r="GU158" s="254" t="n"/>
      <c r="GV158" s="253" t="n"/>
      <c r="GW158" s="252" t="n"/>
      <c r="GX158" s="258" t="n"/>
      <c r="GY158" s="259" t="n"/>
      <c r="GZ158" s="253" t="n"/>
      <c r="HA158" s="252" t="n"/>
      <c r="HB158" s="261" t="n"/>
      <c r="HC158" s="392" t="n"/>
      <c r="HD158" s="253" t="n"/>
      <c r="HE158" s="393" t="n"/>
      <c r="HF158" s="393" t="n"/>
      <c r="HG158" s="252" t="n"/>
      <c r="HH158" s="253" t="n"/>
      <c r="HI158" s="254" t="n"/>
      <c r="HJ158" s="253" t="n"/>
      <c r="HK158" s="252" t="n"/>
      <c r="HL158" s="253" t="n"/>
      <c r="HM158" s="254" t="n"/>
      <c r="HN158" s="253" t="n"/>
      <c r="HO158" s="264" t="n"/>
      <c r="HP158" s="253" t="n"/>
      <c r="HQ158" s="254" t="n"/>
      <c r="HR158" s="253" t="n"/>
      <c r="HS158" s="264" t="n"/>
      <c r="HT158" s="253" t="n"/>
      <c r="HU158" s="55" t="n"/>
      <c r="HV158" s="255" t="n"/>
      <c r="HW158" s="252" t="n"/>
      <c r="HX158" s="256" t="n"/>
      <c r="HY158" s="254" t="n"/>
      <c r="HZ158" s="253" t="n"/>
      <c r="IA158" s="252" t="n"/>
      <c r="IB158" s="257" t="n"/>
      <c r="IC158" s="55" t="n"/>
      <c r="ID158" s="253" t="n"/>
      <c r="IE158" s="252" t="n"/>
      <c r="IF158" s="253" t="n"/>
      <c r="IG158" s="55" t="n"/>
      <c r="IH158" s="253" t="n"/>
      <c r="II158" s="252" t="n"/>
      <c r="IJ158" s="257" t="n"/>
      <c r="IK158" s="55" t="n"/>
      <c r="IL158" s="253" t="n"/>
      <c r="IM158" s="252" t="n"/>
      <c r="IN158" s="253" t="n"/>
      <c r="IO158" s="55" t="n"/>
      <c r="IP158" s="253" t="n"/>
      <c r="IQ158" s="252" t="n"/>
      <c r="IR158" s="253" t="n"/>
      <c r="IS158" s="254" t="n"/>
      <c r="IT158" s="253" t="n"/>
      <c r="IU158" s="252" t="n"/>
      <c r="IV158" s="258" t="n"/>
      <c r="IW158" s="259" t="n"/>
      <c r="IX158" s="253" t="n"/>
      <c r="IY158" s="252" t="n"/>
      <c r="IZ158" s="261" t="n"/>
      <c r="JA158" s="392" t="n"/>
      <c r="JB158" s="253" t="n"/>
      <c r="JC158" s="393" t="n"/>
      <c r="JD158" s="393" t="n"/>
    </row>
    <row r="159">
      <c r="E159" s="248" t="n"/>
      <c r="F159" s="248" t="n"/>
      <c r="G159" s="249" t="n"/>
      <c r="H159" s="250" t="n"/>
      <c r="I159" s="251" t="n"/>
      <c r="J159" s="251" t="n"/>
      <c r="K159" s="251" t="n"/>
      <c r="L159" s="251" t="n"/>
      <c r="M159" s="251" t="n"/>
      <c r="N159" s="251" t="n"/>
      <c r="O159" s="252" t="n"/>
      <c r="P159" s="253" t="n"/>
      <c r="Q159" s="254" t="n"/>
      <c r="R159" s="253" t="n"/>
      <c r="S159" s="252" t="n"/>
      <c r="T159" s="253" t="n"/>
      <c r="U159" s="254" t="n"/>
      <c r="V159" s="253" t="n"/>
      <c r="W159" s="252" t="n"/>
      <c r="X159" s="253" t="n"/>
      <c r="Y159" s="254" t="n"/>
      <c r="Z159" s="253" t="n"/>
      <c r="AA159" s="252" t="n"/>
      <c r="AB159" s="253" t="n"/>
      <c r="AC159" s="55" t="n"/>
      <c r="AD159" s="255" t="n"/>
      <c r="AE159" s="252" t="n"/>
      <c r="AF159" s="256" t="n"/>
      <c r="AG159" s="254" t="n"/>
      <c r="AH159" s="253" t="n"/>
      <c r="AI159" s="252" t="n"/>
      <c r="AJ159" s="257" t="n"/>
      <c r="AK159" s="55" t="n"/>
      <c r="AL159" s="253" t="n"/>
      <c r="AM159" s="252" t="n"/>
      <c r="AN159" s="253" t="n"/>
      <c r="AO159" s="55" t="n"/>
      <c r="AP159" s="253" t="n"/>
      <c r="AQ159" s="252" t="n"/>
      <c r="AR159" s="257" t="n"/>
      <c r="AS159" s="55" t="n"/>
      <c r="AT159" s="253" t="n"/>
      <c r="AU159" s="252" t="n"/>
      <c r="AV159" s="253" t="n"/>
      <c r="AW159" s="55" t="n"/>
      <c r="AX159" s="253" t="n"/>
      <c r="AY159" s="252" t="n"/>
      <c r="AZ159" s="253" t="n"/>
      <c r="BA159" s="254" t="n"/>
      <c r="BB159" s="255" t="n"/>
      <c r="BC159" s="252" t="n"/>
      <c r="BD159" s="258" t="n"/>
      <c r="BE159" s="259" t="n"/>
      <c r="BF159" s="255" t="n"/>
      <c r="BG159" s="260" t="n"/>
      <c r="BH159" s="261" t="n"/>
      <c r="BI159" s="392" t="n"/>
      <c r="BJ159" s="255" t="n"/>
      <c r="BK159" s="393" t="n"/>
      <c r="BL159" s="393" t="n"/>
      <c r="BM159" s="252" t="n"/>
      <c r="BN159" s="253" t="n"/>
      <c r="BO159" s="254" t="n"/>
      <c r="BP159" s="253" t="n"/>
      <c r="BQ159" s="252" t="n"/>
      <c r="BR159" s="253" t="n"/>
      <c r="BS159" s="254" t="n"/>
      <c r="BT159" s="253" t="n"/>
      <c r="BU159" s="264" t="n"/>
      <c r="BV159" s="253" t="n"/>
      <c r="BW159" s="254" t="n"/>
      <c r="BX159" s="253" t="n"/>
      <c r="BY159" s="264" t="n"/>
      <c r="BZ159" s="253" t="n"/>
      <c r="CA159" s="55" t="n"/>
      <c r="CB159" s="255" t="n"/>
      <c r="CC159" s="252" t="n"/>
      <c r="CD159" s="256" t="n"/>
      <c r="CE159" s="55" t="n"/>
      <c r="CF159" s="253" t="n"/>
      <c r="CG159" s="252" t="n"/>
      <c r="CH159" s="257" t="n"/>
      <c r="CI159" s="55" t="n"/>
      <c r="CJ159" s="253" t="n"/>
      <c r="CK159" s="252" t="n"/>
      <c r="CL159" s="253" t="n"/>
      <c r="CM159" s="55" t="n"/>
      <c r="CN159" s="253" t="n"/>
      <c r="CO159" s="252" t="n"/>
      <c r="CP159" s="257" t="n"/>
      <c r="CQ159" s="55" t="n"/>
      <c r="CR159" s="253" t="n"/>
      <c r="CS159" s="252" t="n"/>
      <c r="CT159" s="253" t="n"/>
      <c r="CU159" s="55" t="n"/>
      <c r="CV159" s="253" t="n"/>
      <c r="CW159" s="252" t="n"/>
      <c r="CX159" s="253" t="n"/>
      <c r="CY159" s="254" t="n"/>
      <c r="CZ159" s="253" t="n"/>
      <c r="DA159" s="252" t="n"/>
      <c r="DB159" s="258" t="n"/>
      <c r="DC159" s="259" t="n"/>
      <c r="DD159" s="253" t="n"/>
      <c r="DE159" s="252" t="n"/>
      <c r="DF159" s="261" t="n"/>
      <c r="DG159" s="392" t="n"/>
      <c r="DH159" s="253" t="n"/>
      <c r="DI159" s="393" t="n"/>
      <c r="DJ159" s="393" t="n"/>
      <c r="DK159" s="252" t="n"/>
      <c r="DL159" s="253" t="n"/>
      <c r="DM159" s="254" t="n"/>
      <c r="DN159" s="253" t="n"/>
      <c r="DO159" s="252" t="n"/>
      <c r="DP159" s="253" t="n"/>
      <c r="DQ159" s="254" t="n"/>
      <c r="DR159" s="253" t="n"/>
      <c r="DS159" s="264" t="n"/>
      <c r="DT159" s="253" t="n"/>
      <c r="DU159" s="254" t="n"/>
      <c r="DV159" s="253" t="n"/>
      <c r="DW159" s="264" t="n"/>
      <c r="DX159" s="253" t="n"/>
      <c r="DY159" s="55" t="n"/>
      <c r="DZ159" s="255" t="n"/>
      <c r="EA159" s="252" t="n"/>
      <c r="EB159" s="256" t="n"/>
      <c r="EC159" s="254" t="n"/>
      <c r="ED159" s="253" t="n"/>
      <c r="EE159" s="252" t="n"/>
      <c r="EF159" s="257" t="n"/>
      <c r="EG159" s="55" t="n"/>
      <c r="EH159" s="253" t="n"/>
      <c r="EI159" s="252" t="n"/>
      <c r="EJ159" s="253" t="n"/>
      <c r="EK159" s="55" t="n"/>
      <c r="EL159" s="253" t="n"/>
      <c r="EM159" s="252" t="n"/>
      <c r="EN159" s="257" t="n"/>
      <c r="EO159" s="55" t="n"/>
      <c r="EP159" s="253" t="n"/>
      <c r="EQ159" s="252" t="n"/>
      <c r="ER159" s="253" t="n"/>
      <c r="ES159" s="55" t="n"/>
      <c r="ET159" s="253" t="n"/>
      <c r="EU159" s="252" t="n"/>
      <c r="EV159" s="253" t="n"/>
      <c r="EW159" s="254" t="n"/>
      <c r="EX159" s="253" t="n"/>
      <c r="EY159" s="252" t="n"/>
      <c r="EZ159" s="258" t="n"/>
      <c r="FA159" s="259" t="n"/>
      <c r="FB159" s="253" t="n"/>
      <c r="FC159" s="252" t="n"/>
      <c r="FD159" s="261" t="n"/>
      <c r="FE159" s="392" t="n"/>
      <c r="FF159" s="253" t="n"/>
      <c r="FG159" s="393" t="n"/>
      <c r="FH159" s="393" t="n"/>
      <c r="FI159" s="252" t="n"/>
      <c r="FJ159" s="253" t="n"/>
      <c r="FK159" s="254" t="n"/>
      <c r="FL159" s="253" t="n"/>
      <c r="FM159" s="252" t="n"/>
      <c r="FN159" s="253" t="n"/>
      <c r="FO159" s="254" t="n"/>
      <c r="FP159" s="253" t="n"/>
      <c r="FQ159" s="264" t="n"/>
      <c r="FR159" s="253" t="n"/>
      <c r="FS159" s="254" t="n"/>
      <c r="FT159" s="253" t="n"/>
      <c r="FU159" s="264" t="n"/>
      <c r="FV159" s="253" t="n"/>
      <c r="FW159" s="55" t="n"/>
      <c r="FX159" s="255" t="n"/>
      <c r="FY159" s="252" t="n"/>
      <c r="FZ159" s="256" t="n"/>
      <c r="GA159" s="254" t="n"/>
      <c r="GB159" s="253" t="n"/>
      <c r="GC159" s="252" t="n"/>
      <c r="GD159" s="257" t="n"/>
      <c r="GE159" s="55" t="n"/>
      <c r="GF159" s="253" t="n"/>
      <c r="GG159" s="252" t="n"/>
      <c r="GH159" s="253" t="n"/>
      <c r="GI159" s="55" t="n"/>
      <c r="GJ159" s="253" t="n"/>
      <c r="GK159" s="252" t="n"/>
      <c r="GL159" s="257" t="n"/>
      <c r="GM159" s="55" t="n"/>
      <c r="GN159" s="253" t="n"/>
      <c r="GO159" s="252" t="n"/>
      <c r="GP159" s="253" t="n"/>
      <c r="GQ159" s="55" t="n"/>
      <c r="GR159" s="253" t="n"/>
      <c r="GS159" s="252" t="n"/>
      <c r="GT159" s="253" t="n"/>
      <c r="GU159" s="254" t="n"/>
      <c r="GV159" s="253" t="n"/>
      <c r="GW159" s="252" t="n"/>
      <c r="GX159" s="258" t="n"/>
      <c r="GY159" s="259" t="n"/>
      <c r="GZ159" s="253" t="n"/>
      <c r="HA159" s="252" t="n"/>
      <c r="HB159" s="261" t="n"/>
      <c r="HC159" s="392" t="n"/>
      <c r="HD159" s="253" t="n"/>
      <c r="HE159" s="393" t="n"/>
      <c r="HF159" s="393" t="n"/>
      <c r="HG159" s="252" t="n"/>
      <c r="HH159" s="253" t="n"/>
      <c r="HI159" s="254" t="n"/>
      <c r="HJ159" s="253" t="n"/>
      <c r="HK159" s="252" t="n"/>
      <c r="HL159" s="253" t="n"/>
      <c r="HM159" s="254" t="n"/>
      <c r="HN159" s="253" t="n"/>
      <c r="HO159" s="264" t="n"/>
      <c r="HP159" s="253" t="n"/>
      <c r="HQ159" s="254" t="n"/>
      <c r="HR159" s="253" t="n"/>
      <c r="HS159" s="264" t="n"/>
      <c r="HT159" s="253" t="n"/>
      <c r="HU159" s="55" t="n"/>
      <c r="HV159" s="255" t="n"/>
      <c r="HW159" s="252" t="n"/>
      <c r="HX159" s="256" t="n"/>
      <c r="HY159" s="254" t="n"/>
      <c r="HZ159" s="253" t="n"/>
      <c r="IA159" s="252" t="n"/>
      <c r="IB159" s="257" t="n"/>
      <c r="IC159" s="55" t="n"/>
      <c r="ID159" s="253" t="n"/>
      <c r="IE159" s="252" t="n"/>
      <c r="IF159" s="253" t="n"/>
      <c r="IG159" s="55" t="n"/>
      <c r="IH159" s="253" t="n"/>
      <c r="II159" s="252" t="n"/>
      <c r="IJ159" s="257" t="n"/>
      <c r="IK159" s="55" t="n"/>
      <c r="IL159" s="253" t="n"/>
      <c r="IM159" s="252" t="n"/>
      <c r="IN159" s="253" t="n"/>
      <c r="IO159" s="55" t="n"/>
      <c r="IP159" s="253" t="n"/>
      <c r="IQ159" s="252" t="n"/>
      <c r="IR159" s="253" t="n"/>
      <c r="IS159" s="254" t="n"/>
      <c r="IT159" s="253" t="n"/>
      <c r="IU159" s="252" t="n"/>
      <c r="IV159" s="258" t="n"/>
      <c r="IW159" s="259" t="n"/>
      <c r="IX159" s="253" t="n"/>
      <c r="IY159" s="252" t="n"/>
      <c r="IZ159" s="261" t="n"/>
      <c r="JA159" s="392" t="n"/>
      <c r="JB159" s="253" t="n"/>
      <c r="JC159" s="393" t="n"/>
      <c r="JD159" s="393" t="n"/>
    </row>
    <row r="160">
      <c r="E160" s="248" t="n"/>
      <c r="F160" s="248" t="n"/>
      <c r="G160" s="249" t="n"/>
      <c r="H160" s="250" t="n"/>
      <c r="I160" s="251" t="n"/>
      <c r="J160" s="251" t="n"/>
      <c r="K160" s="251" t="n"/>
      <c r="L160" s="251" t="n"/>
      <c r="M160" s="251" t="n"/>
      <c r="N160" s="251" t="n"/>
      <c r="O160" s="252" t="n"/>
      <c r="P160" s="253" t="n"/>
      <c r="Q160" s="254" t="n"/>
      <c r="R160" s="253" t="n"/>
      <c r="S160" s="252" t="n"/>
      <c r="T160" s="253" t="n"/>
      <c r="U160" s="254" t="n"/>
      <c r="V160" s="253" t="n"/>
      <c r="W160" s="252" t="n"/>
      <c r="X160" s="253" t="n"/>
      <c r="Y160" s="254" t="n"/>
      <c r="Z160" s="253" t="n"/>
      <c r="AA160" s="252" t="n"/>
      <c r="AB160" s="253" t="n"/>
      <c r="AC160" s="55" t="n"/>
      <c r="AD160" s="255" t="n"/>
      <c r="AE160" s="252" t="n"/>
      <c r="AF160" s="256" t="n"/>
      <c r="AG160" s="254" t="n"/>
      <c r="AH160" s="253" t="n"/>
      <c r="AI160" s="252" t="n"/>
      <c r="AJ160" s="257" t="n"/>
      <c r="AK160" s="55" t="n"/>
      <c r="AL160" s="253" t="n"/>
      <c r="AM160" s="252" t="n"/>
      <c r="AN160" s="253" t="n"/>
      <c r="AO160" s="55" t="n"/>
      <c r="AP160" s="253" t="n"/>
      <c r="AQ160" s="252" t="n"/>
      <c r="AR160" s="257" t="n"/>
      <c r="AS160" s="55" t="n"/>
      <c r="AT160" s="253" t="n"/>
      <c r="AU160" s="252" t="n"/>
      <c r="AV160" s="253" t="n"/>
      <c r="AW160" s="55" t="n"/>
      <c r="AX160" s="253" t="n"/>
      <c r="AY160" s="252" t="n"/>
      <c r="AZ160" s="253" t="n"/>
      <c r="BA160" s="254" t="n"/>
      <c r="BB160" s="255" t="n"/>
      <c r="BC160" s="252" t="n"/>
      <c r="BD160" s="258" t="n"/>
      <c r="BE160" s="259" t="n"/>
      <c r="BF160" s="255" t="n"/>
      <c r="BG160" s="260" t="n"/>
      <c r="BH160" s="261" t="n"/>
      <c r="BI160" s="392" t="n"/>
      <c r="BJ160" s="255" t="n"/>
      <c r="BK160" s="393" t="n"/>
      <c r="BL160" s="393" t="n"/>
      <c r="BM160" s="252" t="n"/>
      <c r="BN160" s="253" t="n"/>
      <c r="BO160" s="254" t="n"/>
      <c r="BP160" s="253" t="n"/>
      <c r="BQ160" s="252" t="n"/>
      <c r="BR160" s="253" t="n"/>
      <c r="BS160" s="254" t="n"/>
      <c r="BT160" s="253" t="n"/>
      <c r="BU160" s="264" t="n"/>
      <c r="BV160" s="253" t="n"/>
      <c r="BW160" s="254" t="n"/>
      <c r="BX160" s="253" t="n"/>
      <c r="BY160" s="264" t="n"/>
      <c r="BZ160" s="253" t="n"/>
      <c r="CA160" s="55" t="n"/>
      <c r="CB160" s="255" t="n"/>
      <c r="CC160" s="252" t="n"/>
      <c r="CD160" s="256" t="n"/>
      <c r="CE160" s="55" t="n"/>
      <c r="CF160" s="253" t="n"/>
      <c r="CG160" s="252" t="n"/>
      <c r="CH160" s="257" t="n"/>
      <c r="CI160" s="55" t="n"/>
      <c r="CJ160" s="253" t="n"/>
      <c r="CK160" s="252" t="n"/>
      <c r="CL160" s="253" t="n"/>
      <c r="CM160" s="55" t="n"/>
      <c r="CN160" s="253" t="n"/>
      <c r="CO160" s="252" t="n"/>
      <c r="CP160" s="257" t="n"/>
      <c r="CQ160" s="55" t="n"/>
      <c r="CR160" s="253" t="n"/>
      <c r="CS160" s="252" t="n"/>
      <c r="CT160" s="253" t="n"/>
      <c r="CU160" s="55" t="n"/>
      <c r="CV160" s="253" t="n"/>
      <c r="CW160" s="252" t="n"/>
      <c r="CX160" s="253" t="n"/>
      <c r="CY160" s="254" t="n"/>
      <c r="CZ160" s="253" t="n"/>
      <c r="DA160" s="252" t="n"/>
      <c r="DB160" s="258" t="n"/>
      <c r="DC160" s="259" t="n"/>
      <c r="DD160" s="253" t="n"/>
      <c r="DE160" s="252" t="n"/>
      <c r="DF160" s="261" t="n"/>
      <c r="DG160" s="392" t="n"/>
      <c r="DH160" s="253" t="n"/>
      <c r="DI160" s="393" t="n"/>
      <c r="DJ160" s="393" t="n"/>
      <c r="DK160" s="252" t="n"/>
      <c r="DL160" s="253" t="n"/>
      <c r="DM160" s="254" t="n"/>
      <c r="DN160" s="253" t="n"/>
      <c r="DO160" s="252" t="n"/>
      <c r="DP160" s="253" t="n"/>
      <c r="DQ160" s="254" t="n"/>
      <c r="DR160" s="253" t="n"/>
      <c r="DS160" s="264" t="n"/>
      <c r="DT160" s="253" t="n"/>
      <c r="DU160" s="254" t="n"/>
      <c r="DV160" s="253" t="n"/>
      <c r="DW160" s="264" t="n"/>
      <c r="DX160" s="253" t="n"/>
      <c r="DY160" s="55" t="n"/>
      <c r="DZ160" s="255" t="n"/>
      <c r="EA160" s="252" t="n"/>
      <c r="EB160" s="256" t="n"/>
      <c r="EC160" s="254" t="n"/>
      <c r="ED160" s="253" t="n"/>
      <c r="EE160" s="252" t="n"/>
      <c r="EF160" s="257" t="n"/>
      <c r="EG160" s="55" t="n"/>
      <c r="EH160" s="253" t="n"/>
      <c r="EI160" s="252" t="n"/>
      <c r="EJ160" s="253" t="n"/>
      <c r="EK160" s="55" t="n"/>
      <c r="EL160" s="253" t="n"/>
      <c r="EM160" s="252" t="n"/>
      <c r="EN160" s="257" t="n"/>
      <c r="EO160" s="55" t="n"/>
      <c r="EP160" s="253" t="n"/>
      <c r="EQ160" s="252" t="n"/>
      <c r="ER160" s="253" t="n"/>
      <c r="ES160" s="55" t="n"/>
      <c r="ET160" s="253" t="n"/>
      <c r="EU160" s="252" t="n"/>
      <c r="EV160" s="253" t="n"/>
      <c r="EW160" s="254" t="n"/>
      <c r="EX160" s="253" t="n"/>
      <c r="EY160" s="252" t="n"/>
      <c r="EZ160" s="258" t="n"/>
      <c r="FA160" s="259" t="n"/>
      <c r="FB160" s="253" t="n"/>
      <c r="FC160" s="252" t="n"/>
      <c r="FD160" s="261" t="n"/>
      <c r="FE160" s="392" t="n"/>
      <c r="FF160" s="253" t="n"/>
      <c r="FG160" s="393" t="n"/>
      <c r="FH160" s="393" t="n"/>
      <c r="FI160" s="252" t="n"/>
      <c r="FJ160" s="253" t="n"/>
      <c r="FK160" s="254" t="n"/>
      <c r="FL160" s="253" t="n"/>
      <c r="FM160" s="252" t="n"/>
      <c r="FN160" s="253" t="n"/>
      <c r="FO160" s="254" t="n"/>
      <c r="FP160" s="253" t="n"/>
      <c r="FQ160" s="264" t="n"/>
      <c r="FR160" s="253" t="n"/>
      <c r="FS160" s="254" t="n"/>
      <c r="FT160" s="253" t="n"/>
      <c r="FU160" s="264" t="n"/>
      <c r="FV160" s="253" t="n"/>
      <c r="FW160" s="55" t="n"/>
      <c r="FX160" s="255" t="n"/>
      <c r="FY160" s="252" t="n"/>
      <c r="FZ160" s="256" t="n"/>
      <c r="GA160" s="254" t="n"/>
      <c r="GB160" s="253" t="n"/>
      <c r="GC160" s="252" t="n"/>
      <c r="GD160" s="257" t="n"/>
      <c r="GE160" s="55" t="n"/>
      <c r="GF160" s="253" t="n"/>
      <c r="GG160" s="252" t="n"/>
      <c r="GH160" s="253" t="n"/>
      <c r="GI160" s="55" t="n"/>
      <c r="GJ160" s="253" t="n"/>
      <c r="GK160" s="252" t="n"/>
      <c r="GL160" s="257" t="n"/>
      <c r="GM160" s="55" t="n"/>
      <c r="GN160" s="253" t="n"/>
      <c r="GO160" s="252" t="n"/>
      <c r="GP160" s="253" t="n"/>
      <c r="GQ160" s="55" t="n"/>
      <c r="GR160" s="253" t="n"/>
      <c r="GS160" s="252" t="n"/>
      <c r="GT160" s="253" t="n"/>
      <c r="GU160" s="254" t="n"/>
      <c r="GV160" s="253" t="n"/>
      <c r="GW160" s="252" t="n"/>
      <c r="GX160" s="258" t="n"/>
      <c r="GY160" s="259" t="n"/>
      <c r="GZ160" s="253" t="n"/>
      <c r="HA160" s="252" t="n"/>
      <c r="HB160" s="261" t="n"/>
      <c r="HC160" s="392" t="n"/>
      <c r="HD160" s="253" t="n"/>
      <c r="HE160" s="393" t="n"/>
      <c r="HF160" s="393" t="n"/>
      <c r="HG160" s="252" t="n"/>
      <c r="HH160" s="253" t="n"/>
      <c r="HI160" s="254" t="n"/>
      <c r="HJ160" s="253" t="n"/>
      <c r="HK160" s="252" t="n"/>
      <c r="HL160" s="253" t="n"/>
      <c r="HM160" s="254" t="n"/>
      <c r="HN160" s="253" t="n"/>
      <c r="HO160" s="264" t="n"/>
      <c r="HP160" s="253" t="n"/>
      <c r="HQ160" s="254" t="n"/>
      <c r="HR160" s="253" t="n"/>
      <c r="HS160" s="264" t="n"/>
      <c r="HT160" s="253" t="n"/>
      <c r="HU160" s="55" t="n"/>
      <c r="HV160" s="255" t="n"/>
      <c r="HW160" s="252" t="n"/>
      <c r="HX160" s="256" t="n"/>
      <c r="HY160" s="254" t="n"/>
      <c r="HZ160" s="253" t="n"/>
      <c r="IA160" s="252" t="n"/>
      <c r="IB160" s="257" t="n"/>
      <c r="IC160" s="55" t="n"/>
      <c r="ID160" s="253" t="n"/>
      <c r="IE160" s="252" t="n"/>
      <c r="IF160" s="253" t="n"/>
      <c r="IG160" s="55" t="n"/>
      <c r="IH160" s="253" t="n"/>
      <c r="II160" s="252" t="n"/>
      <c r="IJ160" s="257" t="n"/>
      <c r="IK160" s="55" t="n"/>
      <c r="IL160" s="253" t="n"/>
      <c r="IM160" s="252" t="n"/>
      <c r="IN160" s="253" t="n"/>
      <c r="IO160" s="55" t="n"/>
      <c r="IP160" s="253" t="n"/>
      <c r="IQ160" s="252" t="n"/>
      <c r="IR160" s="253" t="n"/>
      <c r="IS160" s="254" t="n"/>
      <c r="IT160" s="253" t="n"/>
      <c r="IU160" s="252" t="n"/>
      <c r="IV160" s="258" t="n"/>
      <c r="IW160" s="259" t="n"/>
      <c r="IX160" s="253" t="n"/>
      <c r="IY160" s="252" t="n"/>
      <c r="IZ160" s="261" t="n"/>
      <c r="JA160" s="392" t="n"/>
      <c r="JB160" s="253" t="n"/>
      <c r="JC160" s="393" t="n"/>
      <c r="JD160" s="393" t="n"/>
    </row>
    <row r="161">
      <c r="E161" s="248" t="n"/>
      <c r="F161" s="248" t="n"/>
      <c r="G161" s="249" t="n"/>
      <c r="H161" s="250" t="n"/>
      <c r="I161" s="251" t="n"/>
      <c r="J161" s="251" t="n"/>
      <c r="K161" s="251" t="n"/>
      <c r="L161" s="251" t="n"/>
      <c r="M161" s="251" t="n"/>
      <c r="N161" s="251" t="n"/>
      <c r="O161" s="252" t="n"/>
      <c r="P161" s="253" t="n"/>
      <c r="Q161" s="254" t="n"/>
      <c r="R161" s="253" t="n"/>
      <c r="S161" s="252" t="n"/>
      <c r="T161" s="253" t="n"/>
      <c r="U161" s="254" t="n"/>
      <c r="V161" s="253" t="n"/>
      <c r="W161" s="252" t="n"/>
      <c r="X161" s="253" t="n"/>
      <c r="Y161" s="254" t="n"/>
      <c r="Z161" s="253" t="n"/>
      <c r="AA161" s="252" t="n"/>
      <c r="AB161" s="253" t="n"/>
      <c r="AC161" s="55" t="n"/>
      <c r="AD161" s="255" t="n"/>
      <c r="AE161" s="252" t="n"/>
      <c r="AF161" s="256" t="n"/>
      <c r="AG161" s="254" t="n"/>
      <c r="AH161" s="253" t="n"/>
      <c r="AI161" s="252" t="n"/>
      <c r="AJ161" s="257" t="n"/>
      <c r="AK161" s="55" t="n"/>
      <c r="AL161" s="253" t="n"/>
      <c r="AM161" s="252" t="n"/>
      <c r="AN161" s="253" t="n"/>
      <c r="AO161" s="55" t="n"/>
      <c r="AP161" s="253" t="n"/>
      <c r="AQ161" s="252" t="n"/>
      <c r="AR161" s="257" t="n"/>
      <c r="AS161" s="55" t="n"/>
      <c r="AT161" s="253" t="n"/>
      <c r="AU161" s="252" t="n"/>
      <c r="AV161" s="253" t="n"/>
      <c r="AW161" s="55" t="n"/>
      <c r="AX161" s="253" t="n"/>
      <c r="AY161" s="252" t="n"/>
      <c r="AZ161" s="253" t="n"/>
      <c r="BA161" s="254" t="n"/>
      <c r="BB161" s="255" t="n"/>
      <c r="BC161" s="252" t="n"/>
      <c r="BD161" s="258" t="n"/>
      <c r="BE161" s="259" t="n"/>
      <c r="BF161" s="255" t="n"/>
      <c r="BG161" s="260" t="n"/>
      <c r="BH161" s="261" t="n"/>
      <c r="BI161" s="392" t="n"/>
      <c r="BJ161" s="255" t="n"/>
      <c r="BK161" s="393" t="n"/>
      <c r="BL161" s="393" t="n"/>
      <c r="BM161" s="252" t="n"/>
      <c r="BN161" s="253" t="n"/>
      <c r="BO161" s="254" t="n"/>
      <c r="BP161" s="253" t="n"/>
      <c r="BQ161" s="252" t="n"/>
      <c r="BR161" s="253" t="n"/>
      <c r="BS161" s="254" t="n"/>
      <c r="BT161" s="253" t="n"/>
      <c r="BU161" s="264" t="n"/>
      <c r="BV161" s="253" t="n"/>
      <c r="BW161" s="254" t="n"/>
      <c r="BX161" s="253" t="n"/>
      <c r="BY161" s="264" t="n"/>
      <c r="BZ161" s="253" t="n"/>
      <c r="CA161" s="55" t="n"/>
      <c r="CB161" s="255" t="n"/>
      <c r="CC161" s="252" t="n"/>
      <c r="CD161" s="256" t="n"/>
      <c r="CE161" s="55" t="n"/>
      <c r="CF161" s="253" t="n"/>
      <c r="CG161" s="252" t="n"/>
      <c r="CH161" s="257" t="n"/>
      <c r="CI161" s="55" t="n"/>
      <c r="CJ161" s="253" t="n"/>
      <c r="CK161" s="252" t="n"/>
      <c r="CL161" s="253" t="n"/>
      <c r="CM161" s="55" t="n"/>
      <c r="CN161" s="253" t="n"/>
      <c r="CO161" s="252" t="n"/>
      <c r="CP161" s="257" t="n"/>
      <c r="CQ161" s="55" t="n"/>
      <c r="CR161" s="253" t="n"/>
      <c r="CS161" s="252" t="n"/>
      <c r="CT161" s="253" t="n"/>
      <c r="CU161" s="55" t="n"/>
      <c r="CV161" s="253" t="n"/>
      <c r="CW161" s="252" t="n"/>
      <c r="CX161" s="253" t="n"/>
      <c r="CY161" s="254" t="n"/>
      <c r="CZ161" s="253" t="n"/>
      <c r="DA161" s="252" t="n"/>
      <c r="DB161" s="258" t="n"/>
      <c r="DC161" s="259" t="n"/>
      <c r="DD161" s="253" t="n"/>
      <c r="DE161" s="252" t="n"/>
      <c r="DF161" s="261" t="n"/>
      <c r="DG161" s="392" t="n"/>
      <c r="DH161" s="253" t="n"/>
      <c r="DI161" s="393" t="n"/>
      <c r="DJ161" s="393" t="n"/>
      <c r="DK161" s="252" t="n"/>
      <c r="DL161" s="253" t="n"/>
      <c r="DM161" s="254" t="n"/>
      <c r="DN161" s="253" t="n"/>
      <c r="DO161" s="252" t="n"/>
      <c r="DP161" s="253" t="n"/>
      <c r="DQ161" s="254" t="n"/>
      <c r="DR161" s="253" t="n"/>
      <c r="DS161" s="264" t="n"/>
      <c r="DT161" s="253" t="n"/>
      <c r="DU161" s="254" t="n"/>
      <c r="DV161" s="253" t="n"/>
      <c r="DW161" s="264" t="n"/>
      <c r="DX161" s="253" t="n"/>
      <c r="DY161" s="55" t="n"/>
      <c r="DZ161" s="255" t="n"/>
      <c r="EA161" s="252" t="n"/>
      <c r="EB161" s="256" t="n"/>
      <c r="EC161" s="254" t="n"/>
      <c r="ED161" s="253" t="n"/>
      <c r="EE161" s="252" t="n"/>
      <c r="EF161" s="257" t="n"/>
      <c r="EG161" s="55" t="n"/>
      <c r="EH161" s="253" t="n"/>
      <c r="EI161" s="252" t="n"/>
      <c r="EJ161" s="253" t="n"/>
      <c r="EK161" s="55" t="n"/>
      <c r="EL161" s="253" t="n"/>
      <c r="EM161" s="252" t="n"/>
      <c r="EN161" s="257" t="n"/>
      <c r="EO161" s="55" t="n"/>
      <c r="EP161" s="253" t="n"/>
      <c r="EQ161" s="252" t="n"/>
      <c r="ER161" s="253" t="n"/>
      <c r="ES161" s="55" t="n"/>
      <c r="ET161" s="253" t="n"/>
      <c r="EU161" s="252" t="n"/>
      <c r="EV161" s="253" t="n"/>
      <c r="EW161" s="254" t="n"/>
      <c r="EX161" s="253" t="n"/>
      <c r="EY161" s="252" t="n"/>
      <c r="EZ161" s="258" t="n"/>
      <c r="FA161" s="259" t="n"/>
      <c r="FB161" s="253" t="n"/>
      <c r="FC161" s="252" t="n"/>
      <c r="FD161" s="261" t="n"/>
      <c r="FE161" s="392" t="n"/>
      <c r="FF161" s="253" t="n"/>
      <c r="FG161" s="393" t="n"/>
      <c r="FH161" s="393" t="n"/>
      <c r="FI161" s="252" t="n"/>
      <c r="FJ161" s="253" t="n"/>
      <c r="FK161" s="254" t="n"/>
      <c r="FL161" s="253" t="n"/>
      <c r="FM161" s="252" t="n"/>
      <c r="FN161" s="253" t="n"/>
      <c r="FO161" s="254" t="n"/>
      <c r="FP161" s="253" t="n"/>
      <c r="FQ161" s="264" t="n"/>
      <c r="FR161" s="253" t="n"/>
      <c r="FS161" s="254" t="n"/>
      <c r="FT161" s="253" t="n"/>
      <c r="FU161" s="264" t="n"/>
      <c r="FV161" s="253" t="n"/>
      <c r="FW161" s="55" t="n"/>
      <c r="FX161" s="255" t="n"/>
      <c r="FY161" s="252" t="n"/>
      <c r="FZ161" s="256" t="n"/>
      <c r="GA161" s="254" t="n"/>
      <c r="GB161" s="253" t="n"/>
      <c r="GC161" s="252" t="n"/>
      <c r="GD161" s="257" t="n"/>
      <c r="GE161" s="55" t="n"/>
      <c r="GF161" s="253" t="n"/>
      <c r="GG161" s="252" t="n"/>
      <c r="GH161" s="253" t="n"/>
      <c r="GI161" s="55" t="n"/>
      <c r="GJ161" s="253" t="n"/>
      <c r="GK161" s="252" t="n"/>
      <c r="GL161" s="257" t="n"/>
      <c r="GM161" s="55" t="n"/>
      <c r="GN161" s="253" t="n"/>
      <c r="GO161" s="252" t="n"/>
      <c r="GP161" s="253" t="n"/>
      <c r="GQ161" s="55" t="n"/>
      <c r="GR161" s="253" t="n"/>
      <c r="GS161" s="252" t="n"/>
      <c r="GT161" s="253" t="n"/>
      <c r="GU161" s="254" t="n"/>
      <c r="GV161" s="253" t="n"/>
      <c r="GW161" s="252" t="n"/>
      <c r="GX161" s="258" t="n"/>
      <c r="GY161" s="259" t="n"/>
      <c r="GZ161" s="253" t="n"/>
      <c r="HA161" s="252" t="n"/>
      <c r="HB161" s="261" t="n"/>
      <c r="HC161" s="392" t="n"/>
      <c r="HD161" s="253" t="n"/>
      <c r="HE161" s="393" t="n"/>
      <c r="HF161" s="393" t="n"/>
      <c r="HG161" s="252" t="n"/>
      <c r="HH161" s="253" t="n"/>
      <c r="HI161" s="254" t="n"/>
      <c r="HJ161" s="253" t="n"/>
      <c r="HK161" s="252" t="n"/>
      <c r="HL161" s="253" t="n"/>
      <c r="HM161" s="254" t="n"/>
      <c r="HN161" s="253" t="n"/>
      <c r="HO161" s="264" t="n"/>
      <c r="HP161" s="253" t="n"/>
      <c r="HQ161" s="254" t="n"/>
      <c r="HR161" s="253" t="n"/>
      <c r="HS161" s="264" t="n"/>
      <c r="HT161" s="253" t="n"/>
      <c r="HU161" s="55" t="n"/>
      <c r="HV161" s="255" t="n"/>
      <c r="HW161" s="252" t="n"/>
      <c r="HX161" s="256" t="n"/>
      <c r="HY161" s="254" t="n"/>
      <c r="HZ161" s="253" t="n"/>
      <c r="IA161" s="252" t="n"/>
      <c r="IB161" s="257" t="n"/>
      <c r="IC161" s="55" t="n"/>
      <c r="ID161" s="253" t="n"/>
      <c r="IE161" s="252" t="n"/>
      <c r="IF161" s="253" t="n"/>
      <c r="IG161" s="55" t="n"/>
      <c r="IH161" s="253" t="n"/>
      <c r="II161" s="252" t="n"/>
      <c r="IJ161" s="257" t="n"/>
      <c r="IK161" s="55" t="n"/>
      <c r="IL161" s="253" t="n"/>
      <c r="IM161" s="252" t="n"/>
      <c r="IN161" s="253" t="n"/>
      <c r="IO161" s="55" t="n"/>
      <c r="IP161" s="253" t="n"/>
      <c r="IQ161" s="252" t="n"/>
      <c r="IR161" s="253" t="n"/>
      <c r="IS161" s="254" t="n"/>
      <c r="IT161" s="253" t="n"/>
      <c r="IU161" s="252" t="n"/>
      <c r="IV161" s="258" t="n"/>
      <c r="IW161" s="259" t="n"/>
      <c r="IX161" s="253" t="n"/>
      <c r="IY161" s="252" t="n"/>
      <c r="IZ161" s="261" t="n"/>
      <c r="JA161" s="392" t="n"/>
      <c r="JB161" s="253" t="n"/>
      <c r="JC161" s="393" t="n"/>
      <c r="JD161" s="393" t="n"/>
    </row>
    <row r="162">
      <c r="E162" s="248" t="n"/>
      <c r="F162" s="248" t="n"/>
      <c r="G162" s="249" t="n"/>
      <c r="H162" s="250" t="n"/>
      <c r="I162" s="251" t="n"/>
      <c r="J162" s="251" t="n"/>
      <c r="K162" s="251" t="n"/>
      <c r="L162" s="251" t="n"/>
      <c r="M162" s="251" t="n"/>
      <c r="N162" s="251" t="n"/>
      <c r="O162" s="252" t="n"/>
      <c r="P162" s="253" t="n"/>
      <c r="Q162" s="254" t="n"/>
      <c r="R162" s="253" t="n"/>
      <c r="S162" s="252" t="n"/>
      <c r="T162" s="253" t="n"/>
      <c r="U162" s="254" t="n"/>
      <c r="V162" s="253" t="n"/>
      <c r="W162" s="252" t="n"/>
      <c r="X162" s="253" t="n"/>
      <c r="Y162" s="254" t="n"/>
      <c r="Z162" s="253" t="n"/>
      <c r="AA162" s="252" t="n"/>
      <c r="AB162" s="253" t="n"/>
      <c r="AC162" s="55" t="n"/>
      <c r="AD162" s="255" t="n"/>
      <c r="AE162" s="252" t="n"/>
      <c r="AF162" s="256" t="n"/>
      <c r="AG162" s="254" t="n"/>
      <c r="AH162" s="253" t="n"/>
      <c r="AI162" s="252" t="n"/>
      <c r="AJ162" s="257" t="n"/>
      <c r="AK162" s="55" t="n"/>
      <c r="AL162" s="253" t="n"/>
      <c r="AM162" s="252" t="n"/>
      <c r="AN162" s="253" t="n"/>
      <c r="AO162" s="55" t="n"/>
      <c r="AP162" s="253" t="n"/>
      <c r="AQ162" s="252" t="n"/>
      <c r="AR162" s="257" t="n"/>
      <c r="AS162" s="55" t="n"/>
      <c r="AT162" s="253" t="n"/>
      <c r="AU162" s="252" t="n"/>
      <c r="AV162" s="253" t="n"/>
      <c r="AW162" s="55" t="n"/>
      <c r="AX162" s="253" t="n"/>
      <c r="AY162" s="252" t="n"/>
      <c r="AZ162" s="253" t="n"/>
      <c r="BA162" s="254" t="n"/>
      <c r="BB162" s="255" t="n"/>
      <c r="BC162" s="252" t="n"/>
      <c r="BD162" s="258" t="n"/>
      <c r="BE162" s="259" t="n"/>
      <c r="BF162" s="255" t="n"/>
      <c r="BG162" s="260" t="n"/>
      <c r="BH162" s="261" t="n"/>
      <c r="BI162" s="392" t="n"/>
      <c r="BJ162" s="255" t="n"/>
      <c r="BK162" s="393" t="n"/>
      <c r="BL162" s="393" t="n"/>
      <c r="BM162" s="252" t="n"/>
      <c r="BN162" s="253" t="n"/>
      <c r="BO162" s="254" t="n"/>
      <c r="BP162" s="253" t="n"/>
      <c r="BQ162" s="252" t="n"/>
      <c r="BR162" s="253" t="n"/>
      <c r="BS162" s="254" t="n"/>
      <c r="BT162" s="253" t="n"/>
      <c r="BU162" s="264" t="n"/>
      <c r="BV162" s="253" t="n"/>
      <c r="BW162" s="254" t="n"/>
      <c r="BX162" s="253" t="n"/>
      <c r="BY162" s="264" t="n"/>
      <c r="BZ162" s="253" t="n"/>
      <c r="CA162" s="55" t="n"/>
      <c r="CB162" s="255" t="n"/>
      <c r="CC162" s="252" t="n"/>
      <c r="CD162" s="256" t="n"/>
      <c r="CE162" s="55" t="n"/>
      <c r="CF162" s="253" t="n"/>
      <c r="CG162" s="252" t="n"/>
      <c r="CH162" s="257" t="n"/>
      <c r="CI162" s="55" t="n"/>
      <c r="CJ162" s="253" t="n"/>
      <c r="CK162" s="252" t="n"/>
      <c r="CL162" s="253" t="n"/>
      <c r="CM162" s="55" t="n"/>
      <c r="CN162" s="253" t="n"/>
      <c r="CO162" s="252" t="n"/>
      <c r="CP162" s="257" t="n"/>
      <c r="CQ162" s="55" t="n"/>
      <c r="CR162" s="253" t="n"/>
      <c r="CS162" s="252" t="n"/>
      <c r="CT162" s="253" t="n"/>
      <c r="CU162" s="55" t="n"/>
      <c r="CV162" s="253" t="n"/>
      <c r="CW162" s="252" t="n"/>
      <c r="CX162" s="253" t="n"/>
      <c r="CY162" s="254" t="n"/>
      <c r="CZ162" s="253" t="n"/>
      <c r="DA162" s="252" t="n"/>
      <c r="DB162" s="258" t="n"/>
      <c r="DC162" s="259" t="n"/>
      <c r="DD162" s="253" t="n"/>
      <c r="DE162" s="252" t="n"/>
      <c r="DF162" s="261" t="n"/>
      <c r="DG162" s="392" t="n"/>
      <c r="DH162" s="253" t="n"/>
      <c r="DI162" s="393" t="n"/>
      <c r="DJ162" s="393" t="n"/>
      <c r="DK162" s="252" t="n"/>
      <c r="DL162" s="253" t="n"/>
      <c r="DM162" s="254" t="n"/>
      <c r="DN162" s="253" t="n"/>
      <c r="DO162" s="252" t="n"/>
      <c r="DP162" s="253" t="n"/>
      <c r="DQ162" s="254" t="n"/>
      <c r="DR162" s="253" t="n"/>
      <c r="DS162" s="264" t="n"/>
      <c r="DT162" s="253" t="n"/>
      <c r="DU162" s="254" t="n"/>
      <c r="DV162" s="253" t="n"/>
      <c r="DW162" s="264" t="n"/>
      <c r="DX162" s="253" t="n"/>
      <c r="DY162" s="55" t="n"/>
      <c r="DZ162" s="255" t="n"/>
      <c r="EA162" s="252" t="n"/>
      <c r="EB162" s="256" t="n"/>
      <c r="EC162" s="254" t="n"/>
      <c r="ED162" s="253" t="n"/>
      <c r="EE162" s="252" t="n"/>
      <c r="EF162" s="257" t="n"/>
      <c r="EG162" s="55" t="n"/>
      <c r="EH162" s="253" t="n"/>
      <c r="EI162" s="252" t="n"/>
      <c r="EJ162" s="253" t="n"/>
      <c r="EK162" s="55" t="n"/>
      <c r="EL162" s="253" t="n"/>
      <c r="EM162" s="252" t="n"/>
      <c r="EN162" s="257" t="n"/>
      <c r="EO162" s="55" t="n"/>
      <c r="EP162" s="253" t="n"/>
      <c r="EQ162" s="252" t="n"/>
      <c r="ER162" s="253" t="n"/>
      <c r="ES162" s="55" t="n"/>
      <c r="ET162" s="253" t="n"/>
      <c r="EU162" s="252" t="n"/>
      <c r="EV162" s="253" t="n"/>
      <c r="EW162" s="254" t="n"/>
      <c r="EX162" s="253" t="n"/>
      <c r="EY162" s="252" t="n"/>
      <c r="EZ162" s="258" t="n"/>
      <c r="FA162" s="259" t="n"/>
      <c r="FB162" s="253" t="n"/>
      <c r="FC162" s="252" t="n"/>
      <c r="FD162" s="261" t="n"/>
      <c r="FE162" s="392" t="n"/>
      <c r="FF162" s="253" t="n"/>
      <c r="FG162" s="393" t="n"/>
      <c r="FH162" s="393" t="n"/>
      <c r="FI162" s="252" t="n"/>
      <c r="FJ162" s="253" t="n"/>
      <c r="FK162" s="254" t="n"/>
      <c r="FL162" s="253" t="n"/>
      <c r="FM162" s="252" t="n"/>
      <c r="FN162" s="253" t="n"/>
      <c r="FO162" s="254" t="n"/>
      <c r="FP162" s="253" t="n"/>
      <c r="FQ162" s="264" t="n"/>
      <c r="FR162" s="253" t="n"/>
      <c r="FS162" s="254" t="n"/>
      <c r="FT162" s="253" t="n"/>
      <c r="FU162" s="264" t="n"/>
      <c r="FV162" s="253" t="n"/>
      <c r="FW162" s="55" t="n"/>
      <c r="FX162" s="255" t="n"/>
      <c r="FY162" s="252" t="n"/>
      <c r="FZ162" s="256" t="n"/>
      <c r="GA162" s="254" t="n"/>
      <c r="GB162" s="253" t="n"/>
      <c r="GC162" s="252" t="n"/>
      <c r="GD162" s="257" t="n"/>
      <c r="GE162" s="55" t="n"/>
      <c r="GF162" s="253" t="n"/>
      <c r="GG162" s="252" t="n"/>
      <c r="GH162" s="253" t="n"/>
      <c r="GI162" s="55" t="n"/>
      <c r="GJ162" s="253" t="n"/>
      <c r="GK162" s="252" t="n"/>
      <c r="GL162" s="257" t="n"/>
      <c r="GM162" s="55" t="n"/>
      <c r="GN162" s="253" t="n"/>
      <c r="GO162" s="252" t="n"/>
      <c r="GP162" s="253" t="n"/>
      <c r="GQ162" s="55" t="n"/>
      <c r="GR162" s="253" t="n"/>
      <c r="GS162" s="252" t="n"/>
      <c r="GT162" s="253" t="n"/>
      <c r="GU162" s="254" t="n"/>
      <c r="GV162" s="253" t="n"/>
      <c r="GW162" s="252" t="n"/>
      <c r="GX162" s="258" t="n"/>
      <c r="GY162" s="259" t="n"/>
      <c r="GZ162" s="253" t="n"/>
      <c r="HA162" s="252" t="n"/>
      <c r="HB162" s="261" t="n"/>
      <c r="HC162" s="392" t="n"/>
      <c r="HD162" s="253" t="n"/>
      <c r="HE162" s="393" t="n"/>
      <c r="HF162" s="393" t="n"/>
      <c r="HG162" s="252" t="n"/>
      <c r="HH162" s="253" t="n"/>
      <c r="HI162" s="254" t="n"/>
      <c r="HJ162" s="253" t="n"/>
      <c r="HK162" s="252" t="n"/>
      <c r="HL162" s="253" t="n"/>
      <c r="HM162" s="254" t="n"/>
      <c r="HN162" s="253" t="n"/>
      <c r="HO162" s="264" t="n"/>
      <c r="HP162" s="253" t="n"/>
      <c r="HQ162" s="254" t="n"/>
      <c r="HR162" s="253" t="n"/>
      <c r="HS162" s="264" t="n"/>
      <c r="HT162" s="253" t="n"/>
      <c r="HU162" s="55" t="n"/>
      <c r="HV162" s="255" t="n"/>
      <c r="HW162" s="252" t="n"/>
      <c r="HX162" s="256" t="n"/>
      <c r="HY162" s="254" t="n"/>
      <c r="HZ162" s="253" t="n"/>
      <c r="IA162" s="252" t="n"/>
      <c r="IB162" s="257" t="n"/>
      <c r="IC162" s="55" t="n"/>
      <c r="ID162" s="253" t="n"/>
      <c r="IE162" s="252" t="n"/>
      <c r="IF162" s="253" t="n"/>
      <c r="IG162" s="55" t="n"/>
      <c r="IH162" s="253" t="n"/>
      <c r="II162" s="252" t="n"/>
      <c r="IJ162" s="257" t="n"/>
      <c r="IK162" s="55" t="n"/>
      <c r="IL162" s="253" t="n"/>
      <c r="IM162" s="252" t="n"/>
      <c r="IN162" s="253" t="n"/>
      <c r="IO162" s="55" t="n"/>
      <c r="IP162" s="253" t="n"/>
      <c r="IQ162" s="252" t="n"/>
      <c r="IR162" s="253" t="n"/>
      <c r="IS162" s="254" t="n"/>
      <c r="IT162" s="253" t="n"/>
      <c r="IU162" s="252" t="n"/>
      <c r="IV162" s="258" t="n"/>
      <c r="IW162" s="259" t="n"/>
      <c r="IX162" s="253" t="n"/>
      <c r="IY162" s="252" t="n"/>
      <c r="IZ162" s="261" t="n"/>
      <c r="JA162" s="392" t="n"/>
      <c r="JB162" s="253" t="n"/>
      <c r="JC162" s="393" t="n"/>
      <c r="JD162" s="393" t="n"/>
    </row>
    <row r="163">
      <c r="E163" s="248" t="n"/>
      <c r="F163" s="248" t="n"/>
      <c r="G163" s="249" t="n"/>
      <c r="H163" s="250" t="n"/>
      <c r="I163" s="251" t="n"/>
      <c r="J163" s="251" t="n"/>
      <c r="K163" s="251" t="n"/>
      <c r="L163" s="251" t="n"/>
      <c r="M163" s="251" t="n"/>
      <c r="N163" s="251" t="n"/>
      <c r="O163" s="252" t="n"/>
      <c r="P163" s="253" t="n"/>
      <c r="Q163" s="254" t="n"/>
      <c r="R163" s="253" t="n"/>
      <c r="S163" s="252" t="n"/>
      <c r="T163" s="253" t="n"/>
      <c r="U163" s="254" t="n"/>
      <c r="V163" s="253" t="n"/>
      <c r="W163" s="252" t="n"/>
      <c r="X163" s="253" t="n"/>
      <c r="Y163" s="254" t="n"/>
      <c r="Z163" s="253" t="n"/>
      <c r="AA163" s="252" t="n"/>
      <c r="AB163" s="253" t="n"/>
      <c r="AC163" s="55" t="n"/>
      <c r="AD163" s="255" t="n"/>
      <c r="AE163" s="252" t="n"/>
      <c r="AF163" s="256" t="n"/>
      <c r="AG163" s="254" t="n"/>
      <c r="AH163" s="253" t="n"/>
      <c r="AI163" s="252" t="n"/>
      <c r="AJ163" s="257" t="n"/>
      <c r="AK163" s="55" t="n"/>
      <c r="AL163" s="253" t="n"/>
      <c r="AM163" s="252" t="n"/>
      <c r="AN163" s="253" t="n"/>
      <c r="AO163" s="55" t="n"/>
      <c r="AP163" s="253" t="n"/>
      <c r="AQ163" s="252" t="n"/>
      <c r="AR163" s="257" t="n"/>
      <c r="AS163" s="55" t="n"/>
      <c r="AT163" s="253" t="n"/>
      <c r="AU163" s="252" t="n"/>
      <c r="AV163" s="253" t="n"/>
      <c r="AW163" s="55" t="n"/>
      <c r="AX163" s="253" t="n"/>
      <c r="AY163" s="252" t="n"/>
      <c r="AZ163" s="253" t="n"/>
      <c r="BA163" s="254" t="n"/>
      <c r="BB163" s="255" t="n"/>
      <c r="BC163" s="252" t="n"/>
      <c r="BD163" s="258" t="n"/>
      <c r="BE163" s="259" t="n"/>
      <c r="BF163" s="255" t="n"/>
      <c r="BG163" s="260" t="n"/>
      <c r="BH163" s="261" t="n"/>
      <c r="BI163" s="392" t="n"/>
      <c r="BJ163" s="255" t="n"/>
      <c r="BK163" s="393" t="n"/>
      <c r="BL163" s="393" t="n"/>
      <c r="BM163" s="252" t="n"/>
      <c r="BN163" s="253" t="n"/>
      <c r="BO163" s="254" t="n"/>
      <c r="BP163" s="253" t="n"/>
      <c r="BQ163" s="252" t="n"/>
      <c r="BR163" s="253" t="n"/>
      <c r="BS163" s="254" t="n"/>
      <c r="BT163" s="253" t="n"/>
      <c r="BU163" s="264" t="n"/>
      <c r="BV163" s="253" t="n"/>
      <c r="BW163" s="254" t="n"/>
      <c r="BX163" s="253" t="n"/>
      <c r="BY163" s="264" t="n"/>
      <c r="BZ163" s="253" t="n"/>
      <c r="CA163" s="55" t="n"/>
      <c r="CB163" s="255" t="n"/>
      <c r="CC163" s="252" t="n"/>
      <c r="CD163" s="256" t="n"/>
      <c r="CE163" s="55" t="n"/>
      <c r="CF163" s="253" t="n"/>
      <c r="CG163" s="252" t="n"/>
      <c r="CH163" s="257" t="n"/>
      <c r="CI163" s="55" t="n"/>
      <c r="CJ163" s="253" t="n"/>
      <c r="CK163" s="252" t="n"/>
      <c r="CL163" s="253" t="n"/>
      <c r="CM163" s="55" t="n"/>
      <c r="CN163" s="253" t="n"/>
      <c r="CO163" s="252" t="n"/>
      <c r="CP163" s="257" t="n"/>
      <c r="CQ163" s="55" t="n"/>
      <c r="CR163" s="253" t="n"/>
      <c r="CS163" s="252" t="n"/>
      <c r="CT163" s="253" t="n"/>
      <c r="CU163" s="55" t="n"/>
      <c r="CV163" s="253" t="n"/>
      <c r="CW163" s="252" t="n"/>
      <c r="CX163" s="253" t="n"/>
      <c r="CY163" s="254" t="n"/>
      <c r="CZ163" s="253" t="n"/>
      <c r="DA163" s="252" t="n"/>
      <c r="DB163" s="258" t="n"/>
      <c r="DC163" s="259" t="n"/>
      <c r="DD163" s="253" t="n"/>
      <c r="DE163" s="252" t="n"/>
      <c r="DF163" s="261" t="n"/>
      <c r="DG163" s="392" t="n"/>
      <c r="DH163" s="253" t="n"/>
      <c r="DI163" s="393" t="n"/>
      <c r="DJ163" s="393" t="n"/>
      <c r="DK163" s="252" t="n"/>
      <c r="DL163" s="253" t="n"/>
      <c r="DM163" s="254" t="n"/>
      <c r="DN163" s="253" t="n"/>
      <c r="DO163" s="252" t="n"/>
      <c r="DP163" s="253" t="n"/>
      <c r="DQ163" s="254" t="n"/>
      <c r="DR163" s="253" t="n"/>
      <c r="DS163" s="264" t="n"/>
      <c r="DT163" s="253" t="n"/>
      <c r="DU163" s="254" t="n"/>
      <c r="DV163" s="253" t="n"/>
      <c r="DW163" s="264" t="n"/>
      <c r="DX163" s="253" t="n"/>
      <c r="DY163" s="55" t="n"/>
      <c r="DZ163" s="255" t="n"/>
      <c r="EA163" s="252" t="n"/>
      <c r="EB163" s="256" t="n"/>
      <c r="EC163" s="254" t="n"/>
      <c r="ED163" s="253" t="n"/>
      <c r="EE163" s="252" t="n"/>
      <c r="EF163" s="257" t="n"/>
      <c r="EG163" s="55" t="n"/>
      <c r="EH163" s="253" t="n"/>
      <c r="EI163" s="252" t="n"/>
      <c r="EJ163" s="253" t="n"/>
      <c r="EK163" s="55" t="n"/>
      <c r="EL163" s="253" t="n"/>
      <c r="EM163" s="252" t="n"/>
      <c r="EN163" s="257" t="n"/>
      <c r="EO163" s="55" t="n"/>
      <c r="EP163" s="253" t="n"/>
      <c r="EQ163" s="252" t="n"/>
      <c r="ER163" s="253" t="n"/>
      <c r="ES163" s="55" t="n"/>
      <c r="ET163" s="253" t="n"/>
      <c r="EU163" s="252" t="n"/>
      <c r="EV163" s="253" t="n"/>
      <c r="EW163" s="254" t="n"/>
      <c r="EX163" s="253" t="n"/>
      <c r="EY163" s="252" t="n"/>
      <c r="EZ163" s="258" t="n"/>
      <c r="FA163" s="259" t="n"/>
      <c r="FB163" s="253" t="n"/>
      <c r="FC163" s="252" t="n"/>
      <c r="FD163" s="261" t="n"/>
      <c r="FE163" s="392" t="n"/>
      <c r="FF163" s="253" t="n"/>
      <c r="FG163" s="393" t="n"/>
      <c r="FH163" s="393" t="n"/>
      <c r="FI163" s="252" t="n"/>
      <c r="FJ163" s="253" t="n"/>
      <c r="FK163" s="254" t="n"/>
      <c r="FL163" s="253" t="n"/>
      <c r="FM163" s="252" t="n"/>
      <c r="FN163" s="253" t="n"/>
      <c r="FO163" s="254" t="n"/>
      <c r="FP163" s="253" t="n"/>
      <c r="FQ163" s="264" t="n"/>
      <c r="FR163" s="253" t="n"/>
      <c r="FS163" s="254" t="n"/>
      <c r="FT163" s="253" t="n"/>
      <c r="FU163" s="264" t="n"/>
      <c r="FV163" s="253" t="n"/>
      <c r="FW163" s="55" t="n"/>
      <c r="FX163" s="255" t="n"/>
      <c r="FY163" s="252" t="n"/>
      <c r="FZ163" s="256" t="n"/>
      <c r="GA163" s="254" t="n"/>
      <c r="GB163" s="253" t="n"/>
      <c r="GC163" s="252" t="n"/>
      <c r="GD163" s="257" t="n"/>
      <c r="GE163" s="55" t="n"/>
      <c r="GF163" s="253" t="n"/>
      <c r="GG163" s="252" t="n"/>
      <c r="GH163" s="253" t="n"/>
      <c r="GI163" s="55" t="n"/>
      <c r="GJ163" s="253" t="n"/>
      <c r="GK163" s="252" t="n"/>
      <c r="GL163" s="257" t="n"/>
      <c r="GM163" s="55" t="n"/>
      <c r="GN163" s="253" t="n"/>
      <c r="GO163" s="252" t="n"/>
      <c r="GP163" s="253" t="n"/>
      <c r="GQ163" s="55" t="n"/>
      <c r="GR163" s="253" t="n"/>
      <c r="GS163" s="252" t="n"/>
      <c r="GT163" s="253" t="n"/>
      <c r="GU163" s="254" t="n"/>
      <c r="GV163" s="253" t="n"/>
      <c r="GW163" s="252" t="n"/>
      <c r="GX163" s="258" t="n"/>
      <c r="GY163" s="259" t="n"/>
      <c r="GZ163" s="253" t="n"/>
      <c r="HA163" s="252" t="n"/>
      <c r="HB163" s="261" t="n"/>
      <c r="HC163" s="392" t="n"/>
      <c r="HD163" s="253" t="n"/>
      <c r="HE163" s="393" t="n"/>
      <c r="HF163" s="393" t="n"/>
      <c r="HG163" s="252" t="n"/>
      <c r="HH163" s="253" t="n"/>
      <c r="HI163" s="254" t="n"/>
      <c r="HJ163" s="253" t="n"/>
      <c r="HK163" s="252" t="n"/>
      <c r="HL163" s="253" t="n"/>
      <c r="HM163" s="254" t="n"/>
      <c r="HN163" s="253" t="n"/>
      <c r="HO163" s="264" t="n"/>
      <c r="HP163" s="253" t="n"/>
      <c r="HQ163" s="254" t="n"/>
      <c r="HR163" s="253" t="n"/>
      <c r="HS163" s="264" t="n"/>
      <c r="HT163" s="253" t="n"/>
      <c r="HU163" s="55" t="n"/>
      <c r="HV163" s="255" t="n"/>
      <c r="HW163" s="252" t="n"/>
      <c r="HX163" s="256" t="n"/>
      <c r="HY163" s="254" t="n"/>
      <c r="HZ163" s="253" t="n"/>
      <c r="IA163" s="252" t="n"/>
      <c r="IB163" s="257" t="n"/>
      <c r="IC163" s="55" t="n"/>
      <c r="ID163" s="253" t="n"/>
      <c r="IE163" s="252" t="n"/>
      <c r="IF163" s="253" t="n"/>
      <c r="IG163" s="55" t="n"/>
      <c r="IH163" s="253" t="n"/>
      <c r="II163" s="252" t="n"/>
      <c r="IJ163" s="257" t="n"/>
      <c r="IK163" s="55" t="n"/>
      <c r="IL163" s="253" t="n"/>
      <c r="IM163" s="252" t="n"/>
      <c r="IN163" s="253" t="n"/>
      <c r="IO163" s="55" t="n"/>
      <c r="IP163" s="253" t="n"/>
      <c r="IQ163" s="252" t="n"/>
      <c r="IR163" s="253" t="n"/>
      <c r="IS163" s="254" t="n"/>
      <c r="IT163" s="253" t="n"/>
      <c r="IU163" s="252" t="n"/>
      <c r="IV163" s="258" t="n"/>
      <c r="IW163" s="259" t="n"/>
      <c r="IX163" s="253" t="n"/>
      <c r="IY163" s="252" t="n"/>
      <c r="IZ163" s="261" t="n"/>
      <c r="JA163" s="392" t="n"/>
      <c r="JB163" s="253" t="n"/>
      <c r="JC163" s="393" t="n"/>
      <c r="JD163" s="393" t="n"/>
    </row>
    <row r="164">
      <c r="E164" s="248" t="n"/>
      <c r="F164" s="248" t="n"/>
      <c r="G164" s="249" t="n"/>
      <c r="H164" s="250" t="n"/>
      <c r="I164" s="251" t="n"/>
      <c r="J164" s="251" t="n"/>
      <c r="K164" s="251" t="n"/>
      <c r="L164" s="251" t="n"/>
      <c r="M164" s="251" t="n"/>
      <c r="N164" s="251" t="n"/>
      <c r="O164" s="252" t="n"/>
      <c r="P164" s="253" t="n"/>
      <c r="Q164" s="254" t="n"/>
      <c r="R164" s="253" t="n"/>
      <c r="S164" s="252" t="n"/>
      <c r="T164" s="253" t="n"/>
      <c r="U164" s="254" t="n"/>
      <c r="V164" s="253" t="n"/>
      <c r="W164" s="252" t="n"/>
      <c r="X164" s="253" t="n"/>
      <c r="Y164" s="254" t="n"/>
      <c r="Z164" s="253" t="n"/>
      <c r="AA164" s="252" t="n"/>
      <c r="AB164" s="253" t="n"/>
      <c r="AC164" s="55" t="n"/>
      <c r="AD164" s="255" t="n"/>
      <c r="AE164" s="252" t="n"/>
      <c r="AF164" s="256" t="n"/>
      <c r="AG164" s="254" t="n"/>
      <c r="AH164" s="253" t="n"/>
      <c r="AI164" s="252" t="n"/>
      <c r="AJ164" s="257" t="n"/>
      <c r="AK164" s="55" t="n"/>
      <c r="AL164" s="253" t="n"/>
      <c r="AM164" s="252" t="n"/>
      <c r="AN164" s="253" t="n"/>
      <c r="AO164" s="55" t="n"/>
      <c r="AP164" s="253" t="n"/>
      <c r="AQ164" s="252" t="n"/>
      <c r="AR164" s="257" t="n"/>
      <c r="AS164" s="55" t="n"/>
      <c r="AT164" s="253" t="n"/>
      <c r="AU164" s="252" t="n"/>
      <c r="AV164" s="253" t="n"/>
      <c r="AW164" s="55" t="n"/>
      <c r="AX164" s="253" t="n"/>
      <c r="AY164" s="252" t="n"/>
      <c r="AZ164" s="253" t="n"/>
      <c r="BA164" s="254" t="n"/>
      <c r="BB164" s="255" t="n"/>
      <c r="BC164" s="252" t="n"/>
      <c r="BD164" s="258" t="n"/>
      <c r="BE164" s="259" t="n"/>
      <c r="BF164" s="255" t="n"/>
      <c r="BG164" s="260" t="n"/>
      <c r="BH164" s="261" t="n"/>
      <c r="BI164" s="392" t="n"/>
      <c r="BJ164" s="255" t="n"/>
      <c r="BK164" s="393" t="n"/>
      <c r="BL164" s="393" t="n"/>
      <c r="BM164" s="252" t="n"/>
      <c r="BN164" s="253" t="n"/>
      <c r="BO164" s="254" t="n"/>
      <c r="BP164" s="253" t="n"/>
      <c r="BQ164" s="252" t="n"/>
      <c r="BR164" s="253" t="n"/>
      <c r="BS164" s="254" t="n"/>
      <c r="BT164" s="253" t="n"/>
      <c r="BU164" s="264" t="n"/>
      <c r="BV164" s="253" t="n"/>
      <c r="BW164" s="254" t="n"/>
      <c r="BX164" s="253" t="n"/>
      <c r="BY164" s="264" t="n"/>
      <c r="BZ164" s="253" t="n"/>
      <c r="CA164" s="55" t="n"/>
      <c r="CB164" s="255" t="n"/>
      <c r="CC164" s="252" t="n"/>
      <c r="CD164" s="256" t="n"/>
      <c r="CE164" s="55" t="n"/>
      <c r="CF164" s="253" t="n"/>
      <c r="CG164" s="252" t="n"/>
      <c r="CH164" s="257" t="n"/>
      <c r="CI164" s="55" t="n"/>
      <c r="CJ164" s="253" t="n"/>
      <c r="CK164" s="252" t="n"/>
      <c r="CL164" s="253" t="n"/>
      <c r="CM164" s="55" t="n"/>
      <c r="CN164" s="253" t="n"/>
      <c r="CO164" s="252" t="n"/>
      <c r="CP164" s="257" t="n"/>
      <c r="CQ164" s="55" t="n"/>
      <c r="CR164" s="253" t="n"/>
      <c r="CS164" s="252" t="n"/>
      <c r="CT164" s="253" t="n"/>
      <c r="CU164" s="55" t="n"/>
      <c r="CV164" s="253" t="n"/>
      <c r="CW164" s="252" t="n"/>
      <c r="CX164" s="253" t="n"/>
      <c r="CY164" s="254" t="n"/>
      <c r="CZ164" s="253" t="n"/>
      <c r="DA164" s="252" t="n"/>
      <c r="DB164" s="258" t="n"/>
      <c r="DC164" s="259" t="n"/>
      <c r="DD164" s="253" t="n"/>
      <c r="DE164" s="252" t="n"/>
      <c r="DF164" s="261" t="n"/>
      <c r="DG164" s="392" t="n"/>
      <c r="DH164" s="253" t="n"/>
      <c r="DI164" s="393" t="n"/>
      <c r="DJ164" s="393" t="n"/>
      <c r="DK164" s="252" t="n"/>
      <c r="DL164" s="253" t="n"/>
      <c r="DM164" s="254" t="n"/>
      <c r="DN164" s="253" t="n"/>
      <c r="DO164" s="252" t="n"/>
      <c r="DP164" s="253" t="n"/>
      <c r="DQ164" s="254" t="n"/>
      <c r="DR164" s="253" t="n"/>
      <c r="DS164" s="264" t="n"/>
      <c r="DT164" s="253" t="n"/>
      <c r="DU164" s="254" t="n"/>
      <c r="DV164" s="253" t="n"/>
      <c r="DW164" s="264" t="n"/>
      <c r="DX164" s="253" t="n"/>
      <c r="DY164" s="55" t="n"/>
      <c r="DZ164" s="255" t="n"/>
      <c r="EA164" s="252" t="n"/>
      <c r="EB164" s="256" t="n"/>
      <c r="EC164" s="254" t="n"/>
      <c r="ED164" s="253" t="n"/>
      <c r="EE164" s="252" t="n"/>
      <c r="EF164" s="257" t="n"/>
      <c r="EG164" s="55" t="n"/>
      <c r="EH164" s="253" t="n"/>
      <c r="EI164" s="252" t="n"/>
      <c r="EJ164" s="253" t="n"/>
      <c r="EK164" s="55" t="n"/>
      <c r="EL164" s="253" t="n"/>
      <c r="EM164" s="252" t="n"/>
      <c r="EN164" s="257" t="n"/>
      <c r="EO164" s="55" t="n"/>
      <c r="EP164" s="253" t="n"/>
      <c r="EQ164" s="252" t="n"/>
      <c r="ER164" s="253" t="n"/>
      <c r="ES164" s="55" t="n"/>
      <c r="ET164" s="253" t="n"/>
      <c r="EU164" s="252" t="n"/>
      <c r="EV164" s="253" t="n"/>
      <c r="EW164" s="254" t="n"/>
      <c r="EX164" s="253" t="n"/>
      <c r="EY164" s="252" t="n"/>
      <c r="EZ164" s="258" t="n"/>
      <c r="FA164" s="259" t="n"/>
      <c r="FB164" s="253" t="n"/>
      <c r="FC164" s="252" t="n"/>
      <c r="FD164" s="261" t="n"/>
      <c r="FE164" s="392" t="n"/>
      <c r="FF164" s="253" t="n"/>
      <c r="FG164" s="393" t="n"/>
      <c r="FH164" s="393" t="n"/>
      <c r="FI164" s="252" t="n"/>
      <c r="FJ164" s="253" t="n"/>
      <c r="FK164" s="254" t="n"/>
      <c r="FL164" s="253" t="n"/>
      <c r="FM164" s="252" t="n"/>
      <c r="FN164" s="253" t="n"/>
      <c r="FO164" s="254" t="n"/>
      <c r="FP164" s="253" t="n"/>
      <c r="FQ164" s="264" t="n"/>
      <c r="FR164" s="253" t="n"/>
      <c r="FS164" s="254" t="n"/>
      <c r="FT164" s="253" t="n"/>
      <c r="FU164" s="264" t="n"/>
      <c r="FV164" s="253" t="n"/>
      <c r="FW164" s="55" t="n"/>
      <c r="FX164" s="255" t="n"/>
      <c r="FY164" s="252" t="n"/>
      <c r="FZ164" s="256" t="n"/>
      <c r="GA164" s="254" t="n"/>
      <c r="GB164" s="253" t="n"/>
      <c r="GC164" s="252" t="n"/>
      <c r="GD164" s="257" t="n"/>
      <c r="GE164" s="55" t="n"/>
      <c r="GF164" s="253" t="n"/>
      <c r="GG164" s="252" t="n"/>
      <c r="GH164" s="253" t="n"/>
      <c r="GI164" s="55" t="n"/>
      <c r="GJ164" s="253" t="n"/>
      <c r="GK164" s="252" t="n"/>
      <c r="GL164" s="257" t="n"/>
      <c r="GM164" s="55" t="n"/>
      <c r="GN164" s="253" t="n"/>
      <c r="GO164" s="252" t="n"/>
      <c r="GP164" s="253" t="n"/>
      <c r="GQ164" s="55" t="n"/>
      <c r="GR164" s="253" t="n"/>
      <c r="GS164" s="252" t="n"/>
      <c r="GT164" s="253" t="n"/>
      <c r="GU164" s="254" t="n"/>
      <c r="GV164" s="253" t="n"/>
      <c r="GW164" s="252" t="n"/>
      <c r="GX164" s="258" t="n"/>
      <c r="GY164" s="259" t="n"/>
      <c r="GZ164" s="253" t="n"/>
      <c r="HA164" s="252" t="n"/>
      <c r="HB164" s="261" t="n"/>
      <c r="HC164" s="392" t="n"/>
      <c r="HD164" s="253" t="n"/>
      <c r="HE164" s="393" t="n"/>
      <c r="HF164" s="393" t="n"/>
      <c r="HG164" s="252" t="n"/>
      <c r="HH164" s="253" t="n"/>
      <c r="HI164" s="254" t="n"/>
      <c r="HJ164" s="253" t="n"/>
      <c r="HK164" s="252" t="n"/>
      <c r="HL164" s="253" t="n"/>
      <c r="HM164" s="254" t="n"/>
      <c r="HN164" s="253" t="n"/>
      <c r="HO164" s="264" t="n"/>
      <c r="HP164" s="253" t="n"/>
      <c r="HQ164" s="254" t="n"/>
      <c r="HR164" s="253" t="n"/>
      <c r="HS164" s="264" t="n"/>
      <c r="HT164" s="253" t="n"/>
      <c r="HU164" s="55" t="n"/>
      <c r="HV164" s="255" t="n"/>
      <c r="HW164" s="252" t="n"/>
      <c r="HX164" s="256" t="n"/>
      <c r="HY164" s="254" t="n"/>
      <c r="HZ164" s="253" t="n"/>
      <c r="IA164" s="252" t="n"/>
      <c r="IB164" s="257" t="n"/>
      <c r="IC164" s="55" t="n"/>
      <c r="ID164" s="253" t="n"/>
      <c r="IE164" s="252" t="n"/>
      <c r="IF164" s="253" t="n"/>
      <c r="IG164" s="55" t="n"/>
      <c r="IH164" s="253" t="n"/>
      <c r="II164" s="252" t="n"/>
      <c r="IJ164" s="257" t="n"/>
      <c r="IK164" s="55" t="n"/>
      <c r="IL164" s="253" t="n"/>
      <c r="IM164" s="252" t="n"/>
      <c r="IN164" s="253" t="n"/>
      <c r="IO164" s="55" t="n"/>
      <c r="IP164" s="253" t="n"/>
      <c r="IQ164" s="252" t="n"/>
      <c r="IR164" s="253" t="n"/>
      <c r="IS164" s="254" t="n"/>
      <c r="IT164" s="253" t="n"/>
      <c r="IU164" s="252" t="n"/>
      <c r="IV164" s="258" t="n"/>
      <c r="IW164" s="259" t="n"/>
      <c r="IX164" s="253" t="n"/>
      <c r="IY164" s="252" t="n"/>
      <c r="IZ164" s="261" t="n"/>
      <c r="JA164" s="392" t="n"/>
      <c r="JB164" s="253" t="n"/>
      <c r="JC164" s="393" t="n"/>
      <c r="JD164" s="393" t="n"/>
    </row>
    <row r="165">
      <c r="BR165" s="8" t="n"/>
    </row>
    <row r="166"/>
    <row r="167">
      <c r="BV167" s="35" t="n">
        <v>150</v>
      </c>
      <c r="CD167" s="47" t="n">
        <v>50</v>
      </c>
      <c r="CH167" s="47" t="n">
        <v>100</v>
      </c>
      <c r="CL167" s="47" t="n">
        <v>150</v>
      </c>
      <c r="CP167" s="47" t="n">
        <v>300</v>
      </c>
      <c r="CT167" s="51" t="n">
        <v>350</v>
      </c>
      <c r="CX167" s="52" t="n">
        <v>400</v>
      </c>
      <c r="DB167" s="47" t="n">
        <v>600</v>
      </c>
      <c r="DF167" s="53" t="n">
        <v>700</v>
      </c>
      <c r="DH167" s="240" t="n">
        <v>100</v>
      </c>
    </row>
    <row r="168">
      <c r="BV168" s="35" t="n">
        <v>150</v>
      </c>
      <c r="CD168" s="47" t="n">
        <v>50</v>
      </c>
      <c r="CH168" s="47" t="n">
        <v>100</v>
      </c>
      <c r="CL168" s="47" t="n">
        <v>150</v>
      </c>
      <c r="CP168" s="47" t="n">
        <v>300</v>
      </c>
      <c r="CT168" s="51" t="n">
        <v>350</v>
      </c>
      <c r="CX168" s="52" t="n">
        <v>400</v>
      </c>
      <c r="DB168" s="47" t="n">
        <v>600</v>
      </c>
      <c r="DF168" s="53" t="n">
        <v>700</v>
      </c>
      <c r="DH168" s="240" t="n">
        <v>100</v>
      </c>
    </row>
    <row r="169">
      <c r="BV169" s="35" t="n">
        <v>150</v>
      </c>
      <c r="CD169" s="47" t="n">
        <v>50</v>
      </c>
      <c r="CH169" s="47" t="n">
        <v>100</v>
      </c>
      <c r="CL169" s="47" t="n">
        <v>150</v>
      </c>
      <c r="CP169" s="47" t="n">
        <v>300</v>
      </c>
      <c r="CT169" s="51" t="n">
        <v>350</v>
      </c>
      <c r="CX169" s="52" t="n">
        <v>400</v>
      </c>
      <c r="DB169" s="47" t="n">
        <v>600</v>
      </c>
      <c r="DF169" s="53" t="n">
        <v>700</v>
      </c>
      <c r="DH169" s="240" t="n">
        <v>100</v>
      </c>
    </row>
    <row r="170">
      <c r="BV170" s="35" t="n">
        <v>150</v>
      </c>
      <c r="CD170" s="47" t="n">
        <v>50</v>
      </c>
      <c r="CH170" s="47" t="n">
        <v>100</v>
      </c>
      <c r="CL170" s="47" t="n">
        <v>150</v>
      </c>
      <c r="CP170" s="47" t="n">
        <v>300</v>
      </c>
      <c r="CT170" s="51" t="n">
        <v>350</v>
      </c>
      <c r="CX170" s="52" t="n">
        <v>400</v>
      </c>
      <c r="DB170" s="47" t="n">
        <v>600</v>
      </c>
      <c r="DF170" s="53" t="n">
        <v>700</v>
      </c>
      <c r="DH170" s="240" t="n">
        <v>100</v>
      </c>
    </row>
    <row r="171">
      <c r="BV171" s="35" t="n">
        <v>120</v>
      </c>
      <c r="CD171" s="47" t="n">
        <v>0</v>
      </c>
      <c r="CH171" s="47" t="n">
        <v>0</v>
      </c>
      <c r="CL171" s="47" t="n">
        <v>0</v>
      </c>
      <c r="CP171" s="47" t="n">
        <v>220</v>
      </c>
      <c r="CT171" s="51" t="n">
        <v>260</v>
      </c>
      <c r="CX171" s="52" t="n">
        <v>300</v>
      </c>
      <c r="DB171" s="47" t="n">
        <v>450</v>
      </c>
      <c r="DF171" s="53" t="n">
        <v>450</v>
      </c>
      <c r="DH171" s="240" t="n">
        <v>0</v>
      </c>
    </row>
    <row r="172">
      <c r="BV172" s="35" t="n">
        <v>30</v>
      </c>
      <c r="CD172" s="47" t="n">
        <v>50</v>
      </c>
      <c r="CH172" s="47" t="n">
        <v>100</v>
      </c>
      <c r="CL172" s="47" t="n">
        <v>150</v>
      </c>
      <c r="CP172" s="47" t="n">
        <v>80</v>
      </c>
      <c r="CT172" s="51" t="n">
        <v>90</v>
      </c>
      <c r="CX172" s="52" t="n">
        <v>100</v>
      </c>
      <c r="DB172" s="47" t="n">
        <v>150</v>
      </c>
      <c r="DF172" s="53" t="n">
        <v>250</v>
      </c>
      <c r="DH172" s="240" t="n">
        <v>100</v>
      </c>
    </row>
    <row r="173">
      <c r="BV173" s="35" t="n">
        <v>200</v>
      </c>
      <c r="CD173" s="47" t="n">
        <v>150</v>
      </c>
      <c r="CH173" s="47" t="n">
        <v>200</v>
      </c>
      <c r="CL173" s="47" t="n">
        <v>300</v>
      </c>
      <c r="CP173" s="47" t="n">
        <v>450</v>
      </c>
      <c r="CT173" s="51" t="n">
        <v>400</v>
      </c>
      <c r="CX173" s="52" t="n">
        <v>500</v>
      </c>
      <c r="DB173" s="47" t="n">
        <v>700</v>
      </c>
      <c r="DF173" s="53" t="n">
        <v>700</v>
      </c>
      <c r="DH173" s="240" t="n">
        <v>200</v>
      </c>
    </row>
    <row r="174">
      <c r="BV174" s="35" t="n">
        <v>300</v>
      </c>
      <c r="CD174" s="47" t="n">
        <v>150</v>
      </c>
      <c r="CH174" s="47" t="n">
        <v>200</v>
      </c>
      <c r="CL174" s="47" t="n">
        <v>300</v>
      </c>
      <c r="CP174" s="47" t="n">
        <v>600</v>
      </c>
      <c r="CT174" s="51" t="n">
        <v>700</v>
      </c>
      <c r="CX174" s="52" t="n">
        <v>800</v>
      </c>
      <c r="DB174" s="47" t="n">
        <v>1200</v>
      </c>
      <c r="DF174" s="53" t="n">
        <v>1300</v>
      </c>
      <c r="DH174" s="240" t="n">
        <v>200</v>
      </c>
    </row>
    <row r="175">
      <c r="BV175" s="35" t="n">
        <v>150</v>
      </c>
      <c r="CD175" s="47" t="n">
        <v>50</v>
      </c>
      <c r="CH175" s="47" t="n">
        <v>100</v>
      </c>
      <c r="CL175" s="47" t="n">
        <v>150</v>
      </c>
      <c r="CP175" s="47" t="n">
        <v>300</v>
      </c>
      <c r="CT175" s="51" t="n">
        <v>350</v>
      </c>
      <c r="CX175" s="52" t="n">
        <v>400</v>
      </c>
      <c r="DB175" s="47" t="n">
        <v>600</v>
      </c>
      <c r="DF175" s="53" t="n">
        <v>650</v>
      </c>
      <c r="DH175" s="240" t="n">
        <v>100</v>
      </c>
    </row>
    <row r="176">
      <c r="BV176" s="35" t="n">
        <v>150</v>
      </c>
      <c r="CD176" s="47" t="n">
        <v>50</v>
      </c>
      <c r="CH176" s="47" t="n">
        <v>100</v>
      </c>
      <c r="CL176" s="47" t="n">
        <v>150</v>
      </c>
      <c r="CP176" s="47" t="n">
        <v>200</v>
      </c>
      <c r="CT176" s="51" t="n">
        <v>350</v>
      </c>
      <c r="CX176" s="52" t="n">
        <v>400</v>
      </c>
      <c r="DB176" s="47" t="n">
        <v>600</v>
      </c>
      <c r="DF176" s="53" t="n">
        <v>650</v>
      </c>
      <c r="DH176" s="240" t="n">
        <v>100</v>
      </c>
    </row>
    <row r="177">
      <c r="BV177" s="35" t="n">
        <v>150</v>
      </c>
      <c r="CD177" s="47" t="n">
        <v>50</v>
      </c>
      <c r="CH177" s="47" t="n">
        <v>100</v>
      </c>
      <c r="CL177" s="47" t="n">
        <v>150</v>
      </c>
      <c r="CP177" s="47" t="n">
        <v>300</v>
      </c>
      <c r="CT177" s="51" t="n">
        <v>350</v>
      </c>
      <c r="CX177" s="52" t="n">
        <v>400</v>
      </c>
      <c r="DB177" s="47" t="n">
        <v>600</v>
      </c>
      <c r="DF177" s="53" t="n">
        <v>650</v>
      </c>
      <c r="DH177" s="240" t="n">
        <v>100</v>
      </c>
    </row>
    <row r="178">
      <c r="BV178" s="35" t="n">
        <v>200</v>
      </c>
      <c r="CD178" s="47" t="n">
        <v>35</v>
      </c>
      <c r="CH178" s="47" t="n">
        <v>35</v>
      </c>
      <c r="CL178" s="47" t="n">
        <v>100</v>
      </c>
      <c r="CP178" s="47" t="n">
        <v>600</v>
      </c>
      <c r="CT178" s="51" t="n">
        <v>700</v>
      </c>
      <c r="CX178" s="52" t="n">
        <v>800</v>
      </c>
      <c r="DB178" s="47" t="n">
        <v>950</v>
      </c>
      <c r="DF178" s="53" t="n">
        <v>1000</v>
      </c>
      <c r="DH178" s="240" t="n">
        <v>35</v>
      </c>
    </row>
    <row r="179">
      <c r="BV179" s="35" t="n">
        <v>0</v>
      </c>
      <c r="CD179" s="35" t="n">
        <v>0</v>
      </c>
      <c r="CH179" s="35" t="n">
        <v>0</v>
      </c>
      <c r="CL179" s="35" t="n">
        <v>0</v>
      </c>
      <c r="CP179" s="35" t="n"/>
      <c r="CT179" s="1" t="inlineStr">
        <is>
          <t>БОНУМ</t>
        </is>
      </c>
      <c r="CX179" s="1" t="inlineStr">
        <is>
          <t>БОНУМ</t>
        </is>
      </c>
      <c r="DH179" s="265" t="n">
        <v>0</v>
      </c>
    </row>
    <row r="180">
      <c r="BV180" s="82" t="n">
        <v>0</v>
      </c>
      <c r="CD180" s="82" t="n">
        <v>0</v>
      </c>
      <c r="CH180" s="82" t="n">
        <v>0</v>
      </c>
      <c r="CL180" s="82" t="n">
        <v>0</v>
      </c>
      <c r="CP180" s="35" t="n"/>
      <c r="CR180" s="266" t="n"/>
      <c r="DH180" s="267" t="n">
        <v>0</v>
      </c>
    </row>
    <row r="181">
      <c r="BV181" s="82" t="n">
        <v>0</v>
      </c>
      <c r="CD181" s="52" t="n">
        <v>35</v>
      </c>
      <c r="CH181" s="268" t="n">
        <v>35</v>
      </c>
      <c r="CL181" s="52" t="n">
        <v>100</v>
      </c>
      <c r="CP181" s="91" t="n">
        <v>200</v>
      </c>
      <c r="DH181" s="269" t="n">
        <v>35</v>
      </c>
    </row>
    <row r="182">
      <c r="BV182" s="82" t="n">
        <v>0</v>
      </c>
      <c r="CD182" s="52" t="n">
        <v>35</v>
      </c>
      <c r="CH182" s="268" t="n">
        <v>35</v>
      </c>
      <c r="CL182" s="52" t="n">
        <v>100</v>
      </c>
      <c r="CP182" s="91" t="n">
        <v>200</v>
      </c>
      <c r="DB182" s="97" t="n">
        <v>500</v>
      </c>
      <c r="DF182" s="97" t="n">
        <v>500</v>
      </c>
      <c r="DH182" s="269" t="n">
        <v>35</v>
      </c>
    </row>
    <row r="183">
      <c r="CH183" s="1" t="inlineStr">
        <is>
          <t>БОНУМ</t>
        </is>
      </c>
      <c r="CL183" s="1" t="inlineStr">
        <is>
          <t>БОНУМ</t>
        </is>
      </c>
      <c r="CP183" s="1" t="inlineStr">
        <is>
          <t>БОНУМ</t>
        </is>
      </c>
      <c r="DB183" s="97" t="n">
        <v>500</v>
      </c>
      <c r="DF183" s="97" t="n">
        <v>500</v>
      </c>
      <c r="DH183" s="1" t="inlineStr">
        <is>
          <t>БОНУМ</t>
        </is>
      </c>
    </row>
    <row r="184">
      <c r="DB184" s="171" t="n">
        <v>500</v>
      </c>
      <c r="DF184" s="174" t="n">
        <v>1385</v>
      </c>
    </row>
    <row r="185">
      <c r="DB185" s="171" t="n">
        <v>500</v>
      </c>
      <c r="DF185" s="174" t="n">
        <v>1385</v>
      </c>
    </row>
    <row r="186">
      <c r="CH186" s="51" t="n">
        <v>0</v>
      </c>
      <c r="DB186" s="171" t="n">
        <v>500</v>
      </c>
      <c r="DF186" s="174" t="n">
        <v>1385</v>
      </c>
    </row>
    <row r="187">
      <c r="CH187" s="51" t="n">
        <v>0</v>
      </c>
      <c r="CP187" s="171" t="n">
        <v>400</v>
      </c>
      <c r="CQ187" s="1">
        <f>CP187/2</f>
        <v/>
      </c>
      <c r="DB187" s="171" t="n">
        <v>500</v>
      </c>
      <c r="DF187" s="174" t="n">
        <v>1385</v>
      </c>
    </row>
    <row r="188">
      <c r="CH188" s="45" t="n">
        <v>373</v>
      </c>
      <c r="CP188" s="171" t="n">
        <v>400</v>
      </c>
      <c r="CQ188" s="1">
        <f>CP188/2</f>
        <v/>
      </c>
      <c r="DB188" s="171" t="n">
        <v>500</v>
      </c>
      <c r="DF188" s="174" t="n">
        <v>1385</v>
      </c>
    </row>
    <row r="189">
      <c r="CH189" s="45" t="n">
        <v>373</v>
      </c>
      <c r="CP189" s="171" t="n">
        <v>400</v>
      </c>
      <c r="CQ189" s="1">
        <f>CP189/2</f>
        <v/>
      </c>
      <c r="DB189" s="171" t="n">
        <v>2000</v>
      </c>
      <c r="DF189" s="174" t="n">
        <v>4848</v>
      </c>
    </row>
    <row r="190">
      <c r="CH190" s="45" t="n">
        <v>373</v>
      </c>
      <c r="CP190" s="171" t="n">
        <v>400</v>
      </c>
      <c r="CQ190" s="1">
        <f>CP190/2</f>
        <v/>
      </c>
      <c r="DB190" s="171" t="n">
        <v>500</v>
      </c>
      <c r="DF190" s="174" t="n">
        <v>1385</v>
      </c>
    </row>
    <row r="191">
      <c r="CH191" s="45" t="n">
        <v>393</v>
      </c>
      <c r="CP191" s="171" t="n">
        <v>400</v>
      </c>
      <c r="CQ191" s="1">
        <f>CP191/2</f>
        <v/>
      </c>
      <c r="DB191" s="171" t="n">
        <v>500</v>
      </c>
      <c r="DF191" s="174" t="n">
        <v>1385</v>
      </c>
    </row>
    <row r="192">
      <c r="CH192" s="45" t="n">
        <v>373</v>
      </c>
      <c r="CP192" s="171" t="n">
        <v>1600</v>
      </c>
      <c r="CQ192" s="1">
        <f>CP192/2</f>
        <v/>
      </c>
      <c r="DB192" s="171" t="n">
        <v>500</v>
      </c>
      <c r="DF192" s="174" t="n">
        <v>1385</v>
      </c>
    </row>
    <row r="193">
      <c r="CH193" s="45" t="n">
        <v>1305</v>
      </c>
      <c r="CP193" s="171" t="n">
        <v>400</v>
      </c>
      <c r="CQ193" s="1">
        <f>CP193/2</f>
        <v/>
      </c>
      <c r="DB193" s="171" t="n">
        <v>500</v>
      </c>
      <c r="DF193" s="174" t="n">
        <v>2078</v>
      </c>
    </row>
    <row r="194">
      <c r="CH194" s="45" t="n">
        <v>373</v>
      </c>
      <c r="CP194" s="171" t="n">
        <v>400</v>
      </c>
      <c r="CQ194" s="1">
        <f>CP194/2</f>
        <v/>
      </c>
      <c r="DB194" s="171" t="n">
        <v>0</v>
      </c>
      <c r="DF194" s="174" t="n">
        <v>0</v>
      </c>
    </row>
    <row r="195">
      <c r="CH195" s="45" t="n">
        <v>373</v>
      </c>
      <c r="CP195" s="171" t="n">
        <v>400</v>
      </c>
      <c r="CQ195" s="1">
        <f>CP195/2</f>
        <v/>
      </c>
      <c r="DB195" s="171" t="n">
        <v>2000</v>
      </c>
      <c r="DF195" s="174" t="n">
        <v>4848</v>
      </c>
    </row>
    <row r="196">
      <c r="CH196" s="45" t="n">
        <v>373</v>
      </c>
      <c r="CP196" s="171" t="n">
        <v>400</v>
      </c>
      <c r="CQ196" s="1">
        <f>CP196/2</f>
        <v/>
      </c>
      <c r="DB196" s="171" t="n">
        <v>2000</v>
      </c>
      <c r="DF196" s="174" t="n">
        <v>4848</v>
      </c>
    </row>
    <row r="197">
      <c r="CH197" s="45" t="n">
        <v>559</v>
      </c>
      <c r="CP197" s="171" t="n">
        <v>0</v>
      </c>
      <c r="CQ197" s="1">
        <f>CP197/2</f>
        <v/>
      </c>
      <c r="DB197" s="203" t="n">
        <v>500</v>
      </c>
      <c r="DF197" s="165" t="n">
        <v>2078</v>
      </c>
    </row>
    <row r="198" ht="18" customHeight="1">
      <c r="CH198" s="45" t="n">
        <v>559</v>
      </c>
      <c r="CP198" s="171" t="n">
        <v>1600</v>
      </c>
      <c r="CQ198" s="1">
        <f>CP198/2</f>
        <v/>
      </c>
      <c r="DB198" s="270" t="inlineStr">
        <is>
          <t>ТОНАР</t>
        </is>
      </c>
      <c r="DF198" s="271" t="inlineStr">
        <is>
          <t>ТОНАР</t>
        </is>
      </c>
    </row>
    <row r="199">
      <c r="CH199" s="45" t="n">
        <v>1305</v>
      </c>
      <c r="CP199" s="171" t="n">
        <v>1600</v>
      </c>
      <c r="CQ199" s="1">
        <f>CP199/2</f>
        <v/>
      </c>
    </row>
    <row r="200">
      <c r="CH200" s="45" t="n">
        <v>1305</v>
      </c>
      <c r="CP200" s="203" t="n">
        <v>400</v>
      </c>
      <c r="CQ200" s="1">
        <f>CP200/2</f>
        <v/>
      </c>
    </row>
    <row r="201">
      <c r="CH201" s="197" t="n">
        <v>230</v>
      </c>
      <c r="CP201" s="1" t="inlineStr">
        <is>
          <t>Тонар</t>
        </is>
      </c>
    </row>
    <row r="202">
      <c r="CH202" s="1" t="inlineStr">
        <is>
          <t>ТОНАР</t>
        </is>
      </c>
    </row>
  </sheetData>
  <autoFilter ref="G1:G202"/>
  <mergeCells count="104">
    <mergeCell ref="O4:Q4"/>
    <mergeCell ref="IY4:JA4"/>
    <mergeCell ref="B85:B101"/>
    <mergeCell ref="D85:D101"/>
    <mergeCell ref="AA4:AC4"/>
    <mergeCell ref="D6:D22"/>
    <mergeCell ref="CC4:CE4"/>
    <mergeCell ref="D67:D82"/>
    <mergeCell ref="EE4:EG4"/>
    <mergeCell ref="CS4:CU4"/>
    <mergeCell ref="J4:J5"/>
    <mergeCell ref="BM3:DJ3"/>
    <mergeCell ref="EU4:EW4"/>
    <mergeCell ref="GC4:GE4"/>
    <mergeCell ref="L4:L5"/>
    <mergeCell ref="HG4:HI4"/>
    <mergeCell ref="BM4:BO4"/>
    <mergeCell ref="CW4:CY4"/>
    <mergeCell ref="A67:A82"/>
    <mergeCell ref="DO4:DQ4"/>
    <mergeCell ref="EY4:FA4"/>
    <mergeCell ref="FQ4:FS4"/>
    <mergeCell ref="FI4:FK4"/>
    <mergeCell ref="AU4:AW4"/>
    <mergeCell ref="IA4:IC4"/>
    <mergeCell ref="HS4:HU4"/>
    <mergeCell ref="EI4:EK4"/>
    <mergeCell ref="GK4:GM4"/>
    <mergeCell ref="JC4:JD4"/>
    <mergeCell ref="C4:C5"/>
    <mergeCell ref="B25:B39"/>
    <mergeCell ref="E4:E5"/>
    <mergeCell ref="IM4:IO4"/>
    <mergeCell ref="AI4:AK4"/>
    <mergeCell ref="A42:A61"/>
    <mergeCell ref="O3:BL3"/>
    <mergeCell ref="AM4:AO4"/>
    <mergeCell ref="AQ4:AS4"/>
    <mergeCell ref="D42:D61"/>
    <mergeCell ref="BC4:BE4"/>
    <mergeCell ref="BK4:BL4"/>
    <mergeCell ref="BU4:BW4"/>
    <mergeCell ref="DE4:DG4"/>
    <mergeCell ref="D25:D39"/>
    <mergeCell ref="W4:Y4"/>
    <mergeCell ref="B6:B22"/>
    <mergeCell ref="BY4:CA4"/>
    <mergeCell ref="EA4:EC4"/>
    <mergeCell ref="FI3:HF3"/>
    <mergeCell ref="CK4:CM4"/>
    <mergeCell ref="F4:F5"/>
    <mergeCell ref="GG4:GI4"/>
    <mergeCell ref="H4:H5"/>
    <mergeCell ref="EQ4:ES4"/>
    <mergeCell ref="DI4:DJ4"/>
    <mergeCell ref="DK3:FH3"/>
    <mergeCell ref="GS4:GU4"/>
    <mergeCell ref="GW4:GY4"/>
    <mergeCell ref="C67:C82"/>
    <mergeCell ref="IE4:IG4"/>
    <mergeCell ref="HO4:HQ4"/>
    <mergeCell ref="FY4:GA4"/>
    <mergeCell ref="C85:C101"/>
    <mergeCell ref="A4:A5"/>
    <mergeCell ref="II4:IK4"/>
    <mergeCell ref="S4:U4"/>
    <mergeCell ref="K4:K5"/>
    <mergeCell ref="IU4:IW4"/>
    <mergeCell ref="AE4:AG4"/>
    <mergeCell ref="CG4:CI4"/>
    <mergeCell ref="B4:B5"/>
    <mergeCell ref="C42:C61"/>
    <mergeCell ref="N4:N5"/>
    <mergeCell ref="FG4:FH4"/>
    <mergeCell ref="BG4:BI4"/>
    <mergeCell ref="CO4:CQ4"/>
    <mergeCell ref="AY4:BA4"/>
    <mergeCell ref="B42:B61"/>
    <mergeCell ref="BQ4:BS4"/>
    <mergeCell ref="DA4:DC4"/>
    <mergeCell ref="DS4:DU4"/>
    <mergeCell ref="DK4:DM4"/>
    <mergeCell ref="FC4:FE4"/>
    <mergeCell ref="FM4:FO4"/>
    <mergeCell ref="DW4:DY4"/>
    <mergeCell ref="HE4:HF4"/>
    <mergeCell ref="HG3:JD3"/>
    <mergeCell ref="A25:A39"/>
    <mergeCell ref="D4:D5"/>
    <mergeCell ref="EM4:EO4"/>
    <mergeCell ref="C25:C39"/>
    <mergeCell ref="GO4:GQ4"/>
    <mergeCell ref="A6:A22"/>
    <mergeCell ref="IQ4:IS4"/>
    <mergeCell ref="HA4:HC4"/>
    <mergeCell ref="G4:G5"/>
    <mergeCell ref="I4:I5"/>
    <mergeCell ref="A85:A101"/>
    <mergeCell ref="HK4:HM4"/>
    <mergeCell ref="M4:M5"/>
    <mergeCell ref="FU4:FW4"/>
    <mergeCell ref="HW4:HY4"/>
    <mergeCell ref="B67:B82"/>
    <mergeCell ref="C6:C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0" workbookViewId="0">
      <selection activeCell="G27" sqref="G27"/>
    </sheetView>
  </sheetViews>
  <sheetFormatPr baseColWidth="8" defaultColWidth="10" defaultRowHeight="14.4"/>
  <cols>
    <col width="11" bestFit="1" customWidth="1" min="1" max="1"/>
    <col width="47.555" bestFit="1" customWidth="1" min="2" max="2"/>
  </cols>
  <sheetData>
    <row r="1">
      <c r="A1" s="26" t="n">
        <v>9522010010</v>
      </c>
      <c r="B1" s="27" t="inlineStr">
        <is>
          <t>Соединительная головка + маг. Фильтр</t>
        </is>
      </c>
      <c r="C1" s="28" t="n">
        <v>45.35</v>
      </c>
      <c r="D1" s="29" t="n">
        <v>45.35</v>
      </c>
      <c r="E1" s="29" t="n">
        <v>57.6</v>
      </c>
      <c r="F1" t="n">
        <v>1</v>
      </c>
      <c r="G1" t="n">
        <v>60</v>
      </c>
    </row>
    <row r="2">
      <c r="A2" s="26" t="n">
        <v>9522010020</v>
      </c>
      <c r="B2" s="27" t="inlineStr">
        <is>
          <t>Соединительная головка + маг. Фильтр</t>
        </is>
      </c>
      <c r="C2" s="28" t="n">
        <v>45.35</v>
      </c>
      <c r="D2" s="29" t="n">
        <v>45.35</v>
      </c>
      <c r="E2" s="29" t="n">
        <v>57.6</v>
      </c>
      <c r="F2" t="n">
        <v>1</v>
      </c>
      <c r="G2" t="n">
        <v>60</v>
      </c>
    </row>
    <row r="3">
      <c r="A3" s="26" t="n">
        <v>9710029000</v>
      </c>
      <c r="B3" s="27" t="inlineStr">
        <is>
          <t>PREV</t>
        </is>
      </c>
      <c r="C3" s="28" t="n">
        <v>354.67</v>
      </c>
      <c r="D3" s="29" t="n">
        <v>354.67</v>
      </c>
      <c r="E3" s="29" t="n">
        <v>340.8</v>
      </c>
      <c r="F3" t="n">
        <v>1</v>
      </c>
      <c r="G3" t="n">
        <v>398</v>
      </c>
    </row>
    <row r="4">
      <c r="A4" s="26" t="n">
        <v>4801020640</v>
      </c>
      <c r="B4" s="27" t="inlineStr">
        <is>
          <t xml:space="preserve">Блок TEBS-E Premium + PEM </t>
        </is>
      </c>
      <c r="C4" s="28" t="n">
        <v>3408.56</v>
      </c>
      <c r="D4" s="57" t="n">
        <v>3613.55</v>
      </c>
      <c r="E4" s="57" t="n">
        <v>4560</v>
      </c>
      <c r="F4" t="n">
        <v>1</v>
      </c>
      <c r="G4" t="n">
        <v>4900</v>
      </c>
    </row>
    <row r="5">
      <c r="A5" s="26" t="n">
        <v>4491731200</v>
      </c>
      <c r="B5" s="27" t="inlineStr">
        <is>
          <t>Кабель питания для п/п 12 м</t>
        </is>
      </c>
      <c r="C5" s="28" t="n">
        <v>639.55</v>
      </c>
      <c r="D5" s="29" t="n">
        <v>639.55</v>
      </c>
      <c r="E5" s="295" t="n">
        <v>640</v>
      </c>
      <c r="G5">
        <f>F5*E5</f>
        <v/>
      </c>
    </row>
    <row r="6">
      <c r="A6" s="26" t="n">
        <v>4491731400</v>
      </c>
      <c r="B6" s="27" t="inlineStr">
        <is>
          <t>Кабель питания для п/п 14 м</t>
        </is>
      </c>
      <c r="C6" s="28" t="n">
        <v>729.96</v>
      </c>
      <c r="D6" s="29" t="n">
        <v>729.96</v>
      </c>
      <c r="E6" s="29" t="n">
        <v>876</v>
      </c>
      <c r="F6" t="n">
        <v>1</v>
      </c>
      <c r="G6" t="n">
        <v>936</v>
      </c>
    </row>
    <row r="7">
      <c r="A7" s="26" t="n">
        <v>4497230500</v>
      </c>
      <c r="B7" s="27" t="inlineStr">
        <is>
          <t>Кабель-удлинитель датчика АБС 5м</t>
        </is>
      </c>
      <c r="C7" s="28" t="n">
        <v>113.8</v>
      </c>
      <c r="D7" s="29" t="n">
        <v>113.8</v>
      </c>
      <c r="E7" s="29" t="n">
        <v>136</v>
      </c>
      <c r="F7" t="n">
        <v>2</v>
      </c>
      <c r="G7">
        <f>F7*E7</f>
        <v/>
      </c>
    </row>
    <row r="8">
      <c r="A8" s="26" t="n">
        <v>4497230400</v>
      </c>
      <c r="B8" s="27" t="inlineStr">
        <is>
          <t>Кабель-удлинитель датчика АБС 4м</t>
        </is>
      </c>
      <c r="C8" s="28" t="n">
        <v>94.17</v>
      </c>
      <c r="D8" s="29" t="n">
        <v>94.17</v>
      </c>
      <c r="E8" s="295" t="n">
        <v>94</v>
      </c>
      <c r="F8" t="n">
        <v>0</v>
      </c>
      <c r="G8">
        <f>F8*E8</f>
        <v/>
      </c>
    </row>
    <row r="9">
      <c r="A9" s="26" t="n">
        <v>4630320200</v>
      </c>
      <c r="B9" s="27" t="inlineStr">
        <is>
          <t>Кран управления пневмоподвеской без фитингов</t>
        </is>
      </c>
      <c r="C9" s="28" t="n">
        <v>220.18</v>
      </c>
      <c r="D9" s="29" t="n">
        <v>220.18</v>
      </c>
      <c r="E9" s="29" t="n">
        <v>288</v>
      </c>
      <c r="F9" t="n">
        <v>1</v>
      </c>
      <c r="G9" t="n">
        <v>300</v>
      </c>
    </row>
    <row r="10">
      <c r="A10" s="26" t="n">
        <v>4334010030</v>
      </c>
      <c r="B10" s="27" t="inlineStr">
        <is>
          <t>Гибкий элемент для крана уровня пола</t>
        </is>
      </c>
      <c r="C10" s="28" t="n">
        <v>30.23</v>
      </c>
      <c r="D10" s="29" t="n">
        <v>30.23</v>
      </c>
      <c r="E10" s="29" t="n">
        <v>36</v>
      </c>
      <c r="F10" t="n">
        <v>1</v>
      </c>
      <c r="G10" t="n">
        <v>41.21</v>
      </c>
    </row>
    <row r="11">
      <c r="A11" s="26" t="n">
        <v>4640061000</v>
      </c>
      <c r="B11" s="27" t="inlineStr">
        <is>
          <t>Кран уровня пола без фитингов</t>
        </is>
      </c>
      <c r="C11" s="28" t="n">
        <v>260.17</v>
      </c>
      <c r="D11" s="29" t="n">
        <v>260.17</v>
      </c>
      <c r="E11" s="29" t="n">
        <v>312</v>
      </c>
      <c r="G11">
        <f>G1+G2+G3+G4+G6+G7+G8+G9+G10</f>
        <v/>
      </c>
    </row>
    <row r="12">
      <c r="A12" s="26" t="n">
        <v>4630840310</v>
      </c>
      <c r="B12" s="27" t="inlineStr">
        <is>
          <t>Клапан подъема оси</t>
        </is>
      </c>
      <c r="C12" s="28" t="n">
        <v>417.5</v>
      </c>
      <c r="D12" s="29" t="n">
        <v>417.5</v>
      </c>
      <c r="E12" s="29" t="n">
        <v>417.5</v>
      </c>
      <c r="F12" t="n">
        <v>1</v>
      </c>
      <c r="G12" t="n">
        <v>409</v>
      </c>
    </row>
    <row r="13">
      <c r="A13" s="26" t="n">
        <v>4494430600</v>
      </c>
      <c r="B13" s="27" t="inlineStr">
        <is>
          <t>Кабель клапана подъема оси</t>
        </is>
      </c>
      <c r="C13" s="28" t="n">
        <v>124.17</v>
      </c>
      <c r="D13" s="29" t="n">
        <v>124.17</v>
      </c>
      <c r="E13" s="29" t="n">
        <v>124.17</v>
      </c>
      <c r="F13" t="n">
        <v>1</v>
      </c>
      <c r="G13" t="n">
        <v>123.78</v>
      </c>
    </row>
    <row r="14">
      <c r="A14" s="66" t="n">
        <v>4491731500</v>
      </c>
      <c r="B14" s="67" t="inlineStr">
        <is>
          <t>Кабель питания для п/п 15 м</t>
        </is>
      </c>
      <c r="C14" s="68" t="n">
        <v>860.87</v>
      </c>
      <c r="D14" s="69" t="n">
        <v>860.87</v>
      </c>
      <c r="E14" s="69" t="n">
        <v>0</v>
      </c>
      <c r="G14" s="273">
        <f>G12+G13</f>
        <v/>
      </c>
    </row>
    <row r="15">
      <c r="A15" s="83" t="n">
        <v>9730110000</v>
      </c>
      <c r="B15" s="67" t="inlineStr">
        <is>
          <t>Ускорительный клапан</t>
        </is>
      </c>
      <c r="C15" s="84" t="n"/>
      <c r="D15" s="85" t="n">
        <v>117.5</v>
      </c>
      <c r="E15" s="296" t="n">
        <v>118</v>
      </c>
    </row>
    <row r="16">
      <c r="A16" s="83" t="n">
        <v>4640060020</v>
      </c>
      <c r="B16" s="67" t="inlineStr">
        <is>
          <t>Кран уровня пола без фитингов</t>
        </is>
      </c>
      <c r="C16" s="84" t="n">
        <v>281.85</v>
      </c>
      <c r="D16" s="85" t="n">
        <v>281.85</v>
      </c>
      <c r="E16" s="85" t="n">
        <v>281.85</v>
      </c>
    </row>
    <row r="17">
      <c r="A17" s="83" t="n">
        <v>4750103050</v>
      </c>
      <c r="B17" s="67" t="inlineStr">
        <is>
          <t>Клапан ограничения давления</t>
        </is>
      </c>
      <c r="C17" s="84" t="n"/>
      <c r="D17" s="85" t="n">
        <v>61.39</v>
      </c>
      <c r="E17" s="8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0" workbookViewId="0">
      <selection activeCell="G26" sqref="G26"/>
    </sheetView>
  </sheetViews>
  <sheetFormatPr baseColWidth="8" defaultColWidth="10" defaultRowHeight="14.4"/>
  <cols>
    <col width="11" bestFit="1" customWidth="1" style="272" min="1" max="1"/>
    <col width="37.441" bestFit="1" customWidth="1" min="2" max="2"/>
    <col width="12" bestFit="1" customWidth="1" min="12" max="12"/>
    <col width="15.664" bestFit="1" customWidth="1" min="13" max="13"/>
    <col width="9.555" bestFit="1" customWidth="1" min="14" max="14"/>
  </cols>
  <sheetData>
    <row r="1">
      <c r="A1" s="26" t="n">
        <v>9522010010</v>
      </c>
      <c r="B1" s="27" t="inlineStr">
        <is>
          <t>Соединительная головка + маг. Фильтр</t>
        </is>
      </c>
      <c r="C1" s="28" t="n">
        <v>49.13</v>
      </c>
      <c r="D1" t="n">
        <v>1</v>
      </c>
      <c r="E1" s="273">
        <f>D1*C1</f>
        <v/>
      </c>
      <c r="F1" s="273">
        <f>E1*D1</f>
        <v/>
      </c>
      <c r="G1" s="273" t="n">
        <v>49.13</v>
      </c>
    </row>
    <row r="2">
      <c r="A2" s="137" t="n">
        <v>9522010020</v>
      </c>
      <c r="B2" s="138" t="inlineStr">
        <is>
          <t>Соединительная головка + маг. Фильтр</t>
        </is>
      </c>
      <c r="C2" s="28" t="n">
        <v>49.13</v>
      </c>
      <c r="D2" t="n">
        <v>1</v>
      </c>
      <c r="E2" s="273">
        <f>D2*C2</f>
        <v/>
      </c>
      <c r="F2" s="273">
        <f>E2*D2</f>
        <v/>
      </c>
      <c r="G2" s="273" t="n">
        <v>49.13</v>
      </c>
    </row>
    <row r="3">
      <c r="A3" s="137" t="n">
        <v>9710029000</v>
      </c>
      <c r="B3" s="138" t="inlineStr">
        <is>
          <t xml:space="preserve">PREV </t>
        </is>
      </c>
      <c r="C3" s="28" t="n">
        <v>384.23</v>
      </c>
      <c r="D3" t="n">
        <v>1</v>
      </c>
      <c r="E3" s="273">
        <f>D3*C3</f>
        <v/>
      </c>
      <c r="F3" s="273">
        <f>E3*D3</f>
        <v/>
      </c>
      <c r="G3" s="273" t="n">
        <v>384.23</v>
      </c>
    </row>
    <row r="4">
      <c r="A4" s="137" t="n">
        <v>4801020640</v>
      </c>
      <c r="B4" s="27" t="inlineStr">
        <is>
          <t>Блок TEBS-E Premium + PEM</t>
        </is>
      </c>
      <c r="C4" s="28" t="n">
        <v>3723.18</v>
      </c>
      <c r="D4" t="n">
        <v>1</v>
      </c>
      <c r="E4" s="273" t="n">
        <v>3688.9</v>
      </c>
      <c r="F4" s="273" t="n">
        <v>3968.07</v>
      </c>
      <c r="G4" s="273" t="n">
        <v>4166.47</v>
      </c>
    </row>
    <row r="5">
      <c r="A5" s="26" t="n">
        <v>4491731200</v>
      </c>
      <c r="B5" s="138" t="inlineStr">
        <is>
          <t>Кабель питания для п/п 12 м</t>
        </is>
      </c>
      <c r="C5" s="28" t="n">
        <v>692.85</v>
      </c>
      <c r="D5" t="n">
        <v>1</v>
      </c>
      <c r="E5" s="273">
        <f>D5*C5</f>
        <v/>
      </c>
      <c r="F5" s="273">
        <f>E5*D5</f>
        <v/>
      </c>
      <c r="G5" s="273" t="n">
        <v>692.85</v>
      </c>
    </row>
    <row r="6" ht="26.4" customHeight="1">
      <c r="A6" s="146" t="inlineStr">
        <is>
          <t>449 173 140 0</t>
        </is>
      </c>
      <c r="B6" s="147" t="inlineStr">
        <is>
          <t>Кабель питания для п/п 14 м</t>
        </is>
      </c>
      <c r="C6" s="28" t="n">
        <v>790.79</v>
      </c>
      <c r="E6" s="273">
        <f>D6*C6</f>
        <v/>
      </c>
      <c r="F6" s="273">
        <f>E6*D6</f>
        <v/>
      </c>
      <c r="G6" s="273" t="n">
        <v>0</v>
      </c>
    </row>
    <row r="7">
      <c r="A7" s="26" t="n">
        <v>4497230300</v>
      </c>
      <c r="B7" s="138" t="inlineStr">
        <is>
          <t>Кабель-удлинитель датчика АБС 3м</t>
        </is>
      </c>
      <c r="C7" s="149" t="n">
        <v>61.32</v>
      </c>
      <c r="D7" t="n">
        <v>2</v>
      </c>
      <c r="E7" s="273">
        <f>D7*C7</f>
        <v/>
      </c>
      <c r="F7" s="273" t="n">
        <v>122.64</v>
      </c>
      <c r="G7" s="273" t="n">
        <v>122.64</v>
      </c>
    </row>
    <row r="8">
      <c r="A8" s="26" t="n">
        <v>4497230400</v>
      </c>
      <c r="B8" s="138" t="inlineStr">
        <is>
          <t>Кабель-удлинитель датчика АБС 4м</t>
        </is>
      </c>
      <c r="C8" s="28" t="n">
        <v>102.02</v>
      </c>
      <c r="E8" s="273">
        <f>D8*C8</f>
        <v/>
      </c>
      <c r="F8" s="273">
        <f>E8*D8</f>
        <v/>
      </c>
      <c r="G8" s="273" t="n">
        <v>0</v>
      </c>
    </row>
    <row r="9">
      <c r="A9" s="26" t="n">
        <v>4497230500</v>
      </c>
      <c r="B9" s="138" t="inlineStr">
        <is>
          <t>Кабель-удлинитель датчика АБС 5м</t>
        </is>
      </c>
      <c r="C9" s="28" t="n">
        <v>123.28</v>
      </c>
      <c r="E9" s="273">
        <f>D9*C9</f>
        <v/>
      </c>
      <c r="F9" s="273">
        <f>E9*D9</f>
        <v/>
      </c>
      <c r="G9" s="273" t="n">
        <v>0</v>
      </c>
    </row>
    <row r="10" ht="28.8" customHeight="1">
      <c r="A10" s="26" t="n">
        <v>4630320200</v>
      </c>
      <c r="B10" s="138" t="inlineStr">
        <is>
          <t>Кран управления пневмоподвеской без фитингов</t>
        </is>
      </c>
      <c r="C10" s="149" t="n">
        <v>281.85</v>
      </c>
      <c r="D10" t="n">
        <v>1</v>
      </c>
      <c r="E10" s="273">
        <f>D10*C10</f>
        <v/>
      </c>
      <c r="F10" s="273">
        <f>E10*D10</f>
        <v/>
      </c>
      <c r="G10" s="273" t="n">
        <v>281.85</v>
      </c>
    </row>
    <row r="11">
      <c r="A11" s="26" t="n">
        <v>4334010030</v>
      </c>
      <c r="B11" s="138" t="inlineStr">
        <is>
          <t>Гибкий элемент для крана уровня пола</t>
        </is>
      </c>
      <c r="C11" s="149" t="n">
        <v>32.75</v>
      </c>
      <c r="D11" t="n">
        <v>1</v>
      </c>
      <c r="E11" s="273">
        <f>D11*C11</f>
        <v/>
      </c>
      <c r="F11" s="273">
        <f>E11*D11</f>
        <v/>
      </c>
      <c r="G11" s="273" t="n">
        <v>32.75</v>
      </c>
    </row>
    <row r="12">
      <c r="A12" s="26" t="n">
        <v>4640060020</v>
      </c>
      <c r="B12" s="138" t="inlineStr">
        <is>
          <t>Кран уровня пола без фитингов</t>
        </is>
      </c>
      <c r="C12" s="154" t="n">
        <v>281.85</v>
      </c>
      <c r="D12" t="n">
        <v>1</v>
      </c>
      <c r="E12" s="273">
        <f>D12*C12</f>
        <v/>
      </c>
      <c r="F12" s="273">
        <f>E12*D12</f>
        <v/>
      </c>
      <c r="G12" s="273" t="n">
        <v>281.85</v>
      </c>
    </row>
    <row r="13">
      <c r="A13" s="97" t="n">
        <v>4640061000</v>
      </c>
      <c r="B13" s="157" t="inlineStr">
        <is>
          <t>Кран уровня пола без фитингов</t>
        </is>
      </c>
      <c r="C13" s="154" t="n">
        <v>281.85</v>
      </c>
      <c r="E13" s="273">
        <f>SUM(E1:E12)</f>
        <v/>
      </c>
      <c r="F13">
        <f>SUM(F1:F12)</f>
        <v/>
      </c>
      <c r="G13" s="273">
        <f>SUM(G1:G12)</f>
        <v/>
      </c>
    </row>
    <row r="14">
      <c r="A14" s="26" t="n">
        <v>4630840310</v>
      </c>
      <c r="B14" s="138" t="inlineStr">
        <is>
          <t>Клапан подъема оси</t>
        </is>
      </c>
      <c r="C14" s="28" t="n">
        <v>417.5</v>
      </c>
      <c r="E14" s="273" t="n">
        <v>5583.33</v>
      </c>
      <c r="F14" t="n">
        <v>5862.5</v>
      </c>
      <c r="G14" s="273" t="inlineStr">
        <is>
          <t>Без НДС</t>
        </is>
      </c>
    </row>
    <row r="15">
      <c r="A15" s="26" t="n">
        <v>4494430600</v>
      </c>
      <c r="B15" s="138" t="inlineStr">
        <is>
          <t>Кабель клапана подъема оси</t>
        </is>
      </c>
      <c r="C15" s="28" t="n">
        <v>124.17</v>
      </c>
      <c r="F15" s="274" t="n">
        <v>0.045</v>
      </c>
      <c r="G15" s="275" t="n">
        <v>0.05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0" workbookViewId="0">
      <selection activeCell="F25" sqref="F25"/>
    </sheetView>
  </sheetViews>
  <sheetFormatPr baseColWidth="8" defaultColWidth="10" defaultRowHeight="14.4"/>
  <cols>
    <col width="11" bestFit="1" customWidth="1" min="1" max="1"/>
    <col width="47.555" bestFit="1" customWidth="1" min="2" max="2"/>
  </cols>
  <sheetData>
    <row r="1">
      <c r="A1" s="26" t="n">
        <v>9522010010</v>
      </c>
      <c r="B1" s="27" t="inlineStr">
        <is>
          <t>Соединительная головка + маг. Фильтр</t>
        </is>
      </c>
      <c r="C1" s="28" t="n">
        <v>45.35</v>
      </c>
      <c r="D1" t="n">
        <v>1</v>
      </c>
      <c r="E1" s="273">
        <f>D1*C1</f>
        <v/>
      </c>
      <c r="F1" s="273" t="n">
        <v>45.35</v>
      </c>
      <c r="G1" s="273" t="n">
        <v>45.35</v>
      </c>
    </row>
    <row r="2">
      <c r="A2" s="26" t="n">
        <v>9522010020</v>
      </c>
      <c r="B2" s="27" t="inlineStr">
        <is>
          <t>Соединительная головка + маг. Фильтр</t>
        </is>
      </c>
      <c r="C2" s="28" t="n">
        <v>45.35</v>
      </c>
      <c r="D2" t="n">
        <v>1</v>
      </c>
      <c r="E2" s="273">
        <f>D2*C2</f>
        <v/>
      </c>
      <c r="F2" s="273" t="n">
        <v>45.35</v>
      </c>
      <c r="G2" s="273" t="n">
        <v>45.35</v>
      </c>
    </row>
    <row r="3">
      <c r="A3" s="26" t="n">
        <v>9710029000</v>
      </c>
      <c r="B3" s="27" t="inlineStr">
        <is>
          <t>PREV</t>
        </is>
      </c>
      <c r="C3" s="28" t="n">
        <v>354.67</v>
      </c>
      <c r="D3" t="n">
        <v>1</v>
      </c>
      <c r="E3" s="273">
        <f>D3*C3</f>
        <v/>
      </c>
      <c r="F3" s="273" t="n">
        <v>354.67</v>
      </c>
      <c r="G3" s="273" t="n">
        <v>354.67</v>
      </c>
    </row>
    <row r="4">
      <c r="A4" s="26" t="n">
        <v>4801020640</v>
      </c>
      <c r="B4" s="27" t="inlineStr">
        <is>
          <t xml:space="preserve">Блок TEBS-E Premium + PEM </t>
        </is>
      </c>
      <c r="C4" s="28" t="n">
        <v>3408.56</v>
      </c>
      <c r="D4" t="n">
        <v>1</v>
      </c>
      <c r="E4" s="273">
        <f>D4*C4</f>
        <v/>
      </c>
      <c r="F4" s="273" t="n">
        <v>3613.55</v>
      </c>
      <c r="G4" s="273" t="n">
        <v>3794.23</v>
      </c>
    </row>
    <row r="5">
      <c r="A5" s="26" t="n">
        <v>4491731200</v>
      </c>
      <c r="B5" s="27" t="inlineStr">
        <is>
          <t>Кабель питания для п/п 12 м</t>
        </is>
      </c>
      <c r="C5" s="28" t="n">
        <v>639.55</v>
      </c>
      <c r="D5" t="n">
        <v>1</v>
      </c>
      <c r="E5" s="273">
        <f>D5*C5</f>
        <v/>
      </c>
      <c r="F5" s="273" t="n">
        <v>639.5599999999999</v>
      </c>
      <c r="G5" s="273" t="n">
        <v>639.5599999999999</v>
      </c>
    </row>
    <row r="6">
      <c r="A6" s="26" t="n">
        <v>4491731400</v>
      </c>
      <c r="B6" s="27" t="inlineStr">
        <is>
          <t>Кабель питания для п/п 14 м</t>
        </is>
      </c>
      <c r="C6" s="28" t="n">
        <v>729.96</v>
      </c>
      <c r="E6" s="273">
        <f>D6*C6</f>
        <v/>
      </c>
      <c r="F6" s="273" t="n">
        <v>0</v>
      </c>
      <c r="G6" s="273" t="n">
        <v>0</v>
      </c>
    </row>
    <row r="7">
      <c r="A7" s="26" t="n">
        <v>4497230500</v>
      </c>
      <c r="B7" s="27" t="inlineStr">
        <is>
          <t>Кабель-удлинитель датчика АБС 5м</t>
        </is>
      </c>
      <c r="C7" s="28" t="n">
        <v>113.8</v>
      </c>
      <c r="D7" t="n">
        <v>2</v>
      </c>
      <c r="E7" s="273">
        <f>D7*C7</f>
        <v/>
      </c>
      <c r="F7" s="273" t="n">
        <v>227.6</v>
      </c>
      <c r="G7" s="273" t="n">
        <v>227.6</v>
      </c>
    </row>
    <row r="8">
      <c r="A8" s="26" t="n">
        <v>4497230400</v>
      </c>
      <c r="B8" s="27" t="inlineStr">
        <is>
          <t>Кабель-удлинитель датчика АБС 4м</t>
        </is>
      </c>
      <c r="C8" s="28" t="n">
        <v>94.17</v>
      </c>
      <c r="D8" t="n">
        <v>2</v>
      </c>
      <c r="E8" s="273">
        <f>D8*C8</f>
        <v/>
      </c>
      <c r="F8" s="273" t="n">
        <v>188.34</v>
      </c>
      <c r="G8" s="273" t="n">
        <v>188.34</v>
      </c>
    </row>
    <row r="9">
      <c r="A9" s="26" t="n">
        <v>4630320200</v>
      </c>
      <c r="B9" s="27" t="inlineStr">
        <is>
          <t>Кран управления пневмоподвеской без фитингов</t>
        </is>
      </c>
      <c r="C9" s="28" t="n">
        <v>220.18</v>
      </c>
      <c r="D9" t="n">
        <v>1</v>
      </c>
      <c r="E9" s="273">
        <f>D9*C9</f>
        <v/>
      </c>
      <c r="F9" s="273" t="n">
        <v>220.18</v>
      </c>
      <c r="G9" s="273" t="n">
        <v>220.18</v>
      </c>
    </row>
    <row r="10">
      <c r="A10" s="26" t="n">
        <v>4334010030</v>
      </c>
      <c r="B10" s="27" t="inlineStr">
        <is>
          <t>Гибкий элемент для крана уровня пола</t>
        </is>
      </c>
      <c r="C10" s="28" t="n">
        <v>30.23</v>
      </c>
      <c r="D10" t="n">
        <v>1</v>
      </c>
      <c r="E10" s="273">
        <f>D10*C10</f>
        <v/>
      </c>
      <c r="F10" s="273" t="n">
        <v>30.23</v>
      </c>
      <c r="G10" s="273" t="n">
        <v>30.23</v>
      </c>
    </row>
    <row r="11">
      <c r="A11" s="26" t="n">
        <v>4640061000</v>
      </c>
      <c r="B11" s="27" t="inlineStr">
        <is>
          <t>Кран уровня пола без фитингов</t>
        </is>
      </c>
      <c r="C11" s="28" t="n">
        <v>260.17</v>
      </c>
      <c r="D11" t="n">
        <v>1</v>
      </c>
      <c r="E11" s="273">
        <f>D11*C11</f>
        <v/>
      </c>
      <c r="F11" s="273" t="n">
        <v>260.17</v>
      </c>
      <c r="G11" s="273" t="n">
        <v>260.17</v>
      </c>
    </row>
    <row r="12">
      <c r="A12" s="26" t="n"/>
      <c r="B12" s="27" t="n"/>
      <c r="C12" s="28" t="n"/>
      <c r="E12" s="273">
        <f>E1+E2+E3+E4+E5+E7+E8+E9+E10+E11</f>
        <v/>
      </c>
      <c r="F12" s="273">
        <f>F1+F2+F3+F4+F7+F8+F9+F10+F11+F5</f>
        <v/>
      </c>
      <c r="G12" s="273">
        <f>G1+G2+G3+G4+G5+G7+G8+G9+G10+G11</f>
        <v/>
      </c>
      <c r="H12" t="inlineStr">
        <is>
          <t>Без НДС</t>
        </is>
      </c>
    </row>
    <row r="13">
      <c r="A13" s="26" t="n"/>
      <c r="B13" s="27" t="n"/>
      <c r="C13" s="28" t="n"/>
      <c r="E13" s="273" t="n">
        <v>6504</v>
      </c>
      <c r="F13" s="273" t="n">
        <v>6750</v>
      </c>
      <c r="G13" s="273" t="n">
        <v>6966.82</v>
      </c>
      <c r="H13" t="inlineStr">
        <is>
          <t>С НДС</t>
        </is>
      </c>
    </row>
    <row r="14">
      <c r="A14" s="66" t="n"/>
      <c r="B14" s="67" t="n"/>
      <c r="C14" s="68" t="n"/>
      <c r="E14" s="273" t="n"/>
      <c r="F14" s="274" t="n">
        <v>0.045</v>
      </c>
      <c r="G14" s="275" t="n">
        <v>0.05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2026-09-03T08:12:42Z</dcterms:modified>
  <cp:lastModifiedBy>License Wabco</cp:lastModifiedBy>
  <cp:revision>34</cp:revision>
</cp:coreProperties>
</file>